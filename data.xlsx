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AB10E0F1-E04E-4F4F-B214-E4181D0F0656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103" r:id="rId13"/>
    <pivotCache cacheId="109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8" l="1"/>
  <c r="G7" i="8"/>
  <c r="G8" i="8"/>
  <c r="G9" i="8"/>
  <c r="G10" i="8"/>
  <c r="G5" i="8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E52" i="4" s="1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2" i="8"/>
  <c r="G53" i="8"/>
  <c r="G54" i="8"/>
  <c r="G55" i="8"/>
  <c r="G56" i="8"/>
  <c r="G57" i="8"/>
  <c r="G58" i="8"/>
  <c r="G59" i="8"/>
  <c r="E50" i="4" l="1"/>
  <c r="E49" i="4"/>
  <c r="E51" i="4"/>
  <c r="E82" i="4"/>
  <c r="H82" i="4"/>
  <c r="C2" i="15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36" i="4" s="1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E37" i="4" l="1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35" i="15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M67" i="15" l="1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<sst xmlns="http://schemas.openxmlformats.org/spreadsheetml/2006/main" count="6554" uniqueCount="1416">
  <si>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</si>
  <si>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</si>
  <si>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</si>
  <si>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</si>
  <si>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</si>
  <si>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</si>
  <si>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</si>
  <si>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</si>
  <si>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</si>
  <si>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</si>
  <si>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</si>
  <si>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</si>
  <si>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</si>
  <si>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</si>
  <si>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</si>
  <si>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</si>
  <si>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</si>
  <si>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</si>
  <si>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</si>
  <si>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</si>
  <si>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</si>
  <si>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</si>
  <si>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</si>
  <si>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</si>
  <si>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</si>
  <si>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</si>
  <si>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</si>
  <si>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</si>
  <si>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</si>
  <si>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</si>
  <si>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</si>
  <si>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</si>
  <si>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</si>
  <si>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</si>
  <si>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</si>
  <si>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</si>
  <si>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</si>
  <si>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</si>
  <si>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</si>
  <si>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</si>
  <si>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</si>
  <si>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</si>
  <si>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</si>
  <si>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</si>
  <si>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</si>
  <si>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</si>
  <si>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</si>
  <si>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</si>
  <si>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</si>
  <si>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</si>
  <si>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</si>
  <si>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</si>
  <si>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</si>
  <si>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</si>
  <si>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</si>
  <si>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</si>
  <si>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</si>
  <si>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</si>
  <si>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</si>
  <si>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</si>
  <si>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</si>
  <si>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</si>
  <si>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</si>
  <si>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</si>
  <si>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</si>
  <si>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</si>
  <si>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</si>
  <si>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</si>
  <si>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</si>
  <si>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</si>
  <si>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</si>
  <si>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</si>
  <si>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</si>
  <si>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</si>
  <si>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</si>
  <si>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</si>
  <si>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</si>
  <si>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</si>
  <si>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</si>
  <si>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</si>
  <si>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</si>
  <si>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</si>
  <si>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</si>
  <si>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</si>
  <si>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</si>
  <si>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</si>
  <si>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</si>
  <si>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</si>
  <si>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</si>
  <si>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</si>
  <si>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</si>
  <si>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</si>
  <si>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</si>
  <si>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</si>
  <si>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</si>
  <si>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</si>
  <si>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</si>
  <si>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</si>
  <si>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</si>
  <si>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</si>
  <si>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</si>
  <si>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</si>
  <si>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</si>
  <si>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</si>
  <si>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</si>
  <si>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</si>
  <si>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</si>
  <si>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</si>
  <si>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</si>
  <si>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</si>
  <si>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</si>
  <si>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</si>
  <si>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</si>
  <si>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</si>
  <si>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</si>
  <si>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</si>
  <si>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</si>
  <si>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</si>
  <si>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</si>
  <si>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</si>
  <si>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</si>
  <si>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</si>
  <si>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</si>
  <si>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</si>
  <si>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</si>
  <si>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</si>
  <si>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</si>
  <si>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</si>
  <si>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</si>
  <si>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</si>
  <si>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</si>
  <si>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</si>
  <si>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</si>
  <si>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</si>
  <si>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</si>
  <si>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</si>
  <si>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</si>
  <si>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</si>
  <si>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</si>
  <si>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</si>
  <si>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</si>
  <si>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</si>
  <si>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</si>
  <si>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</si>
  <si>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</si>
  <si>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</si>
  <si>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</si>
  <si>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</si>
  <si>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</si>
  <si>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</si>
  <si>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</si>
  <si>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</si>
  <si>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</si>
  <si>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</si>
  <si>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</si>
  <si>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</si>
  <si>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</si>
  <si>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</si>
  <si>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</si>
  <si>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</si>
  <si>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</si>
  <si>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</si>
  <si>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</si>
  <si>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</si>
  <si>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</si>
  <si>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</si>
  <si>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</si>
  <si>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</si>
  <si>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</si>
  <si>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</si>
  <si>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</si>
  <si>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</si>
  <si>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</si>
  <si>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</si>
  <si>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</si>
  <si>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</si>
  <si>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</si>
  <si>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</si>
  <si>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</si>
  <si>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</si>
  <si>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</si>
  <si>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</si>
  <si>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</si>
  <si>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</si>
  <si>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</si>
  <si>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</si>
  <si>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</si>
  <si>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</si>
  <si>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</si>
  <si>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</si>
  <si>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</si>
  <si>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</si>
  <si>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</si>
  <si>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</si>
  <si>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</si>
  <si>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</si>
  <si>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</si>
  <si>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</si>
  <si>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</si>
  <si>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</si>
  <si>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</si>
  <si>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</si>
  <si>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</si>
  <si>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</si>
  <si>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</si>
  <si>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</si>
  <si>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</si>
  <si>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</si>
  <si>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</si>
  <si>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</si>
  <si>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</si>
  <si>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</si>
  <si>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</si>
  <si>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</si>
  <si>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</si>
  <si>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</si>
  <si>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</si>
  <si>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</si>
  <si>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</si>
  <si>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</si>
  <si>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</si>
  <si>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</si>
  <si>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</si>
  <si>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</si>
  <si>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</si>
  <si>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</si>
  <si>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</si>
  <si>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</si>
  <si>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</si>
  <si>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</si>
  <si>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</si>
  <si>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</si>
  <si>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</si>
  <si>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</si>
  <si>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</si>
  <si>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</si>
  <si>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</si>
  <si>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</si>
  <si>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</si>
  <si>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</si>
  <si>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</si>
  <si>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</si>
  <si>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</si>
  <si>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</si>
  <si>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</si>
  <si>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</si>
  <si>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</si>
  <si>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</si>
  <si>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</si>
  <si>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</si>
  <si>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</si>
  <si>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</si>
  <si>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</si>
  <si>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</si>
  <si>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</si>
  <si>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</si>
  <si>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</si>
  <si>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</si>
  <si>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</si>
  <si>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</si>
  <si>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</si>
  <si>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</si>
  <si>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</si>
  <si>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</si>
  <si>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</si>
  <si>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</si>
  <si>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</si>
  <si>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</si>
  <si>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</si>
  <si>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</si>
  <si>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</si>
  <si>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</si>
  <si>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</si>
  <si>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</si>
  <si>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</si>
  <si>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</si>
  <si>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</si>
  <si>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</si>
  <si>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</si>
  <si>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</si>
  <si>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</si>
  <si>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</si>
  <si>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</si>
  <si>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</si>
  <si>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</si>
  <si>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</si>
  <si>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</si>
  <si>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</si>
  <si>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</si>
  <si>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</si>
  <si>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</si>
  <si>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</si>
  <si>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</si>
  <si>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</si>
  <si>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</si>
  <si>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</si>
  <si>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</si>
  <si>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</si>
  <si>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</si>
  <si>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</si>
  <si>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</si>
  <si>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</si>
  <si>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</si>
  <si>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</si>
  <si>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</si>
  <si>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</si>
  <si>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</si>
  <si>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</si>
  <si>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</si>
  <si>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</si>
  <si>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</si>
  <si>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</si>
  <si>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</si>
  <si>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</si>
  <si>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</si>
  <si>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</si>
  <si>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</si>
  <si>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</si>
  <si>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</si>
  <si>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</si>
  <si>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</si>
  <si>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</si>
  <si>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</si>
  <si>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</si>
  <si>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</si>
  <si>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</si>
  <si>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</si>
  <si>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</si>
  <si>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</si>
  <si>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</si>
  <si>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</si>
  <si>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</si>
  <si>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</si>
  <si>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</si>
  <si>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</si>
  <si>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</si>
  <si>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</si>
  <si>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</si>
  <si>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</si>
  <si>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</si>
  <si>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</si>
  <si>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</si>
  <si>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</si>
  <si>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</si>
  <si>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</si>
  <si>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</si>
  <si>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</si>
  <si>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</si>
  <si>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</si>
  <si>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</si>
  <si>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</si>
  <si>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</si>
  <si>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</si>
  <si>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</si>
  <si>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</si>
  <si>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</si>
  <si>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</si>
  <si>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</si>
  <si>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</si>
  <si>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</si>
  <si>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</si>
  <si>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</si>
  <si>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</si>
  <si>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</si>
  <si>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</si>
  <si>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</si>
  <si>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</si>
  <si>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</si>
  <si>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</si>
  <si>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</si>
  <si>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</si>
  <si>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</si>
  <si>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</si>
  <si>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</si>
  <si>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</si>
  <si>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</si>
  <si>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</si>
  <si>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</si>
  <si>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</si>
  <si>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</si>
  <si>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</si>
  <si>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</si>
  <si>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</si>
  <si>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</si>
  <si>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</si>
  <si>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</si>
  <si>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</si>
  <si>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</si>
  <si>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</si>
  <si>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</si>
  <si>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</si>
  <si>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</si>
  <si>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</si>
  <si>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</si>
  <si>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</si>
  <si>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</si>
  <si>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</si>
  <si>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</si>
  <si>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</si>
  <si>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</si>
  <si>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</si>
  <si>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</si>
  <si>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</si>
  <si>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</si>
  <si>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</si>
  <si>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</si>
  <si>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</si>
  <si>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</si>
  <si>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</si>
  <si>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</si>
  <si>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</si>
  <si>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</si>
  <si>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</si>
  <si>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</si>
  <si>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</si>
  <si>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</si>
  <si>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</si>
  <si>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</si>
  <si>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</si>
  <si>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</si>
  <si>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</si>
  <si>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</si>
  <si>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</si>
  <si>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</si>
  <si>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</si>
  <si>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</si>
  <si>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</si>
  <si>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</si>
  <si>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</si>
  <si>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</si>
  <si>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</si>
  <si>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</si>
  <si>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</si>
  <si>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</si>
  <si>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</si>
  <si>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</si>
  <si>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</si>
  <si>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</si>
  <si>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</si>
  <si>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</si>
  <si>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</si>
  <si>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</si>
  <si>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</si>
  <si>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</si>
  <si>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</si>
  <si>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</si>
  <si>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</si>
  <si>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</si>
  <si>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</si>
  <si>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</si>
  <si>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</si>
  <si>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</si>
  <si>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</si>
  <si>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</si>
  <si>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</si>
  <si>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</si>
  <si>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</si>
  <si>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</si>
  <si>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</si>
  <si>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</si>
  <si>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</si>
  <si>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</si>
  <si>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</si>
  <si>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</si>
  <si>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</si>
  <si>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</si>
  <si>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</si>
  <si>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</si>
  <si>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</si>
  <si>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</si>
  <si>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</si>
  <si>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</si>
  <si>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</si>
  <si>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</si>
  <si>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</si>
  <si>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</si>
  <si>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</si>
  <si>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</si>
  <si>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</si>
  <si>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</si>
  <si>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</si>
  <si>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</si>
  <si>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</si>
  <si>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</si>
  <si>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</si>
  <si>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</si>
  <si>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</si>
  <si>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</si>
  <si>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</si>
  <si>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</si>
  <si>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</si>
  <si>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</si>
  <si>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</si>
  <si>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</si>
  <si>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</si>
  <si>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</si>
  <si>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</si>
  <si>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</si>
  <si>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</si>
  <si>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</si>
  <si>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</si>
  <si>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</si>
  <si>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</si>
  <si>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</si>
  <si>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</si>
  <si>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</si>
  <si>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</si>
  <si>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</si>
  <si>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</si>
  <si>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</si>
  <si>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</si>
  <si>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</si>
  <si>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</si>
  <si>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</si>
  <si>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</si>
  <si>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</si>
  <si>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</si>
  <si>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</si>
  <si>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</si>
  <si>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</si>
  <si>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</si>
  <si>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</si>
  <si>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</si>
  <si>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</si>
  <si>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</si>
  <si>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</si>
  <si>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</si>
  <si>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</si>
  <si>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</si>
  <si>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</si>
  <si>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</si>
  <si>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</si>
  <si>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</si>
  <si>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</si>
  <si>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</si>
  <si>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</si>
  <si>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</si>
  <si>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</si>
  <si>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</si>
  <si>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</si>
  <si>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</si>
  <si>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</si>
  <si>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</si>
  <si>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</si>
  <si>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</si>
  <si>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</si>
  <si>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</si>
  <si>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</si>
  <si>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</si>
  <si>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</si>
  <si>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</si>
  <si>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</si>
  <si>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</si>
  <si>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</si>
  <si>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</si>
  <si>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</si>
  <si>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</si>
  <si>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</si>
  <si>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</si>
  <si>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</si>
  <si>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</si>
  <si>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</si>
  <si>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</si>
  <si>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</si>
  <si>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</si>
  <si>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</si>
  <si>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</si>
  <si>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</si>
  <si>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</si>
  <si>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</si>
  <si>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</si>
  <si>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</si>
  <si>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</si>
  <si>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</si>
  <si>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</si>
  <si>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</si>
  <si>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</si>
  <si>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</si>
  <si>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</si>
  <si>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</si>
  <si>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</si>
  <si>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</si>
  <si>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</si>
  <si>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</si>
  <si>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</si>
  <si>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</si>
  <si>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</si>
  <si>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</si>
  <si>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</si>
  <si>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</si>
  <si>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</si>
  <si>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</si>
  <si>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</si>
  <si>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</si>
  <si>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</si>
  <si>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</si>
  <si>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</si>
  <si>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</si>
  <si>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</si>
  <si>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</si>
  <si>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</si>
  <si>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</si>
  <si>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</si>
  <si>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</si>
  <si>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</si>
  <si>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</si>
  <si>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</si>
  <si>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</si>
  <si>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</si>
  <si>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</si>
  <si>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</si>
  <si>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</si>
  <si>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</si>
  <si>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</si>
  <si>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</si>
  <si>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</si>
  <si>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</si>
  <si>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</si>
  <si>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</si>
  <si>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</si>
  <si>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</si>
  <si>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</si>
  <si>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</si>
  <si>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</si>
  <si>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</si>
  <si>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</si>
  <si>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</si>
  <si>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</si>
  <si>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</si>
  <si>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</si>
  <si>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</si>
  <si>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</si>
  <si>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</si>
  <si>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</si>
  <si>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</si>
  <si>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</si>
  <si>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</si>
  <si>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</si>
  <si>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</si>
  <si>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</si>
  <si>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</si>
  <si>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</si>
  <si>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</si>
  <si>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</si>
  <si>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</si>
  <si>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</si>
  <si>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</si>
  <si>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</si>
  <si>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</si>
  <si>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</si>
  <si>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</si>
  <si>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</si>
  <si>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</si>
  <si>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</si>
  <si>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</si>
  <si>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</si>
  <si>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</si>
  <si>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</si>
  <si>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</si>
  <si>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</si>
  <si>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</si>
  <si>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</si>
  <si>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</si>
  <si>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</si>
  <si>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</si>
  <si>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</si>
  <si>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</si>
  <si>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</si>
  <si>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</si>
  <si>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</si>
  <si>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</si>
  <si>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</si>
  <si>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</si>
  <si>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</si>
  <si>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</si>
  <si>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</si>
  <si>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</si>
  <si>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</si>
  <si>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</si>
  <si>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</si>
  <si>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</si>
  <si>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</si>
  <si>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</si>
  <si>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</si>
  <si>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</si>
  <si>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</si>
  <si>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</si>
  <si>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</si>
  <si>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</si>
  <si>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</si>
  <si>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</si>
  <si>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</si>
  <si>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</si>
  <si>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</si>
  <si>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</si>
  <si>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</si>
  <si>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</si>
  <si>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</si>
  <si>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</si>
  <si>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</si>
  <si>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</si>
  <si>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</si>
  <si>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</si>
  <si>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</si>
  <si>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</si>
  <si>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</si>
  <si>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</si>
  <si>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</si>
  <si>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</si>
  <si>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</si>
  <si>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</si>
  <si>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</si>
  <si>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</si>
  <si>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</si>
  <si>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</si>
  <si>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</si>
  <si>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</si>
  <si>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</si>
  <si>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</si>
  <si>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</si>
  <si>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</si>
  <si>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</si>
  <si>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</si>
  <si>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</si>
  <si>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</si>
  <si>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</si>
  <si>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</si>
  <si>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</si>
  <si>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</si>
  <si>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</si>
  <si>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</si>
  <si>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</si>
  <si>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</si>
  <si>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</si>
  <si>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</si>
  <si>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</si>
  <si>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</si>
  <si>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</si>
  <si>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</si>
  <si>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</si>
  <si>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</si>
  <si>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</si>
  <si>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</si>
  <si>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</si>
  <si>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</si>
  <si>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</si>
  <si>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</si>
  <si>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</si>
  <si>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</si>
  <si>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</si>
  <si>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</si>
  <si>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</si>
  <si>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</si>
  <si>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</si>
  <si>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</si>
  <si>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</si>
  <si>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</si>
  <si>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</si>
  <si>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</si>
  <si>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</si>
  <si>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</si>
  <si>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</si>
  <si>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</si>
  <si>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</si>
  <si>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</si>
  <si>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</si>
  <si>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</si>
  <si>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</si>
  <si>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</si>
  <si>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</si>
  <si>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</si>
  <si>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</si>
  <si>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</si>
  <si>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</si>
  <si>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</si>
  <si>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</si>
  <si>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</si>
  <si>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</si>
  <si>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</si>
  <si>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</si>
  <si>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</si>
  <si>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</si>
  <si>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</si>
  <si>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</si>
  <si>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</si>
  <si>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</si>
  <si>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</si>
  <si>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</si>
  <si>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</si>
  <si>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</si>
  <si>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</si>
  <si>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</si>
  <si>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</si>
  <si>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</si>
  <si>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</si>
  <si>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</si>
  <si>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</si>
  <si>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</si>
  <si>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</si>
  <si>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</si>
  <si>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</si>
  <si>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</si>
  <si>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</si>
  <si>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</si>
  <si>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</si>
  <si>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</si>
  <si>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</si>
  <si>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</si>
  <si>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</si>
  <si>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</si>
  <si>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</si>
  <si>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</si>
  <si>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</si>
  <si>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</si>
  <si>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</si>
  <si>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</si>
  <si>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</si>
  <si>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</si>
  <si>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</si>
  <si>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MYCX - SEND OPEN PAPERLESS</t>
  </si>
  <si>
    <t>SEND PAPERLESS OPEN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</si>
  <si>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</si>
  <si>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</si>
  <si>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</si>
  <si>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</si>
  <si>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</si>
  <si>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</si>
  <si>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</si>
  <si>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</si>
  <si>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</si>
  <si>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</si>
  <si>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</si>
  <si>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</si>
  <si>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</si>
  <si>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</si>
  <si>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</si>
  <si>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</si>
  <si>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</si>
  <si>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</si>
  <si>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</si>
  <si>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</si>
  <si>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</si>
  <si>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</si>
  <si>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</si>
  <si>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TAHUN</t>
  </si>
  <si>
    <t>BULAN</t>
  </si>
  <si>
    <t>TANGGAL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</si>
  <si>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</si>
  <si>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</si>
  <si>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</si>
  <si>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</si>
  <si>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</si>
  <si>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</si>
  <si>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</si>
  <si>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</si>
  <si>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</si>
  <si>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</si>
  <si>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</si>
  <si>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</si>
  <si>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</si>
  <si>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</si>
  <si>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</si>
  <si>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</si>
  <si>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</si>
  <si>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</si>
  <si>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</si>
  <si>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</si>
  <si>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</si>
  <si>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</si>
  <si>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</si>
  <si>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</si>
  <si>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</si>
  <si>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</si>
  <si>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</si>
  <si>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</si>
  <si>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</si>
  <si>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</si>
  <si>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</si>
  <si>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</si>
  <si>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</si>
  <si>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</si>
  <si>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</si>
  <si>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</si>
  <si>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</si>
  <si>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</si>
  <si>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</si>
  <si>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</si>
  <si>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</si>
  <si>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</si>
  <si>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PRE_PI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</si>
  <si>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</si>
  <si>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</si>
  <si>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</si>
  <si>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</si>
  <si>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</si>
  <si>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</si>
  <si>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</si>
  <si>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</si>
  <si>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OSS - PROVISIONING START</t>
  </si>
  <si>
    <t>Provisioning Start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</si>
  <si>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</si>
  <si>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</si>
  <si>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</si>
  <si>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</si>
  <si>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</si>
  <si>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</si>
  <si>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</si>
  <si>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</si>
  <si>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</si>
  <si>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</si>
  <si>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</si>
  <si>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</si>
  <si>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</si>
  <si>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</si>
  <si>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</si>
  <si>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</si>
  <si>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</si>
  <si>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</si>
  <si>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</si>
  <si>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</si>
  <si>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</si>
  <si>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</si>
  <si>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</si>
  <si>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</si>
  <si>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</si>
  <si>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</si>
  <si>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</si>
  <si>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</si>
  <si>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</si>
  <si>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</si>
  <si>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OSS - PROVISIONING DESAIN</t>
  </si>
  <si>
    <t>Provisioning Designed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</si>
  <si>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</si>
  <si>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</si>
  <si>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</si>
  <si>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</si>
  <si>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</si>
  <si>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</si>
  <si>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</si>
  <si>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</si>
  <si>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</si>
  <si>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</si>
  <si>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</si>
  <si>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</si>
  <si>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</si>
  <si>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</si>
  <si>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</si>
  <si>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</si>
  <si>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</si>
  <si>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</si>
  <si>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</si>
  <si>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</si>
  <si>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UNCONTACTED : Mail Box - Memo Putri Arviyanti 40971304|MYDITA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</si>
  <si>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</si>
  <si>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</si>
  <si>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</si>
  <si>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</si>
  <si>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</si>
  <si>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</si>
  <si>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</si>
  <si>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</si>
  <si>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</si>
  <si>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</si>
  <si>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</si>
  <si>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</si>
  <si>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</si>
  <si>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</si>
  <si>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</si>
  <si>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</si>
  <si>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</si>
  <si>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</si>
  <si>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</si>
  <si>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</si>
  <si>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</si>
  <si>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</si>
  <si>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</si>
  <si>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</si>
  <si>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</si>
  <si>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</si>
  <si>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</si>
  <si>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</si>
  <si>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</si>
  <si>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</si>
  <si>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</si>
  <si>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</si>
  <si>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</si>
  <si>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</si>
  <si>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</si>
  <si>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</si>
  <si>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</si>
  <si>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</si>
  <si>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</si>
  <si>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</si>
  <si>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</si>
  <si>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</si>
  <si>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</si>
  <si>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</si>
  <si>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</si>
  <si>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</si>
  <si>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</si>
  <si>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</si>
  <si>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</si>
  <si>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</si>
  <si>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</si>
  <si>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</si>
  <si>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</si>
  <si>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</si>
  <si>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</si>
  <si>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</si>
  <si>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</si>
  <si>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</si>
  <si>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</si>
  <si>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</si>
  <si>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</si>
  <si>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MIE - INVALID SURVEY - Double Input</t>
  </si>
  <si>
    <t>PT KEM WOOD GRACE INDUSTRY(RUANG ROTARI)</t>
  </si>
  <si>
    <t>ODP-MGE-FV/104 FV/D09/104.01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</si>
  <si>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</si>
  <si>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</si>
  <si>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</si>
  <si>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</si>
  <si>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</si>
  <si>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</si>
  <si>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</si>
  <si>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</si>
  <si>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</si>
  <si>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</si>
  <si>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</si>
  <si>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</si>
  <si>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</si>
  <si>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</si>
  <si>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</si>
  <si>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</si>
  <si>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</si>
  <si>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</si>
  <si>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</si>
  <si>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</si>
  <si>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</si>
  <si>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</si>
  <si>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</si>
  <si>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</si>
  <si>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</si>
  <si>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</si>
  <si>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</si>
  <si>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</si>
  <si>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</si>
  <si>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</si>
  <si>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</si>
  <si>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</si>
  <si>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</si>
  <si>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</si>
  <si>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</si>
  <si>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</si>
  <si>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</si>
  <si>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</si>
  <si>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</si>
  <si>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</si>
  <si>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</si>
  <si>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</si>
  <si>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</si>
  <si>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</si>
  <si>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</si>
  <si>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</si>
  <si>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</si>
  <si>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</si>
  <si>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</si>
  <si>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</si>
  <si>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</si>
  <si>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</si>
  <si>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</si>
  <si>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</si>
  <si>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</si>
  <si>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</si>
  <si>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</si>
  <si>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</si>
  <si>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</si>
  <si>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</si>
  <si>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</si>
  <si>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</si>
  <si>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</si>
  <si>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</si>
  <si>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</si>
  <si>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</si>
  <si>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</si>
  <si>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</si>
  <si>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</si>
  <si>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</si>
  <si>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</si>
  <si>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</si>
  <si>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</si>
  <si>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</si>
  <si>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</si>
  <si>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</si>
  <si>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</si>
  <si>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</si>
  <si>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</si>
  <si>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</si>
  <si>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</si>
  <si>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</si>
  <si>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</si>
  <si>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</si>
  <si>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</si>
  <si>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</si>
  <si>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</si>
  <si>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</si>
  <si>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</si>
  <si>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</si>
  <si>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</si>
  <si>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</si>
  <si>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</si>
  <si>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</si>
  <si>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</si>
  <si>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</si>
  <si>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</si>
  <si>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</si>
  <si>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</si>
  <si>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</si>
  <si>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</si>
  <si>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</si>
  <si>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</si>
  <si>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</si>
  <si>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</si>
  <si>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</si>
  <si>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</si>
  <si>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</si>
  <si>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</si>
  <si>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</si>
  <si>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</si>
  <si>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</si>
  <si>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</si>
  <si>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</si>
  <si>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</si>
  <si>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</si>
  <si>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</si>
  <si>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</si>
  <si>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</si>
  <si>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</si>
  <si>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</si>
  <si>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</si>
  <si>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</si>
  <si>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</si>
  <si>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</si>
  <si>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</si>
  <si>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</si>
  <si>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</si>
  <si>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</si>
  <si>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</si>
  <si>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</si>
  <si>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</si>
  <si>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</si>
  <si>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</si>
  <si>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</si>
  <si>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</si>
  <si>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</si>
  <si>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</si>
  <si>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</si>
  <si>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</si>
  <si>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</si>
  <si>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</si>
  <si>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</si>
  <si>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</si>
  <si>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</si>
  <si>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</si>
  <si>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</si>
  <si>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</si>
  <si>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</si>
  <si>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</si>
  <si>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</si>
  <si>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</si>
  <si>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</si>
  <si>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</si>
  <si>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</si>
  <si>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</si>
  <si>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</si>
  <si>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</si>
  <si>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</si>
  <si>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</si>
  <si>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</si>
  <si>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</si>
  <si>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</si>
  <si>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</si>
  <si>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</si>
  <si>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</si>
  <si>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</si>
  <si>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</si>
  <si>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</si>
  <si>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</si>
  <si>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</si>
  <si>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</si>
  <si>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</si>
  <si>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</si>
  <si>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</si>
  <si>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</si>
  <si>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</si>
  <si>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</si>
  <si>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</si>
  <si>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</si>
  <si>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</si>
  <si>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</si>
  <si>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</si>
  <si>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</si>
  <si>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</si>
  <si>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</si>
  <si>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</si>
  <si>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</si>
  <si>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</si>
  <si>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</si>
  <si>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</si>
  <si>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</si>
  <si>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</si>
  <si>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</si>
  <si>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</si>
  <si>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</si>
  <si>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</si>
  <si>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</si>
  <si>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</si>
  <si>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</si>
  <si>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</si>
  <si>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</si>
  <si>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</si>
  <si>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</si>
  <si>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</si>
  <si>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</si>
  <si>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</si>
  <si>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</si>
  <si>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</si>
  <si>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</si>
  <si>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</si>
  <si>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</si>
  <si>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</si>
  <si>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</si>
  <si>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</si>
  <si>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</si>
  <si>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</si>
  <si>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</si>
  <si>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</si>
  <si>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</si>
  <si>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</si>
  <si>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</si>
  <si>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</si>
  <si>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</si>
  <si>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</si>
  <si>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</si>
  <si>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</si>
  <si>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</si>
  <si>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</si>
  <si>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</si>
  <si>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</si>
  <si>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</si>
  <si>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</si>
  <si>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</si>
  <si>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</si>
  <si>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</si>
  <si>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</si>
  <si>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</si>
  <si>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</si>
  <si>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</si>
  <si>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</si>
  <si>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</si>
  <si>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</si>
  <si>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</si>
  <si>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</si>
  <si>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</si>
  <si>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</si>
  <si>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</si>
  <si>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</si>
  <si>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</si>
  <si>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</si>
  <si>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</si>
  <si>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</si>
  <si>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</si>
  <si>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</si>
  <si>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</si>
  <si>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</si>
  <si>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</si>
  <si>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</si>
  <si>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</si>
  <si>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</si>
  <si>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</si>
  <si>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</si>
  <si>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</si>
  <si>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</si>
  <si>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UNCONTACTED : Line Busy SOPHAN SOPYAN 40900827|MYDITA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</si>
  <si>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</si>
  <si>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</si>
  <si>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</si>
  <si>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</si>
  <si>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</si>
  <si>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</si>
  <si>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</si>
  <si>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</si>
  <si>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</si>
  <si>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</si>
  <si>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</si>
  <si>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</si>
  <si>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</si>
  <si>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</si>
  <si>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</si>
  <si>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</si>
  <si>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</si>
  <si>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</si>
  <si>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</si>
  <si>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</si>
  <si>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</si>
  <si>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</si>
  <si>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</si>
  <si>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</si>
  <si>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</si>
  <si>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</si>
  <si>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</si>
  <si>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</si>
  <si>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</si>
  <si>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</si>
  <si>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</si>
  <si>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</si>
  <si>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</si>
  <si>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</si>
  <si>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</si>
  <si>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</si>
  <si>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</si>
  <si>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</si>
  <si>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</si>
  <si>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</si>
  <si>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</si>
  <si>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</si>
  <si>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</si>
  <si>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</si>
  <si>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</si>
  <si>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</si>
  <si>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</si>
  <si>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</si>
  <si>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</si>
  <si>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</si>
  <si>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</si>
  <si>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</si>
  <si>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</si>
  <si>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</si>
  <si>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</si>
  <si>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</si>
  <si>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</si>
  <si>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</si>
  <si>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</si>
  <si>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</si>
  <si>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</si>
  <si>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</si>
  <si>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</si>
  <si>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</si>
  <si>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</si>
  <si>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</si>
  <si>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</si>
  <si>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</si>
  <si>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</si>
  <si>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</si>
  <si>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</si>
  <si>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</si>
  <si>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</si>
  <si>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</si>
  <si>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</si>
  <si>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</si>
  <si>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</si>
  <si>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</si>
  <si>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</si>
  <si>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</si>
  <si>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</si>
  <si>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</si>
  <si>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</si>
  <si>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</si>
  <si>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</si>
  <si>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</si>
  <si>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</si>
  <si>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</si>
  <si>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</si>
  <si>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</si>
  <si>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</si>
  <si>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</si>
  <si>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</si>
  <si>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</si>
  <si>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</si>
  <si>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</si>
  <si>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</si>
  <si>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</si>
  <si>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</si>
  <si>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</si>
  <si>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</si>
  <si>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</si>
  <si>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</si>
  <si>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</si>
  <si>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</si>
  <si>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</si>
  <si>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</si>
  <si>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</si>
  <si>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</si>
  <si>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</si>
  <si>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</si>
  <si>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</si>
  <si>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</si>
  <si>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</si>
  <si>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</si>
  <si>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</si>
  <si>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</si>
  <si>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</si>
  <si>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</si>
  <si>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</si>
  <si>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</si>
  <si>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</si>
  <si>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</si>
  <si>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</si>
  <si>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</si>
  <si>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</si>
  <si>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</si>
  <si>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</si>
  <si>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</si>
  <si>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</si>
  <si>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</si>
  <si>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</si>
  <si>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Last update proses : 02-10-2026 13:34:05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</si>
</sst>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0.16666666666666666</c:v>
                </c:pt>
                <c:pt idx="1">
                  <c:v>0.3888888888888889</c:v>
                </c:pt>
                <c:pt idx="2">
                  <c:v>0.30769230769230771</c:v>
                </c:pt>
                <c:pt idx="3">
                  <c:v>6.6666666666666666E-2</c:v>
                </c:pt>
                <c:pt idx="4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</c:v>
                      </c:pt>
                      <c:pt idx="1">
                        <c:v>18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</c:v>
                      </c:pt>
                      <c:pt idx="4">
                        <c:v>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0.25</c:v>
                      </c:pt>
                      <c:pt idx="1">
                        <c:v>0.875</c:v>
                      </c:pt>
                      <c:pt idx="2">
                        <c:v>0.4</c:v>
                      </c:pt>
                      <c:pt idx="3">
                        <c:v>0.1111111111111111</c:v>
                      </c:pt>
                      <c:pt idx="4">
                        <c:v>0.75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0.25</c:v>
                </c:pt>
                <c:pt idx="1">
                  <c:v>0.875</c:v>
                </c:pt>
                <c:pt idx="2">
                  <c:v>0.4</c:v>
                </c:pt>
                <c:pt idx="3">
                  <c:v>0.1111111111111111</c:v>
                </c:pt>
                <c:pt idx="4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</c:v>
                      </c:pt>
                      <c:pt idx="1">
                        <c:v>18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</c:v>
                      </c:pt>
                      <c:pt idx="4">
                        <c:v>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0.16666666666666666</c:v>
                      </c:pt>
                      <c:pt idx="1">
                        <c:v>0.3888888888888889</c:v>
                      </c:pt>
                      <c:pt idx="2">
                        <c:v>0.30769230769230771</c:v>
                      </c:pt>
                      <c:pt idx="3">
                        <c:v>6.6666666666666666E-2</c:v>
                      </c:pt>
                      <c:pt idx="4">
                        <c:v>0.3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</c:v>
                      </c:pt>
                      <c:pt idx="1">
                        <c:v>18</c:v>
                      </c:pt>
                      <c:pt idx="2">
                        <c:v>13</c:v>
                      </c:pt>
                      <c:pt idx="3">
                        <c:v>16</c:v>
                      </c:pt>
                      <c:pt idx="4">
                        <c:v>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</c:v>
                      </c:pt>
                      <c:pt idx="4">
                        <c:v>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0.16666666666666666</c:v>
                      </c:pt>
                      <c:pt idx="1">
                        <c:v>0.3888888888888889</c:v>
                      </c:pt>
                      <c:pt idx="2">
                        <c:v>0.30769230769230771</c:v>
                      </c:pt>
                      <c:pt idx="3">
                        <c:v>6.6666666666666666E-2</c:v>
                      </c:pt>
                      <c:pt idx="4">
                        <c:v>0.3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0.25</c:v>
                      </c:pt>
                      <c:pt idx="1">
                        <c:v>0.875</c:v>
                      </c:pt>
                      <c:pt idx="2">
                        <c:v>0.4</c:v>
                      </c:pt>
                      <c:pt idx="3">
                        <c:v>0.1111111111111111</c:v>
                      </c:pt>
                      <c:pt idx="4">
                        <c:v>0.75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97.58936863426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07"/>
    </cacheField>
    <cacheField name="ORDER_ID" numFmtId="0">
      <sharedItems containsString="0" containsBlank="1" containsNumber="1" containsInteger="1" minValue="1002616819" maxValue="1002618820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1T19:37:39"/>
    </cacheField>
    <cacheField name="LAST_UPDATED_DATE" numFmtId="0">
      <sharedItems containsNonDate="0" containsDate="1" containsString="0" containsBlank="1" minDate="2026-10-01T08:52:57" maxDate="2026-10-02T13:24:15"/>
    </cacheField>
    <cacheField name="NCLI" numFmtId="0">
      <sharedItems containsString="0" containsBlank="1" containsNumber="1" containsInteger="1" minValue="69005969" maxValue="69402688"/>
    </cacheField>
    <cacheField name="POTS" numFmtId="0">
      <sharedItems containsString="0" containsBlank="1" containsNumber="1" containsInteger="1" minValue="2716010314" maxValue="3368900010"/>
    </cacheField>
    <cacheField name="SPEEDY" numFmtId="0">
      <sharedItems containsString="0" containsBlank="1" containsNumber="1" containsInteger="1" minValue="141373127777" maxValue="172619203547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9.0351962" maxValue="124.890847764909"/>
    </cacheField>
    <cacheField name="GPS_LATITUDE" numFmtId="0">
      <sharedItems containsString="0" containsBlank="1" containsNumber="1" minValue="-10.186500000000001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1-10T19:40:32"/>
    </cacheField>
    <cacheField name="TANGGAL_MANJA" numFmtId="0">
      <sharedItems containsNonDate="0" containsDate="1" containsString="0" containsBlank="1" minDate="2026-09-25T00:00:00" maxDate="2026-10-05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NonDate="0" containsString="0" containsBlank="1"/>
    </cacheField>
    <cacheField name="TGL_MANJA" numFmtId="0">
      <sharedItems containsNonDate="0" containsDate="1" containsString="0" containsBlank="1" minDate="2026-09-25T08:00:00" maxDate="2026-10-05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"/>
    </cacheField>
    <cacheField name="PS 1" numFmtId="0">
      <sharedItems containsDate="1" containsBlank="1" containsMixedTypes="1" minDate="2026-10-01T00:00:00" maxDate="2026-10-03T00:00:00"/>
    </cacheField>
    <cacheField name="CEK" numFmtId="0">
      <sharedItems containsBlank="1" containsMixedTypes="1" containsNumber="1" minValue="-2.4583333333357587" maxValue="0.70833333333575865"/>
    </cacheField>
    <cacheField name="HASIL" numFmtId="0">
      <sharedItems containsBlank="1" count="4">
        <e v="#NUM!"/>
        <s v="COMPLY"/>
        <m/>
        <s v="NOT COMPLY" u="1"/>
      </sharedItems>
    </cacheField>
    <cacheField name="TELDA" numFmtId="0">
      <sharedItems containsBlank="1" count="111">
        <s v="SELONG"/>
        <s v="BIMA"/>
        <s v="SUMBAWA"/>
        <s v="MALANG"/>
        <s v="BATU"/>
        <s v="BLITAR"/>
        <e v="#N/A"/>
        <s v="KEDIRI"/>
        <s v="MADIUN"/>
        <s v="PONOROGO"/>
        <s v="MADURA"/>
        <s v="SURABAYA UTARA"/>
        <s v="SURABAYA SELATAN"/>
        <s v="MOJOKERTO"/>
        <s v="SIDOARJO"/>
        <s v="PASURUAN"/>
        <s v="GRESIK"/>
        <s v="BOJONEGORO"/>
        <s v="ATAMBUA"/>
        <s v="KUPANG"/>
        <s v="BANYUWANGI"/>
        <s v="JEMBER"/>
        <s v="PROBOLINGGO"/>
        <s v="ENDE"/>
        <s v="LABOAN BAJO"/>
        <s v="TABANAN"/>
        <s v="UBUNG"/>
        <s v="SINGARAJA"/>
        <m/>
        <s v="MATARAM" u="1"/>
        <s v="NGANJUK" u="1"/>
        <s v="WAINGAPU" u="1"/>
        <s v="MAUMERE" u="1"/>
        <s v="JEMBRANA" u="1"/>
        <s v="SANUR" u="1"/>
        <s v="JIMBARAN" u="1"/>
        <s v="GIANYAR" u="1"/>
        <s v="KLUNGKUNG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97.589369791669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07"/>
    </cacheField>
    <cacheField name="ORDER_ID" numFmtId="0">
      <sharedItems containsString="0" containsBlank="1" containsNumber="1" containsInteger="1" minValue="1002616819" maxValue="1002618820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1T19:37:39"/>
    </cacheField>
    <cacheField name="LAST_UPDATED_DATE" numFmtId="0">
      <sharedItems containsNonDate="0" containsDate="1" containsString="0" containsBlank="1" minDate="2026-10-01T08:52:57" maxDate="2026-10-02T13:24:15"/>
    </cacheField>
    <cacheField name="NCLI" numFmtId="0">
      <sharedItems containsString="0" containsBlank="1" containsNumber="1" containsInteger="1" minValue="69005969" maxValue="69402688"/>
    </cacheField>
    <cacheField name="POTS" numFmtId="0">
      <sharedItems containsString="0" containsBlank="1" containsNumber="1" containsInteger="1" minValue="2716010314" maxValue="3368900010"/>
    </cacheField>
    <cacheField name="SPEEDY" numFmtId="0">
      <sharedItems containsString="0" containsBlank="1" containsNumber="1" containsInteger="1" minValue="141373127777" maxValue="172619203547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9.0351962" maxValue="124.890847764909"/>
    </cacheField>
    <cacheField name="GPS_LATITUDE" numFmtId="0">
      <sharedItems containsString="0" containsBlank="1" containsNumber="1" minValue="-10.186500000000001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1-10T19:40:32"/>
    </cacheField>
    <cacheField name="TANGGAL_MANJA" numFmtId="0">
      <sharedItems containsNonDate="0" containsDate="1" containsString="0" containsBlank="1" minDate="2026-09-25T00:00:00" maxDate="2026-10-05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NonDate="0" containsString="0" containsBlank="1"/>
    </cacheField>
    <cacheField name="TGL_MANJA" numFmtId="0">
      <sharedItems containsNonDate="0" containsDate="1" containsString="0" containsBlank="1" minDate="2026-09-25T08:00:00" maxDate="2026-10-05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"/>
    </cacheField>
    <cacheField name="PS 1" numFmtId="0">
      <sharedItems containsDate="1" containsBlank="1" containsMixedTypes="1" minDate="2026-10-01T00:00:00" maxDate="2026-10-03T00:00:00"/>
    </cacheField>
    <cacheField name="CEK" numFmtId="0">
      <sharedItems containsBlank="1" containsMixedTypes="1" containsNumber="1" minValue="-2.4583333333357587" maxValue="0.70833333333575865"/>
    </cacheField>
    <cacheField name="HASIL" numFmtId="0">
      <sharedItems containsBlank="1" count="4">
        <e v="#NUM!"/>
        <s v="COMPLY"/>
        <m/>
        <s v="NOT COMPLY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8762"/>
    <n v="3"/>
    <x v="0"/>
    <n v="5"/>
    <s v="MATARAM"/>
    <s v="LOMBOK BARAT TENGAH"/>
    <s v="PRY"/>
    <s v="REG"/>
    <s v="AO"/>
    <s v="NEW SALES"/>
    <s v="1P INET"/>
    <s v="MIE - SEND SURVEY"/>
    <s v="RBS-Regional 3"/>
    <d v="2026-10-01T17:49:39"/>
    <d v="2026-10-01T17:52:06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SURVEY_NEW_MANJA"/>
    <s v="LOMBOK TENGAH"/>
    <s v="NO ADDON"/>
    <m/>
    <s v="MIE - SEND SURVEY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m/>
    <m/>
    <m/>
    <e v="#NUM!"/>
    <e v="#NUM!"/>
    <x v="0"/>
    <x v="0"/>
  </r>
  <r>
    <n v="2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3"/>
    <n v="1002617999"/>
    <n v="3"/>
    <x v="0"/>
    <n v="5"/>
    <s v="MATARAM"/>
    <s v="LOMBOK TIMUR UTARA"/>
    <s v="SEL"/>
    <s v="REG"/>
    <s v="AO"/>
    <s v="NEW SALES"/>
    <s v="1P INET"/>
    <s v="MIE - SEND SURVEY"/>
    <s v="RBS-Regional 3"/>
    <d v="2026-10-01T14:01:40"/>
    <d v="2026-10-01T14:04:07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SURVEY_NEW_MANJA"/>
    <s v="LOMBOK TIMUR"/>
    <s v="NO ADDON"/>
    <m/>
    <s v="MIE - SEND SURVEY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m/>
    <m/>
    <m/>
    <e v="#NUM!"/>
    <e v="#NUM!"/>
    <x v="0"/>
    <x v="0"/>
  </r>
  <r>
    <n v="4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5"/>
    <n v="1002618712"/>
    <n v="3"/>
    <x v="0"/>
    <n v="5"/>
    <s v="MATARAM"/>
    <s v="BIMA"/>
    <s v="SAP"/>
    <s v="REG"/>
    <s v="AO"/>
    <s v="NEW SALES"/>
    <m/>
    <s v="7 | OSS - PROVISIONING ISSUED"/>
    <s v="RBS-Regional 3"/>
    <d v="2026-10-01T17:19:59"/>
    <d v="2026-10-02T13:23:4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I"/>
    <s v="BIMA BARAT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  <x v="1"/>
  </r>
  <r>
    <n v="6"/>
    <n v="1002616820"/>
    <n v="3"/>
    <x v="0"/>
    <n v="5"/>
    <s v="MATARAM"/>
    <s v="BIMA"/>
    <s v="SIL"/>
    <s v="REG"/>
    <s v="AO"/>
    <s v="NEW SALES"/>
    <s v="1P INET"/>
    <s v="8 | OSS - PONR"/>
    <s v="RBS-Regional 3"/>
    <d v="2026-10-01T07:23:39"/>
    <d v="2026-10-02T12:45:19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ACT_COM"/>
    <s v="BIMA BARAT"/>
    <s v="NETMONK"/>
    <m/>
    <s v="PONR"/>
    <s v="HSI Bisnis Bundling Netmonk PSB 70% - 200 Mbps"/>
    <s v="INDIBIZ"/>
    <m/>
    <m/>
    <d v="2026-10-02T08:00:00"/>
    <s v="2026-10-02 08:00:00 | M Janji : (02/OKTOBER/2026) jam Pasang : 09:00 Note : hubungi pelanggan jika ingin kelokasi"/>
    <m/>
    <m/>
    <m/>
    <e v="#NUM!"/>
    <e v="#NUM!"/>
    <x v="0"/>
    <x v="1"/>
  </r>
  <r>
    <n v="7"/>
    <n v="1002616833"/>
    <n v="3"/>
    <x v="0"/>
    <n v="5"/>
    <s v="MATARAM"/>
    <s v="SUMBAWA"/>
    <s v="SBW"/>
    <s v="REG"/>
    <s v="AO"/>
    <s v="NEW SALES"/>
    <s v="1P INET"/>
    <s v="7 | OSS - PROVISIONING ISSUED"/>
    <s v="RBS-Regional 3"/>
    <d v="2026-10-01T07:53:41"/>
    <d v="2026-10-01T16:07:51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m/>
    <s v="PI"/>
    <s v="X"/>
    <s v="OCA"/>
    <m/>
    <s v="Provisioning Issued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2"/>
  </r>
  <r>
    <n v="8"/>
    <n v="1002617985"/>
    <n v="3"/>
    <x v="0"/>
    <n v="5"/>
    <s v="MATARAM"/>
    <s v="SUMBAWA"/>
    <s v="ALA"/>
    <s v="REG"/>
    <s v="AO"/>
    <s v="NEW SALES"/>
    <s v="1P INET"/>
    <s v="7 | OSS - PROVISIONING ISSUED"/>
    <s v="RBS-Regional 3"/>
    <d v="2026-10-01T13:58:40"/>
    <d v="2026-10-02T13:23:31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I"/>
    <s v="SUMBAWA TIMUR"/>
    <s v="NO ADDON"/>
    <m/>
    <s v="Provisioning Issu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m/>
    <m/>
    <m/>
    <e v="#NUM!"/>
    <e v="#NUM!"/>
    <x v="0"/>
    <x v="2"/>
  </r>
  <r>
    <n v="9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3"/>
  </r>
  <r>
    <n v="10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3"/>
  </r>
  <r>
    <n v="11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4"/>
  </r>
  <r>
    <n v="12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4"/>
  </r>
  <r>
    <n v="13"/>
    <n v="1002618740"/>
    <n v="3"/>
    <x v="1"/>
    <n v="5"/>
    <s v="KEDIRI"/>
    <s v="BLITAR"/>
    <s v="WGI"/>
    <s v="REG"/>
    <s v="AO"/>
    <s v="NEW SALES"/>
    <s v="1P INET"/>
    <s v="8 | OSS - PONR"/>
    <s v="RBS-Regional 3"/>
    <d v="2026-10-01T17:34:35"/>
    <d v="2026-10-02T12:20:54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ACT_COM"/>
    <s v="WLINGI"/>
    <s v="OCA"/>
    <m/>
    <s v="PONR"/>
    <s v="HSI Bisnis Bundling OCA Breach Checker Promo 2026 PSB 70% - 50 Mbps"/>
    <s v="INDIBIZ"/>
    <m/>
    <m/>
    <d v="2026-10-02T15:00:00"/>
    <s v="2026-10-02 15:00:00 | telp :085755252087 alt ;  manja : pagi / siang 02/10/2026 hub sebelum ke lokasi"/>
    <m/>
    <m/>
    <m/>
    <e v="#NUM!"/>
    <e v="#NUM!"/>
    <x v="0"/>
    <x v="5"/>
  </r>
  <r>
    <n v="14"/>
    <n v="1002617286"/>
    <n v="3"/>
    <x v="1"/>
    <n v="5"/>
    <s v="KEDIRI"/>
    <s v="TULUNGAGUNG"/>
    <s v="TUL"/>
    <s v="REG"/>
    <s v="AO"/>
    <s v="NEW SALES"/>
    <s v="1P INET"/>
    <s v="MIA - INVALID SURVEY"/>
    <s v="RBS-Regional 3"/>
    <d v="2026-10-01T10:13:41"/>
    <d v="2026-10-01T10:58:59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SURVEY_NEW_MANJA"/>
    <s v="TULUNGAGUNG"/>
    <s v="NETMONK"/>
    <m/>
    <s v="MIE - INVALID SURVEY - Double Input"/>
    <s v="HSI Bisnis Bundling Netmonk Promo H2 2026 PSB 70% - 50 Mbps"/>
    <s v="INDIBIZ"/>
    <m/>
    <m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5"/>
  </r>
  <r>
    <n v="15"/>
    <n v="1002617592"/>
    <n v="3"/>
    <x v="2"/>
    <n v="4"/>
    <s v="MAGELANG"/>
    <s v="MAGELANG"/>
    <s v="MGE"/>
    <s v="REG"/>
    <s v="AO"/>
    <s v="NEW SALES"/>
    <s v="1P INET"/>
    <s v="MIE - SEND SURVEY"/>
    <s v="RBS-Regional 3"/>
    <d v="2026-10-01T11:26:34"/>
    <d v="2026-10-01T11:28:07"/>
    <n v="69402247"/>
    <m/>
    <n v="146137148301"/>
    <s v="PT KEM WOOD GRACE INDUSTRY(RUANG ROTARI)"/>
    <s v="ODP-MGE-FV/104 FV/D09/104.01"/>
    <s v="WO065477316"/>
    <m/>
    <m/>
    <m/>
    <n v="110.25965598392"/>
    <n v="-7.3734311367481498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SURVEY_NEW_MANJA"/>
    <s v="X"/>
    <s v="NO ADDON"/>
    <m/>
    <s v="MIE - SEND SURVEY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m/>
    <m/>
    <m/>
    <e v="#NUM!"/>
    <e v="#NUM!"/>
    <x v="0"/>
    <x v="6"/>
  </r>
  <r>
    <n v="16"/>
    <n v="1002618470"/>
    <n v="3"/>
    <x v="1"/>
    <n v="5"/>
    <s v="KEDIRI"/>
    <s v="KEDIRI"/>
    <s v="PAE"/>
    <s v="REG"/>
    <s v="AO"/>
    <s v="NEW SALES"/>
    <s v="1P INET"/>
    <s v="MIE - SEND SURVEY"/>
    <s v="RBS-Regional 3"/>
    <d v="2026-10-01T15:55:39"/>
    <d v="2026-10-01T15:58:06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SURVEY_NEW_MANJA"/>
    <s v="PARE"/>
    <s v="NO ADDON"/>
    <m/>
    <s v="MIE - SEND SURVEY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m/>
    <m/>
    <m/>
    <e v="#NUM!"/>
    <e v="#NUM!"/>
    <x v="0"/>
    <x v="7"/>
  </r>
  <r>
    <n v="17"/>
    <n v="1002617351"/>
    <n v="3"/>
    <x v="1"/>
    <n v="5"/>
    <s v="KEDIRI"/>
    <s v="KEDIRI"/>
    <s v="MJT"/>
    <s v="REG"/>
    <s v="AO"/>
    <s v="NEW SALES"/>
    <s v="1P INET"/>
    <s v="OSS - PROVISIONING START"/>
    <s v="RBS-Regional 3"/>
    <d v="2026-10-01T10:29:40"/>
    <d v="2026-10-02T11:38:36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RE_PI"/>
    <s v="NGADILUWIH"/>
    <s v="NO ADDON"/>
    <m/>
    <s v="Provisioning Start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m/>
    <m/>
    <m/>
    <e v="#NUM!"/>
    <e v="#NUM!"/>
    <x v="0"/>
    <x v="7"/>
  </r>
  <r>
    <n v="18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7"/>
  </r>
  <r>
    <n v="19"/>
    <n v="1002618759"/>
    <n v="3"/>
    <x v="1"/>
    <n v="5"/>
    <s v="KEDIRI"/>
    <s v="KEDIRI"/>
    <s v="MJT"/>
    <s v="REG"/>
    <s v="AO"/>
    <s v="NEW SALES"/>
    <s v="1P INET"/>
    <s v="MIE - SEND SURVEY"/>
    <s v="RBS-Regional 3"/>
    <d v="2026-10-01T17:49:34"/>
    <d v="2026-10-01T17:52:01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SURVEY_NEW_MANJA"/>
    <s v="NGADILUWIH"/>
    <s v="NO ADDON"/>
    <m/>
    <s v="MIE - SEND SURVEY"/>
    <s v="HSI Bisnis Promo Hari Pelanggan Nasional PSB 70% - 300 Mbps"/>
    <s v="INDIBIZ"/>
    <m/>
    <m/>
    <d v="2026-10-02T15:00:00"/>
    <s v="2026-10-02 15:00:00 | telp :085704475116 alt ;  manja : pagi / siang 02/10/2026 hub sebelum ke lokasi "/>
    <m/>
    <m/>
    <m/>
    <e v="#NUM!"/>
    <e v="#NUM!"/>
    <x v="0"/>
    <x v="7"/>
  </r>
  <r>
    <n v="20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8"/>
  </r>
  <r>
    <n v="21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9"/>
  </r>
  <r>
    <n v="22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6"/>
  </r>
  <r>
    <n v="23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6"/>
  </r>
  <r>
    <n v="24"/>
    <n v="1002617109"/>
    <n v="3"/>
    <x v="2"/>
    <n v="4"/>
    <s v="YOGYAKARTA"/>
    <s v="SLEMAN"/>
    <s v="GOD"/>
    <s v="REG"/>
    <s v="AO"/>
    <s v="NEW SALES"/>
    <s v="1P INET"/>
    <s v="8 | OSS - PONR"/>
    <s v="RBS-Regional 3"/>
    <d v="2026-10-01T09:34:39"/>
    <d v="2026-10-02T13:16:30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ACT_COM"/>
    <s v="X"/>
    <s v="NO ADDON"/>
    <m/>
    <s v="PONR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m/>
    <m/>
    <m/>
    <e v="#NUM!"/>
    <e v="#NUM!"/>
    <x v="0"/>
    <x v="6"/>
  </r>
  <r>
    <n v="25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0"/>
  </r>
  <r>
    <n v="26"/>
    <n v="1002618796"/>
    <n v="3"/>
    <x v="3"/>
    <n v="5"/>
    <s v="MADURA"/>
    <s v="PAMEKASAN"/>
    <s v="PME"/>
    <s v="REG"/>
    <s v="AO"/>
    <s v="NEW SALES"/>
    <s v="1P INET"/>
    <s v="MIE - SEND SURVEY"/>
    <s v="RBS-Regional 3"/>
    <d v="2026-10-01T18:38:39"/>
    <d v="2026-10-01T18:40:01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SURVEY_NEW_MANJA"/>
    <s v="PAMEKASAN"/>
    <s v="NETMONK"/>
    <m/>
    <s v="MIE - SEND SURVEY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m/>
    <m/>
    <m/>
    <e v="#NUM!"/>
    <e v="#NUM!"/>
    <x v="0"/>
    <x v="10"/>
  </r>
  <r>
    <n v="27"/>
    <n v="1002617619"/>
    <n v="3"/>
    <x v="3"/>
    <n v="5"/>
    <s v="MADURA"/>
    <s v="PAMEKASAN"/>
    <s v="AJA"/>
    <s v="REG"/>
    <s v="AO"/>
    <s v="NEW SALES"/>
    <m/>
    <s v="MIA - INVALID SURVEY"/>
    <s v="RBS-Regional 3"/>
    <d v="2026-10-01T11:36:55"/>
    <d v="2026-10-02T09:44:51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0"/>
  </r>
  <r>
    <n v="28"/>
    <n v="1002617733"/>
    <n v="3"/>
    <x v="3"/>
    <n v="5"/>
    <s v="SBY UTARA"/>
    <s v="KENJERAN"/>
    <s v="KBL"/>
    <s v="REG"/>
    <s v="AO"/>
    <s v="NEW SALES"/>
    <s v="1P INET"/>
    <s v="MIA - INVALID SURVEY"/>
    <s v="RBS-Regional 3"/>
    <d v="2026-10-01T12:31:39"/>
    <d v="2026-10-02T09:43:49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m/>
    <s v="SURVEY_NEW_MANJA"/>
    <s v="KEBALEN"/>
    <s v="NO ADDON"/>
    <m/>
    <s v="MIE - INVALID SURVEY - Kendala Jalur/Rute Tarikan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1"/>
  </r>
  <r>
    <n v="29"/>
    <n v="1002618449"/>
    <n v="3"/>
    <x v="3"/>
    <n v="5"/>
    <s v="SBY UTARA"/>
    <s v="KENJERAN"/>
    <s v="KBL"/>
    <s v="REG"/>
    <s v="AO"/>
    <s v="NEW SALES"/>
    <s v="1P INET"/>
    <s v="MIE - SEND SURVEY"/>
    <s v="RBS-Regional 3"/>
    <d v="2026-10-01T15:50:34"/>
    <d v="2026-10-01T15:52:0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SURVEY_NEW_MANJA"/>
    <s v="KEBALEN"/>
    <s v="NO ADDON"/>
    <m/>
    <s v="MIE - SEND SURVEY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m/>
    <m/>
    <m/>
    <e v="#NUM!"/>
    <e v="#NUM!"/>
    <x v="0"/>
    <x v="11"/>
  </r>
  <r>
    <n v="30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1"/>
  </r>
  <r>
    <n v="31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2"/>
  </r>
  <r>
    <n v="32"/>
    <n v="1002618255"/>
    <n v="3"/>
    <x v="3"/>
    <n v="5"/>
    <s v="SBY SELATAN"/>
    <s v="KETINTANG"/>
    <s v="IJK"/>
    <s v="REG"/>
    <s v="AO"/>
    <s v="NEW SALES"/>
    <m/>
    <s v="MIE - SEND SURVEY"/>
    <s v="RBS-Regional 3"/>
    <d v="2026-10-01T15:08:33"/>
    <d v="2026-10-01T17:12:0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SURVEY_NEW_MANJA"/>
    <s v="WARU INJOKO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m/>
    <m/>
    <m/>
    <e v="#NUM!"/>
    <e v="#NUM!"/>
    <x v="0"/>
    <x v="12"/>
  </r>
  <r>
    <n v="33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1"/>
  </r>
  <r>
    <n v="34"/>
    <n v="1002618729"/>
    <n v="3"/>
    <x v="3"/>
    <n v="5"/>
    <s v="SBY UTARA"/>
    <s v="MANYAR"/>
    <s v="MGO"/>
    <s v="REG"/>
    <s v="AO"/>
    <s v="NEW SALES"/>
    <s v="1P INET"/>
    <s v="8 | OSS - PONR"/>
    <s v="RBS-Regional 3"/>
    <d v="2026-10-01T17:28:34"/>
    <d v="2026-10-02T13:18:34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ACT_COM"/>
    <s v="MERGOYOSO"/>
    <s v="NO ADDON"/>
    <m/>
    <s v="PONR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m/>
    <m/>
    <m/>
    <e v="#NUM!"/>
    <e v="#NUM!"/>
    <x v="0"/>
    <x v="12"/>
  </r>
  <r>
    <n v="35"/>
    <n v="1002616819"/>
    <n v="3"/>
    <x v="3"/>
    <n v="5"/>
    <s v="SBY UTARA"/>
    <s v="MANYAR"/>
    <s v="MGO"/>
    <s v="REG"/>
    <s v="AO"/>
    <s v="NEW SALES"/>
    <s v="1P INET"/>
    <s v="100 | REVOKE COMPLETED"/>
    <s v="RBS-Regional 3"/>
    <d v="2026-10-01T07:17:34"/>
    <d v="2026-10-02T13:01:23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Revoke Completed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2"/>
  </r>
  <r>
    <n v="36"/>
    <n v="1002618465"/>
    <n v="3"/>
    <x v="3"/>
    <n v="5"/>
    <s v="SBY UTARA"/>
    <s v="MANYAR"/>
    <s v="MGO"/>
    <s v="REG"/>
    <s v="AO"/>
    <s v="NEW SALES"/>
    <s v="2P INET + VOICE"/>
    <s v="MIE - SEND SURVEY"/>
    <s v="RBS-Regional 3"/>
    <d v="2026-10-01T15:52:40"/>
    <d v="2026-10-01T15:54:01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SURVEY_NEW_MANJA"/>
    <s v="MERGOYOSO"/>
    <s v="NO ADDON"/>
    <m/>
    <s v="MIE - SEND SURVEY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m/>
    <m/>
    <m/>
    <e v="#NUM!"/>
    <e v="#NUM!"/>
    <x v="0"/>
    <x v="12"/>
  </r>
  <r>
    <n v="37"/>
    <n v="1002618123"/>
    <n v="3"/>
    <x v="3"/>
    <n v="5"/>
    <s v="SBY SELATAN"/>
    <s v="MANYAR"/>
    <s v="MYR"/>
    <s v="REG"/>
    <s v="AO"/>
    <s v="NEW SALES"/>
    <m/>
    <s v="MIE - SEND SURVEY"/>
    <s v="RBS-Regional 3"/>
    <d v="2026-10-01T14:33:24"/>
    <d v="2026-10-01T17:28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SURVEY_NEW_MANJA"/>
    <s v="M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m/>
    <m/>
    <m/>
    <e v="#NUM!"/>
    <e v="#NUM!"/>
    <x v="0"/>
    <x v="12"/>
  </r>
  <r>
    <n v="38"/>
    <n v="1002618719"/>
    <n v="3"/>
    <x v="3"/>
    <n v="5"/>
    <s v="SBY SELATAN"/>
    <s v="MANYAR"/>
    <s v="MYR"/>
    <s v="REG"/>
    <s v="AO"/>
    <s v="NEW SALES"/>
    <m/>
    <s v="MIE - SEND SURVEY"/>
    <s v="RBS-Regional 3"/>
    <d v="2026-10-01T17:24:30"/>
    <d v="2026-10-02T10:38:01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SURVEY_NEW_MANJA"/>
    <s v="MANY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m/>
    <m/>
    <m/>
    <e v="#NUM!"/>
    <e v="#NUM!"/>
    <x v="0"/>
    <x v="12"/>
  </r>
  <r>
    <n v="39"/>
    <n v="1002618820"/>
    <n v="3"/>
    <x v="3"/>
    <n v="5"/>
    <s v="SBY SELATAN"/>
    <s v="KETINTANG"/>
    <s v="RKT"/>
    <s v="REG"/>
    <s v="AO"/>
    <s v="NEW SALES"/>
    <s v="1P INET"/>
    <s v="MIE - SEND SURVEY"/>
    <s v="RBS-Regional 3"/>
    <d v="2026-10-01T19:37:39"/>
    <d v="2026-10-01T19:40:01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SURVEY_NEW_MANJA"/>
    <s v="RUNGKUT"/>
    <s v="NO ADDON"/>
    <m/>
    <s v="MIE - SEND SURVEY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m/>
    <m/>
    <m/>
    <e v="#NUM!"/>
    <e v="#NUM!"/>
    <x v="0"/>
    <x v="12"/>
  </r>
  <r>
    <n v="40"/>
    <n v="1002617446"/>
    <n v="3"/>
    <x v="4"/>
    <n v="4"/>
    <s v="KUDUS"/>
    <s v="BLORA"/>
    <s v="BLO"/>
    <s v="REG"/>
    <s v="AO"/>
    <s v="NEW SALES"/>
    <s v="1P INET"/>
    <s v="8 | OSS - PONR"/>
    <s v="RBS-Regional 3"/>
    <d v="2026-10-01T10:47:39"/>
    <d v="2026-10-02T11:23:13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ACT_COM"/>
    <s v="X"/>
    <s v="NO ADDON"/>
    <m/>
    <s v="PONR"/>
    <s v="HSI Bisnis PSB 70% - 5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  <x v="6"/>
  </r>
  <r>
    <n v="41"/>
    <n v="1002618761"/>
    <n v="3"/>
    <x v="4"/>
    <n v="4"/>
    <s v="KUDUS"/>
    <s v="BLORA"/>
    <s v="BLO"/>
    <s v="REG"/>
    <s v="AO"/>
    <s v="NEW SALES"/>
    <s v="1P INET"/>
    <s v="MIE - SEND SURVEY"/>
    <s v="RBS-Regional 3"/>
    <d v="2026-10-01T17:49:39"/>
    <d v="2026-10-01T17:52:01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SURVEY_NEW_MANJA"/>
    <s v="X"/>
    <s v="NO ADDON"/>
    <m/>
    <s v="MIE - SEND SURVEY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m/>
    <m/>
    <m/>
    <e v="#NUM!"/>
    <e v="#NUM!"/>
    <x v="0"/>
    <x v="6"/>
  </r>
  <r>
    <n v="42"/>
    <n v="1002618342"/>
    <n v="3"/>
    <x v="4"/>
    <n v="4"/>
    <s v="KUDUS"/>
    <s v="PURWODADI"/>
    <s v="PWB"/>
    <s v="REG"/>
    <s v="AO"/>
    <s v="NEW SALES"/>
    <m/>
    <s v="7 | OSS - PROVISIONING ISSUED"/>
    <s v="RBS-Regional 3"/>
    <d v="2026-10-01T15:27:07"/>
    <d v="2026-10-02T13:11:32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m/>
    <m/>
    <m/>
    <e v="#NUM!"/>
    <e v="#NUM!"/>
    <x v="0"/>
    <x v="6"/>
  </r>
  <r>
    <n v="43"/>
    <n v="1002618094"/>
    <n v="3"/>
    <x v="4"/>
    <n v="4"/>
    <s v="KUDUS"/>
    <s v="PURWODADI"/>
    <s v="PWB"/>
    <s v="REG"/>
    <s v="AO"/>
    <s v="NEW SALES"/>
    <m/>
    <s v="MIE - SEND SURVEY"/>
    <s v="RBS-Regional 3"/>
    <d v="2026-10-01T14:26:10"/>
    <d v="2026-10-01T16:48:2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m/>
    <m/>
    <m/>
    <e v="#NUM!"/>
    <e v="#NUM!"/>
    <x v="0"/>
    <x v="6"/>
  </r>
  <r>
    <n v="44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6"/>
  </r>
  <r>
    <n v="45"/>
    <n v="1002617638"/>
    <n v="3"/>
    <x v="4"/>
    <n v="4"/>
    <s v="SOLO"/>
    <s v="INNER - SOLO JATENG TIMUR"/>
    <s v="KRT"/>
    <s v="REG"/>
    <s v="AO"/>
    <s v="NEW SALES"/>
    <s v="2P INET + VOICE"/>
    <s v="OSS - PROVISIONING START"/>
    <s v="RBS-Regional 3"/>
    <d v="2026-10-01T11:40:40"/>
    <d v="2026-10-02T08:14:5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m/>
    <s v="PRE_PI"/>
    <s v="X"/>
    <s v="NO ADDON"/>
    <m/>
    <s v="Provisioning Start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6"/>
  </r>
  <r>
    <n v="46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6"/>
  </r>
  <r>
    <n v="47"/>
    <n v="1002617973"/>
    <n v="3"/>
    <x v="4"/>
    <n v="4"/>
    <s v="SOLO"/>
    <s v="WONOGIRI"/>
    <s v="JSO"/>
    <s v="REG"/>
    <s v="AO"/>
    <s v="NEW SALES"/>
    <m/>
    <s v="MIE - SEND SURVEY"/>
    <s v="RBS-Regional 3"/>
    <d v="2026-10-01T13:57:21"/>
    <d v="2026-10-02T10:00:06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m/>
    <m/>
    <m/>
    <e v="#NUM!"/>
    <e v="#NUM!"/>
    <x v="0"/>
    <x v="6"/>
  </r>
  <r>
    <n v="48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3"/>
  </r>
  <r>
    <n v="49"/>
    <n v="1002616829"/>
    <n v="3"/>
    <x v="5"/>
    <n v="5"/>
    <s v="SIDOARJO"/>
    <s v="MOJOKERTO"/>
    <s v="MRT"/>
    <s v="REG"/>
    <s v="AO"/>
    <s v="NEW SALES"/>
    <m/>
    <s v="8 | OSS - PONR"/>
    <s v="RBS-Regional 3"/>
    <d v="2026-10-01T07:52:22"/>
    <d v="2026-10-01T18:24:44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ACT_COM"/>
    <s v="MOJOKERT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m/>
    <m/>
    <m/>
    <e v="#NUM!"/>
    <e v="#NUM!"/>
    <x v="0"/>
    <x v="13"/>
  </r>
  <r>
    <n v="50"/>
    <n v="1002617823"/>
    <n v="3"/>
    <x v="5"/>
    <n v="5"/>
    <s v="SIDOARJO"/>
    <s v="INNER - JATIM TIMUR"/>
    <s v="KRN"/>
    <s v="REG"/>
    <s v="AO"/>
    <s v="NEW SALES"/>
    <s v="1P INET"/>
    <s v="OSS - PROVISIONING START"/>
    <s v="RBS-Regional 3"/>
    <d v="2026-10-01T13:16:35"/>
    <d v="2026-10-01T16:20:30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m/>
    <s v="PRE_PI"/>
    <s v="KRIAN"/>
    <s v="NO ADDON"/>
    <m/>
    <s v="Provisioning Start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4"/>
  </r>
  <r>
    <n v="51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4"/>
  </r>
  <r>
    <n v="52"/>
    <n v="1002617312"/>
    <n v="3"/>
    <x v="5"/>
    <n v="5"/>
    <s v="SIDOARJO"/>
    <s v="INNER - JATIM TIMUR"/>
    <s v="SDN"/>
    <s v="REG"/>
    <s v="AO"/>
    <s v="NEW SALES"/>
    <s v="1P INET"/>
    <s v="7 | OSS - PROVISIONING ISSUED"/>
    <s v="RBS-Regional 3"/>
    <d v="2026-10-01T10:20:40"/>
    <d v="2026-10-02T13:24:1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I"/>
    <s v="SIDOARJO"/>
    <s v="NETMONK"/>
    <m/>
    <s v="Provisioning Issu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m/>
    <m/>
    <m/>
    <e v="#NUM!"/>
    <e v="#NUM!"/>
    <x v="0"/>
    <x v="14"/>
  </r>
  <r>
    <n v="53"/>
    <n v="1002617556"/>
    <n v="3"/>
    <x v="5"/>
    <n v="5"/>
    <s v="SIDOARJO"/>
    <s v="INNER - JATIM TIMUR"/>
    <s v="SDA"/>
    <s v="REG"/>
    <s v="AO"/>
    <s v="NEW SALES"/>
    <s v="1P INET"/>
    <s v="8 | OSS - PONR"/>
    <s v="RBS-Regional 3"/>
    <d v="2026-10-01T11:17:34"/>
    <d v="2026-10-02T10:04:50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ACT_COM"/>
    <s v="SIDOARJO"/>
    <s v="NO ADDON"/>
    <m/>
    <s v="PONR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m/>
    <m/>
    <m/>
    <e v="#NUM!"/>
    <e v="#NUM!"/>
    <x v="0"/>
    <x v="14"/>
  </r>
  <r>
    <n v="54"/>
    <n v="1002617423"/>
    <n v="3"/>
    <x v="5"/>
    <n v="5"/>
    <s v="SIDOARJO"/>
    <s v="INNER - JATIM TIMUR"/>
    <s v="SDA"/>
    <s v="REG"/>
    <s v="AO"/>
    <s v="NEW SALES"/>
    <s v="1P INET"/>
    <s v="7 | OSS - PROVISIONING ISSUED"/>
    <s v="RBS-Regional 3"/>
    <d v="2026-10-01T10:43:39"/>
    <d v="2026-10-02T08:09:24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m/>
    <s v="PI"/>
    <s v="SIDOARJO"/>
    <s v="OCA"/>
    <m/>
    <s v="Provisioning Issued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4"/>
  </r>
  <r>
    <n v="55"/>
    <n v="1002618024"/>
    <n v="3"/>
    <x v="5"/>
    <n v="5"/>
    <s v="PASURUAN"/>
    <s v="PASURUAN"/>
    <s v="BNL"/>
    <s v="REG"/>
    <s v="AO"/>
    <s v="NEW SALES"/>
    <m/>
    <s v="8 | OSS - PONR"/>
    <s v="RBS-Regional 3"/>
    <d v="2026-10-01T14:09:07"/>
    <d v="2026-10-02T12:49:37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ACT_COM"/>
    <s v="BANGIL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m/>
    <m/>
    <m/>
    <e v="#NUM!"/>
    <e v="#NUM!"/>
    <x v="0"/>
    <x v="15"/>
  </r>
  <r>
    <n v="56"/>
    <n v="1002617383"/>
    <n v="3"/>
    <x v="3"/>
    <n v="5"/>
    <s v="SBY SELATAN"/>
    <s v="KETINTANG"/>
    <s v="TPO"/>
    <s v="REG"/>
    <s v="AO"/>
    <s v="NEW SALES"/>
    <s v="1P INET"/>
    <s v="OSS - PROVISIONING START"/>
    <s v="RBS-Regional 3"/>
    <d v="2026-10-01T10:35:40"/>
    <d v="2026-10-02T08:14:43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m/>
    <s v="PRE_PI"/>
    <s v="TROPODO"/>
    <s v="NO ADDON"/>
    <m/>
    <s v="Provisioning Start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  <x v="12"/>
  </r>
  <r>
    <n v="57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2"/>
  </r>
  <r>
    <n v="58"/>
    <n v="1002617838"/>
    <n v="3"/>
    <x v="4"/>
    <n v="4"/>
    <s v="KUDUS"/>
    <s v="KUDUS"/>
    <s v="DMA"/>
    <s v="REG"/>
    <s v="AO"/>
    <s v="NEW SALES"/>
    <m/>
    <s v="MYCX - SEND OPEN PAPERLESS"/>
    <s v="RBS-Regional 3"/>
    <d v="2026-10-01T13:24:57"/>
    <d v="2026-10-01T13:28:15"/>
    <n v="69402365"/>
    <m/>
    <n v="141456115553"/>
    <s v="WISMA MUTIARA DEMAK"/>
    <s v="ODP-DMA-FB/146"/>
    <m/>
    <m/>
    <m/>
    <m/>
    <n v="110.633223053436"/>
    <n v="-6.9019571696067601"/>
    <s v="|MC60142|/JAMAL MUHLIS/081325316050/wismamutiara781@gmail.com /Permintaan PSB HSI BISNIS 1S INET 100MBPS PAKET WINBACK1/WISMA MUTIARA DEMAK"/>
    <s v="Sales Profesional"/>
    <m/>
    <m/>
    <m/>
    <m/>
    <m/>
    <m/>
    <m/>
    <m/>
    <m/>
    <m/>
    <m/>
    <d v="2026-01-10T13:40:38"/>
    <m/>
    <m/>
    <s v="INPROGRESS_SC"/>
    <s v="DEMAK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59"/>
    <n v="1002617515"/>
    <n v="3"/>
    <x v="6"/>
    <n v="4"/>
    <s v="SEMARANG"/>
    <s v="SALATIGA"/>
    <s v="SLI"/>
    <s v="REG"/>
    <s v="AO"/>
    <s v="NEW SALES"/>
    <s v="1P INET"/>
    <s v="7 | OSS - PROVISIONING ISSUED"/>
    <s v="RBS-Regional 3"/>
    <d v="2026-10-01T11:05:40"/>
    <d v="2026-10-02T08:13:58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I"/>
    <s v="X"/>
    <s v="NO ADDON"/>
    <m/>
    <s v="Provisioning Issu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m/>
    <m/>
    <m/>
    <e v="#NUM!"/>
    <e v="#NUM!"/>
    <x v="0"/>
    <x v="6"/>
  </r>
  <r>
    <n v="60"/>
    <n v="1002617361"/>
    <n v="3"/>
    <x v="4"/>
    <n v="4"/>
    <s v="KUDUS"/>
    <s v="KUDUS"/>
    <s v="KUD"/>
    <s v="REG"/>
    <s v="AO"/>
    <s v="NEW SALES"/>
    <s v="1P INET"/>
    <s v="MIE - SEND SURVEY"/>
    <s v="RBS-Regional 3"/>
    <d v="2026-10-01T10:31:39"/>
    <d v="2026-10-01T10:34:0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SEND SURVEY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6"/>
  </r>
  <r>
    <n v="61"/>
    <n v="1002618429"/>
    <n v="3"/>
    <x v="4"/>
    <n v="4"/>
    <s v="KUDUS"/>
    <s v="PATI"/>
    <s v="PAT"/>
    <s v="REG"/>
    <s v="AO"/>
    <s v="NEW SALES"/>
    <m/>
    <s v="MIE - SEND SURVEY"/>
    <s v="RBS-Regional 3"/>
    <d v="2026-10-01T15:46:58"/>
    <d v="2026-10-02T11:20:01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m/>
    <m/>
    <m/>
    <e v="#NUM!"/>
    <e v="#NUM!"/>
    <x v="0"/>
    <x v="6"/>
  </r>
  <r>
    <n v="62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6"/>
  </r>
  <r>
    <n v="63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6"/>
  </r>
  <r>
    <n v="64"/>
    <n v="1002617233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01T10:01:41"/>
    <d v="2026-10-02T08:15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I"/>
    <s v="SEMARANG TUGU"/>
    <s v="NO ADDON"/>
    <m/>
    <s v="Provisioning Issued"/>
    <s v="HSI Bisnis Promo Hari Pelanggan Nasional PSB 70% - 50 Mbps"/>
    <s v="INDIBIZ"/>
    <m/>
    <m/>
    <d v="2026-10-02T08:00:00"/>
    <s v="2026-10-02 08:00:00 | telp :085800548037  alt ;  manja : pagi / siang 02/10/2026 hub sebelum ke lokasi "/>
    <m/>
    <m/>
    <m/>
    <e v="#NUM!"/>
    <e v="#NUM!"/>
    <x v="0"/>
    <x v="6"/>
  </r>
  <r>
    <n v="65"/>
    <n v="1002618755"/>
    <n v="3"/>
    <x v="6"/>
    <n v="4"/>
    <s v="SEMARANG"/>
    <s v="INNER - SEMARANG JATENG UTARA"/>
    <s v="JHR"/>
    <s v="REG"/>
    <s v="AO"/>
    <s v="NEW SALES"/>
    <s v="1P INET"/>
    <s v="8 | OSS - PONR"/>
    <s v="RBS-Regional 3"/>
    <d v="2026-10-01T17:46:34"/>
    <d v="2026-10-02T12:50:0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ACT_COM"/>
    <s v="JOHAR"/>
    <s v="NO ADDON"/>
    <m/>
    <s v="PONR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m/>
    <m/>
    <m/>
    <e v="#NUM!"/>
    <e v="#NUM!"/>
    <x v="0"/>
    <x v="6"/>
  </r>
  <r>
    <n v="66"/>
    <n v="1002618750"/>
    <n v="3"/>
    <x v="2"/>
    <n v="4"/>
    <s v="PURWOKERTO"/>
    <s v="PURWOKERTO"/>
    <s v="PWT"/>
    <s v="REG"/>
    <s v="AO"/>
    <s v="NEW SALES"/>
    <s v="1P INET"/>
    <s v="MIE - SEND SURVEY"/>
    <s v="RBS-Regional 3"/>
    <d v="2026-10-01T17:40:40"/>
    <d v="2026-10-01T17:42:0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m/>
    <s v="SURVEY_NEW_MANJA"/>
    <s v="X"/>
    <s v="NO ADDON"/>
    <m/>
    <s v="MIE - SEND SURVEY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6"/>
  </r>
  <r>
    <n v="67"/>
    <n v="1002617282"/>
    <n v="3"/>
    <x v="2"/>
    <n v="4"/>
    <s v="PURWOKERTO"/>
    <s v="PURWOKERTO"/>
    <s v="PWT"/>
    <s v="REG"/>
    <s v="AO"/>
    <s v="NEW SALES"/>
    <m/>
    <s v="MIE - SEND SURVEY"/>
    <s v="RBS-Regional 3"/>
    <d v="2026-10-01T10:18:08"/>
    <d v="2026-10-01T14:52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6"/>
  </r>
  <r>
    <n v="68"/>
    <n v="1002616994"/>
    <n v="3"/>
    <x v="2"/>
    <n v="4"/>
    <s v="PURWOKERTO"/>
    <s v="BANJARNEGARA"/>
    <s v="BJR"/>
    <s v="REG"/>
    <s v="AO"/>
    <s v="NEW SALES"/>
    <m/>
    <s v="CC - HD1A - INPROGRESS UNCONTACTED"/>
    <s v="RBS-Regional 3"/>
    <d v="2026-10-01T09:07:32"/>
    <d v="2026-10-02T11:23:26"/>
    <n v="69402039"/>
    <m/>
    <n v="146372102975"/>
    <s v="Kopi Jjb Ratamba"/>
    <s v="ODP-BJR-FAE/052"/>
    <m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m/>
    <m/>
    <m/>
    <d v="2026-01-10T09:25:42"/>
    <m/>
    <m/>
    <s v="FCC"/>
    <s v="X"/>
    <s v="NO ADDON"/>
    <m/>
    <s v="UNCONTACTED : Mail Box - Memo Putri Arviyanti 40971304|MYDITA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m/>
    <m/>
    <m/>
    <m/>
    <m/>
    <e v="#NUM!"/>
    <e v="#NUM!"/>
    <x v="0"/>
    <x v="6"/>
  </r>
  <r>
    <n v="69"/>
    <n v="1002618109"/>
    <n v="3"/>
    <x v="2"/>
    <n v="4"/>
    <s v="PURWOKERTO"/>
    <s v="BANJARNEGARA"/>
    <s v="KLP"/>
    <s v="REG"/>
    <s v="AO"/>
    <s v="NEW SALES"/>
    <s v="1P INET"/>
    <s v="OSS - PROVISIONING START"/>
    <s v="RBS-Regional 3"/>
    <d v="2026-10-01T14:28:35"/>
    <d v="2026-10-02T11:18:32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PRE_PI"/>
    <s v="KLAMPOK"/>
    <s v="NO ADDON"/>
    <m/>
    <s v="Provisioning Start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6"/>
  </r>
  <r>
    <n v="70"/>
    <n v="1002617796"/>
    <n v="3"/>
    <x v="2"/>
    <n v="4"/>
    <s v="MAGELANG"/>
    <s v="WONOSOBO"/>
    <s v="WOS"/>
    <s v="REG"/>
    <s v="AO"/>
    <s v="NEW SALES"/>
    <s v="1P INET"/>
    <s v="OSS - PROVISIONING DESAIN"/>
    <s v="RBS-Regional 3"/>
    <d v="2026-10-01T13:07:34"/>
    <d v="2026-10-02T13:24:13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RE_PI"/>
    <s v="X"/>
    <s v="OCA"/>
    <m/>
    <s v="Provisioning Design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m/>
    <m/>
    <m/>
    <e v="#NUM!"/>
    <e v="#NUM!"/>
    <x v="0"/>
    <x v="6"/>
  </r>
  <r>
    <n v="71"/>
    <n v="1002618398"/>
    <n v="3"/>
    <x v="6"/>
    <n v="4"/>
    <s v="PEKALONGAN"/>
    <s v="PEMALANG"/>
    <s v="RDD"/>
    <s v="REG"/>
    <s v="AO"/>
    <s v="NEW SALES"/>
    <s v="1P INET"/>
    <s v="MIE - SEND SURVEY"/>
    <s v="RBS-Regional 3"/>
    <d v="2026-10-01T15:38:34"/>
    <d v="2026-10-01T15:40:03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SURVEY_NEW_MANJA"/>
    <s v="RANDUDONGKAL"/>
    <s v="NO ADDON"/>
    <m/>
    <s v="MIE - SEND SURVEY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m/>
    <m/>
    <m/>
    <e v="#NUM!"/>
    <e v="#NUM!"/>
    <x v="0"/>
    <x v="6"/>
  </r>
  <r>
    <n v="72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6"/>
  </r>
  <r>
    <n v="73"/>
    <n v="1002618704"/>
    <n v="3"/>
    <x v="6"/>
    <n v="4"/>
    <s v="PEKALONGAN"/>
    <s v="BREBES"/>
    <s v="BRB"/>
    <s v="REG"/>
    <s v="AO"/>
    <s v="NEW SALES"/>
    <s v="1P INET"/>
    <s v="MIE - SEND SURVEY"/>
    <s v="RBS-Regional 3"/>
    <d v="2026-10-01T17:14:40"/>
    <d v="2026-10-01T17:16:01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SURVEY_NEW_MANJA"/>
    <s v="X"/>
    <s v="NO ADDON"/>
    <m/>
    <s v="MIE - SEND SURVEY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m/>
    <m/>
    <m/>
    <e v="#NUM!"/>
    <e v="#NUM!"/>
    <x v="0"/>
    <x v="6"/>
  </r>
  <r>
    <n v="74"/>
    <n v="1002618417"/>
    <n v="3"/>
    <x v="6"/>
    <n v="4"/>
    <s v="PEKALONGAN"/>
    <s v="BREBES"/>
    <s v="BMU"/>
    <s v="REG"/>
    <s v="AO"/>
    <s v="NEW SALES"/>
    <m/>
    <s v="CC - HD1A - INPROGRESS UNCONTACTED"/>
    <s v="RBS-Regional 3"/>
    <d v="2026-10-01T15:44:25"/>
    <d v="2026-10-02T12:20:24"/>
    <n v="69402558"/>
    <m/>
    <n v="146281108645"/>
    <s v="SMK MUHAMMADIYAH 1 PAGUYANGAN"/>
    <s v="ODP-BMU-FG/013"/>
    <m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m/>
    <m/>
    <m/>
    <d v="2026-01-10T16:39:58"/>
    <m/>
    <m/>
    <s v="FCC"/>
    <s v="BUMIAYU"/>
    <s v="NO ADDON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75"/>
    <n v="1002618251"/>
    <n v="3"/>
    <x v="6"/>
    <n v="4"/>
    <s v="PEKALONGAN"/>
    <s v="BREBES"/>
    <s v="BMU"/>
    <s v="REG"/>
    <s v="AO"/>
    <s v="NEW SALES"/>
    <m/>
    <s v="CC - HD1A - INPROGRESS UNCONTACTED"/>
    <s v="RBS-Regional 3"/>
    <d v="2026-10-01T15:07:39"/>
    <d v="2026-10-02T12:19:45"/>
    <n v="69402491"/>
    <m/>
    <n v="146281108643"/>
    <s v="SMK MUHAMMADIYAH 1 PAGUYANGAN"/>
    <s v="ODP-BMU-FG/013"/>
    <m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m/>
    <m/>
    <m/>
    <d v="2026-01-10T15:10:59"/>
    <m/>
    <m/>
    <s v="FCC"/>
    <s v="BUMIAYU"/>
    <s v="NO ADDON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76"/>
    <n v="1002618002"/>
    <n v="3"/>
    <x v="6"/>
    <n v="4"/>
    <s v="PEKALONGAN"/>
    <s v="TEGAL"/>
    <s v="MGN"/>
    <s v="REG"/>
    <s v="AO"/>
    <s v="NEW SALES"/>
    <m/>
    <s v="MIE - SEND SURVEY"/>
    <s v="RBS-Regional 4"/>
    <d v="2026-10-01T14:04:27"/>
    <d v="2026-10-01T17:06:11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6"/>
  </r>
  <r>
    <n v="77"/>
    <n v="1002617834"/>
    <n v="3"/>
    <x v="6"/>
    <n v="4"/>
    <s v="PEKALONGAN"/>
    <s v="TEGAL"/>
    <s v="MGN"/>
    <s v="REG"/>
    <s v="AO"/>
    <s v="NEW SALES"/>
    <m/>
    <s v="MIE - SEND SURVEY"/>
    <s v="RBS-Regional 4"/>
    <d v="2026-10-01T13:23:04"/>
    <d v="2026-10-01T17:04:02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6"/>
  </r>
  <r>
    <n v="78"/>
    <n v="1002618011"/>
    <n v="3"/>
    <x v="6"/>
    <n v="4"/>
    <s v="PEKALONGAN"/>
    <s v="SLAWI"/>
    <s v="BLU"/>
    <s v="REG"/>
    <s v="AO"/>
    <s v="NEW SALES"/>
    <s v="1P INET"/>
    <s v="7 | OSS - PROVISIONING ISSUED"/>
    <s v="RBS-Regional 3"/>
    <d v="2026-10-01T14:04:34"/>
    <d v="2026-10-02T11:13:21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PI"/>
    <s v="X"/>
    <s v="NO ADDON"/>
    <m/>
    <s v="Provisioning Issued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6"/>
  </r>
  <r>
    <n v="79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6"/>
  </r>
  <r>
    <n v="8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6"/>
  </r>
  <r>
    <n v="81"/>
    <n v="1002618083"/>
    <n v="3"/>
    <x v="3"/>
    <n v="5"/>
    <s v="SBY UTARA"/>
    <s v="LAMONGAN"/>
    <s v="BBA"/>
    <s v="REG"/>
    <s v="AO"/>
    <s v="NEW SALES"/>
    <m/>
    <s v="MIE - SEND SURVEY"/>
    <s v="RBS-Regional 3"/>
    <d v="2026-10-01T14:22:50"/>
    <d v="2026-10-01T16:20:07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6"/>
  </r>
  <r>
    <n v="82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6"/>
  </r>
  <r>
    <n v="83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7"/>
  </r>
  <r>
    <n v="84"/>
    <n v="1002617935"/>
    <n v="3"/>
    <x v="1"/>
    <n v="5"/>
    <s v="MADIUN"/>
    <s v="BOJONEGORO"/>
    <s v="SMJ"/>
    <s v="REG"/>
    <s v="AO"/>
    <s v="NEW SALES"/>
    <s v="1P INET"/>
    <s v="MIE - SEND SURVEY"/>
    <s v="RBS-Regional 3"/>
    <d v="2026-10-01T13:47:35"/>
    <d v="2026-10-01T13:50:01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SURVEY_NEW_MANJA"/>
    <s v="PADANGAN"/>
    <s v="NETMONK"/>
    <m/>
    <s v="MIE - SEND SURVEY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7"/>
  </r>
  <r>
    <n v="85"/>
    <n v="1002618689"/>
    <n v="3"/>
    <x v="1"/>
    <n v="5"/>
    <s v="MADIUN"/>
    <s v="BOJONEGORO"/>
    <s v="SMJ"/>
    <s v="REG"/>
    <s v="AO"/>
    <s v="NEW SALES"/>
    <s v="1P INET"/>
    <s v="MIE - SEND SURVEY"/>
    <s v="RBS-Regional 3"/>
    <d v="2026-10-01T17:05:34"/>
    <d v="2026-10-01T17:08:01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SURVEY_NEW_MANJA"/>
    <s v="PADANGAN"/>
    <s v="NETMONK"/>
    <m/>
    <s v="MIE - SEND SURVEY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7"/>
  </r>
  <r>
    <n v="86"/>
    <n v="1002618507"/>
    <n v="3"/>
    <x v="1"/>
    <n v="5"/>
    <s v="MADIUN"/>
    <s v="TUBAN"/>
    <s v="BCR"/>
    <s v="REG"/>
    <s v="AO"/>
    <s v="NEW SALES"/>
    <s v="1P INET"/>
    <s v="MIE - SEND SURVEY"/>
    <s v="RBS-Regional 3"/>
    <d v="2026-10-01T16:07:39"/>
    <d v="2026-10-01T16:10:01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SURVEY_NEW_MANJA"/>
    <s v="JATIROGO BANCAR"/>
    <s v="NO ADDON"/>
    <m/>
    <s v="MIE - SEND SURVEY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7"/>
  </r>
  <r>
    <n v="87"/>
    <n v="1002617098"/>
    <n v="3"/>
    <x v="1"/>
    <n v="5"/>
    <s v="MADIUN"/>
    <s v="TUBAN"/>
    <s v="JTR"/>
    <s v="REG"/>
    <s v="AO"/>
    <s v="NEW SALES"/>
    <s v="1P INET"/>
    <s v="OSS - PROVISIONING START"/>
    <s v="RBS-Regional 3"/>
    <d v="2026-10-01T09:31:42"/>
    <d v="2026-10-02T08:14:47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m/>
    <s v="PRE_PI"/>
    <s v="JATIROGO BANCAR"/>
    <s v="NO ADDON"/>
    <m/>
    <s v="Provisioning Start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7"/>
  </r>
  <r>
    <n v="88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7"/>
  </r>
  <r>
    <n v="89"/>
    <n v="1002617187"/>
    <n v="3"/>
    <x v="0"/>
    <n v="5"/>
    <s v="KUPANG"/>
    <s v="ATAMBUA"/>
    <s v="ATB"/>
    <s v="REG"/>
    <s v="AO"/>
    <s v="NEW SALES"/>
    <s v="1P INET"/>
    <s v="8 | OSS - PONR"/>
    <s v="RBS-Regional 3"/>
    <d v="2026-10-01T09:50:35"/>
    <d v="2026-10-02T12:25:03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ACT_COM"/>
    <s v="X"/>
    <s v="NO ADDON"/>
    <m/>
    <s v="PONR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m/>
    <m/>
    <m/>
    <e v="#NUM!"/>
    <e v="#NUM!"/>
    <x v="0"/>
    <x v="18"/>
  </r>
  <r>
    <n v="90"/>
    <n v="1002617177"/>
    <n v="3"/>
    <x v="0"/>
    <n v="5"/>
    <s v="KUPANG"/>
    <s v="KUPANG"/>
    <s v="OSP"/>
    <s v="REG"/>
    <s v="AO"/>
    <s v="NEW SALES"/>
    <m/>
    <s v="OSS - PROVISIONING START"/>
    <s v="RBS-Regional 4"/>
    <d v="2026-10-01T09:49:48"/>
    <d v="2026-10-02T11:12:38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RE_PI"/>
    <s v="KUPANG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19"/>
  </r>
  <r>
    <n v="91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19"/>
  </r>
  <r>
    <n v="92"/>
    <n v="1002617806"/>
    <n v="3"/>
    <x v="0"/>
    <n v="5"/>
    <s v="KUPANG"/>
    <s v="KUPANG"/>
    <s v="KPN"/>
    <s v="REG"/>
    <s v="AO"/>
    <s v="NEW SALES"/>
    <s v="1P INET"/>
    <s v="OSS - PROVISIONING DESAIN"/>
    <s v="RBS-Regional 3"/>
    <d v="2026-10-01T13:10:39"/>
    <d v="2026-10-02T13:23:1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RE_PI"/>
    <s v="KUPANG"/>
    <s v="NO ADDON"/>
    <m/>
    <s v="Provisioning Design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m/>
    <m/>
    <m/>
    <e v="#NUM!"/>
    <e v="#NUM!"/>
    <x v="0"/>
    <x v="19"/>
  </r>
  <r>
    <n v="93"/>
    <n v="1002618763"/>
    <n v="3"/>
    <x v="0"/>
    <n v="5"/>
    <s v="KUPANG"/>
    <s v="KUPANG"/>
    <s v="KPN"/>
    <s v="REG"/>
    <s v="AO"/>
    <s v="NEW SALES"/>
    <s v="1P INET"/>
    <s v="7 | OSS - PROVISIONING ISSUED"/>
    <s v="RBS-Regional 3"/>
    <d v="2026-10-01T17:50:39"/>
    <d v="2026-10-02T09:33:35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I"/>
    <s v="KUPANG"/>
    <s v="NO ADDON"/>
    <m/>
    <s v="Provisioning Issu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m/>
    <m/>
    <m/>
    <e v="#NUM!"/>
    <e v="#NUM!"/>
    <x v="0"/>
    <x v="19"/>
  </r>
  <r>
    <n v="94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0"/>
  </r>
  <r>
    <n v="95"/>
    <n v="1002618623"/>
    <n v="3"/>
    <x v="5"/>
    <n v="5"/>
    <s v="JEMBER"/>
    <s v="SITUBONDO"/>
    <s v="MLD"/>
    <s v="REG"/>
    <s v="AO"/>
    <s v="NEW SALES"/>
    <s v="1P INET"/>
    <s v="MIE - SEND SURVEY"/>
    <s v="RBS-Regional 3"/>
    <d v="2026-10-01T16:43:40"/>
    <d v="2026-10-01T16:46:21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SURVEY_NEW_MANJA"/>
    <s v="SITUBONDO"/>
    <s v="NO ADDON"/>
    <m/>
    <s v="MIE - SEND SURVEY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m/>
    <m/>
    <m/>
    <e v="#NUM!"/>
    <e v="#NUM!"/>
    <x v="0"/>
    <x v="20"/>
  </r>
  <r>
    <n v="96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1"/>
  </r>
  <r>
    <n v="97"/>
    <n v="1002617727"/>
    <n v="3"/>
    <x v="5"/>
    <n v="5"/>
    <s v="JEMBER"/>
    <s v="JEMBER"/>
    <s v="JER"/>
    <s v="REG"/>
    <s v="AO"/>
    <s v="NEW SALES"/>
    <s v="1P INET"/>
    <s v="8 | OSS - PONR"/>
    <s v="RBS-Regional 3"/>
    <d v="2026-10-01T12:28:35"/>
    <d v="2026-10-02T12:58:1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ACT_COM"/>
    <s v="JEMBER"/>
    <s v="NO ADDON"/>
    <m/>
    <s v="PONR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m/>
    <m/>
    <m/>
    <e v="#NUM!"/>
    <e v="#NUM!"/>
    <x v="0"/>
    <x v="21"/>
  </r>
  <r>
    <n v="98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2"/>
  </r>
  <r>
    <n v="99"/>
    <n v="1002617892"/>
    <n v="3"/>
    <x v="0"/>
    <n v="5"/>
    <s v="KUPANG"/>
    <s v="ENDE"/>
    <s v="END"/>
    <s v="REG"/>
    <s v="AO"/>
    <s v="NEW SALES"/>
    <s v="1P INET"/>
    <s v="8 | OSS - PONR"/>
    <s v="RBS-Regional 3"/>
    <d v="2026-10-01T13:37:40"/>
    <d v="2026-10-02T09:47:24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ACT_COM"/>
    <s v="ENDE"/>
    <s v="NO ADDON"/>
    <m/>
    <s v="PONR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m/>
    <m/>
    <m/>
    <e v="#NUM!"/>
    <e v="#NUM!"/>
    <x v="0"/>
    <x v="23"/>
  </r>
  <r>
    <n v="100"/>
    <n v="1002618764"/>
    <n v="3"/>
    <x v="0"/>
    <n v="5"/>
    <s v="KUPANG"/>
    <s v="ENDE"/>
    <s v="END"/>
    <s v="REG"/>
    <s v="AO"/>
    <s v="NEW SALES"/>
    <s v="1P INET"/>
    <s v="MIE - SEND SURVEY"/>
    <s v="RBS-Regional 3"/>
    <d v="2026-10-01T17:52:36"/>
    <d v="2026-10-01T17:54:06"/>
    <n v="69402663"/>
    <m/>
    <n v="172506789383"/>
    <s v="APOTIK AS-SIDIQ FARMA"/>
    <s v="ODP-END-FC/08 FC/D01/08.01"/>
    <s v="WO065523626"/>
    <m/>
    <m/>
    <m/>
    <n v="121.6441032"/>
    <n v="-8.8523017999999993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SURVEY_NEW_MANJA"/>
    <s v="ENDE"/>
    <s v="NO ADDON"/>
    <m/>
    <s v="MIE - SEND SURVEY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m/>
    <m/>
    <m/>
    <e v="#NUM!"/>
    <e v="#NUM!"/>
    <x v="0"/>
    <x v="23"/>
  </r>
  <r>
    <n v="101"/>
    <n v="1002617761"/>
    <n v="3"/>
    <x v="0"/>
    <n v="5"/>
    <s v="KUPANG"/>
    <s v="LABOAN BAJO"/>
    <s v="RTE"/>
    <s v="REG"/>
    <s v="AO"/>
    <s v="NEW SALES"/>
    <s v="1P INET"/>
    <s v="8 | OSS - PONR"/>
    <s v="RBS-Regional 3"/>
    <d v="2026-10-01T12:46:43"/>
    <d v="2026-10-02T13:07:02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ACT_COM"/>
    <s v="X"/>
    <s v="NO ADDON"/>
    <m/>
    <s v="PONR"/>
    <s v="HSI Bisnis Promo Hari Pelanggan Nasional PSB 70% - 50 Mbps"/>
    <s v="INDIBIZ"/>
    <m/>
    <m/>
    <d v="2026-10-02T11:00:00"/>
    <s v="2026-10-02 11:00:00 | telp :081228493330 alt ;  manja : pagi / siang 02/10/2026 hub sebelum ke lokasi"/>
    <m/>
    <m/>
    <m/>
    <e v="#NUM!"/>
    <e v="#NUM!"/>
    <x v="0"/>
    <x v="24"/>
  </r>
  <r>
    <n v="102"/>
    <n v="1002617688"/>
    <n v="3"/>
    <x v="7"/>
    <n v="5"/>
    <s v="SINGARJA"/>
    <s v="TABANAN"/>
    <s v="BTR"/>
    <s v="REG"/>
    <s v="AO"/>
    <s v="NEW SALES"/>
    <m/>
    <s v="8 | OSS - PONR"/>
    <s v="RBS-Regional 3"/>
    <d v="2026-10-01T12:05:21"/>
    <d v="2026-10-02T11:19:08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m/>
    <m/>
    <m/>
    <e v="#NUM!"/>
    <e v="#NUM!"/>
    <x v="0"/>
    <x v="25"/>
  </r>
  <r>
    <n v="103"/>
    <n v="1002617698"/>
    <n v="3"/>
    <x v="7"/>
    <n v="5"/>
    <s v="SINGARJA"/>
    <s v="TABANAN"/>
    <s v="BTR"/>
    <s v="REG"/>
    <s v="AO"/>
    <s v="NEW SALES"/>
    <m/>
    <s v="8 | OSS - PONR"/>
    <s v="RBS-Regional 3"/>
    <d v="2026-10-01T12:09:19"/>
    <d v="2026-10-02T09:52:24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m/>
    <m/>
    <m/>
    <e v="#NUM!"/>
    <e v="#NUM!"/>
    <x v="0"/>
    <x v="25"/>
  </r>
  <r>
    <n v="104"/>
    <n v="1002617925"/>
    <n v="3"/>
    <x v="7"/>
    <n v="5"/>
    <s v="DENPASAR"/>
    <s v="UBUNG"/>
    <s v="UBN"/>
    <s v="REG"/>
    <s v="AO"/>
    <s v="NEW SALES"/>
    <m/>
    <s v="OSS - PROVISIONING START"/>
    <s v="RBS-Regional 3"/>
    <d v="2026-10-01T13:48:55"/>
    <d v="2026-10-02T11:42:44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m/>
    <s v="PRE_PI"/>
    <s v="UBUNG"/>
    <s v="NETMONK"/>
    <m/>
    <s v="Provisioning Start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26"/>
  </r>
  <r>
    <n v="105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26"/>
  </r>
  <r>
    <n v="106"/>
    <n v="1002616933"/>
    <n v="3"/>
    <x v="7"/>
    <n v="5"/>
    <s v="DENPASAR"/>
    <s v="UBUNG"/>
    <s v="UBN"/>
    <s v="REG"/>
    <s v="AO"/>
    <s v="NEW SALES"/>
    <m/>
    <s v="7 | OSS - PROVISIONING ISSUED"/>
    <s v="RBS-Regional 3"/>
    <d v="2026-10-01T08:46:21"/>
    <d v="2026-10-01T08:52:57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m/>
    <s v="PI"/>
    <s v="UBUNG"/>
    <s v="OCA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26"/>
  </r>
  <r>
    <n v="107"/>
    <n v="1002617750"/>
    <n v="3"/>
    <x v="7"/>
    <n v="5"/>
    <s v="SINGARJA"/>
    <s v="SINGARAJA"/>
    <s v="KNT"/>
    <s v="REG"/>
    <s v="AO"/>
    <s v="NEW SALES"/>
    <m/>
    <s v="MIE - SEND SURVEY"/>
    <s v="RBS-Regional 3"/>
    <d v="2026-10-01T12:43:31"/>
    <d v="2026-10-01T15:36:07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SURVEY_NEW_MANJA"/>
    <s v="X"/>
    <s v="NETMONK"/>
    <m/>
    <s v="MIE - SEND SURVEY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m/>
    <m/>
    <m/>
    <e v="#NUM!"/>
    <e v="#NUM!"/>
    <x v="0"/>
    <x v="2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x v="2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8762"/>
    <n v="3"/>
    <x v="0"/>
    <n v="5"/>
    <s v="MATARAM"/>
    <s v="LOMBOK BARAT TENGAH"/>
    <s v="PRY"/>
    <s v="REG"/>
    <s v="AO"/>
    <x v="0"/>
    <s v="1P INET"/>
    <s v="MIE - SEND SURVEY"/>
    <s v="RBS-Regional 3"/>
    <d v="2026-10-01T17:49:39"/>
    <d v="2026-10-01T17:52:06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SURVEY_NEW_MANJA"/>
    <s v="LOMBOK TENGAH"/>
    <s v="NO ADDON"/>
    <m/>
    <s v="MIE - SEND SURVEY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m/>
    <m/>
    <m/>
    <e v="#NUM!"/>
    <e v="#NUM!"/>
    <x v="0"/>
  </r>
  <r>
    <n v="2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3"/>
    <n v="1002617999"/>
    <n v="3"/>
    <x v="0"/>
    <n v="5"/>
    <s v="MATARAM"/>
    <s v="LOMBOK TIMUR UTARA"/>
    <s v="SEL"/>
    <s v="REG"/>
    <s v="AO"/>
    <x v="0"/>
    <s v="1P INET"/>
    <s v="MIE - SEND SURVEY"/>
    <s v="RBS-Regional 3"/>
    <d v="2026-10-01T14:01:40"/>
    <d v="2026-10-01T14:04:07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SURVEY_NEW_MANJA"/>
    <s v="LOMBOK TIMUR"/>
    <s v="NO ADDON"/>
    <m/>
    <s v="MIE - SEND SURVEY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m/>
    <m/>
    <m/>
    <e v="#NUM!"/>
    <e v="#NUM!"/>
    <x v="0"/>
  </r>
  <r>
    <n v="4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5"/>
    <n v="1002618712"/>
    <n v="3"/>
    <x v="0"/>
    <n v="5"/>
    <s v="MATARAM"/>
    <s v="BIMA"/>
    <s v="SAP"/>
    <s v="REG"/>
    <s v="AO"/>
    <x v="0"/>
    <m/>
    <s v="7 | OSS - PROVISIONING ISSUED"/>
    <s v="RBS-Regional 3"/>
    <d v="2026-10-01T17:19:59"/>
    <d v="2026-10-02T13:23:4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I"/>
    <s v="BIMA BARAT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</r>
  <r>
    <n v="6"/>
    <n v="1002616820"/>
    <n v="3"/>
    <x v="0"/>
    <n v="5"/>
    <s v="MATARAM"/>
    <s v="BIMA"/>
    <s v="SIL"/>
    <s v="REG"/>
    <s v="AO"/>
    <x v="0"/>
    <s v="1P INET"/>
    <s v="8 | OSS - PONR"/>
    <s v="RBS-Regional 3"/>
    <d v="2026-10-01T07:23:39"/>
    <d v="2026-10-02T12:45:19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ACT_COM"/>
    <s v="BIMA BARAT"/>
    <s v="NETMONK"/>
    <m/>
    <s v="PONR"/>
    <s v="HSI Bisnis Bundling Netmonk PSB 70% - 200 Mbps"/>
    <s v="INDIBIZ"/>
    <m/>
    <m/>
    <d v="2026-10-02T08:00:00"/>
    <s v="2026-10-02 08:00:00 | M Janji : (02/OKTOBER/2026) jam Pasang : 09:00 Note : hubungi pelanggan jika ingin kelokasi"/>
    <m/>
    <m/>
    <m/>
    <e v="#NUM!"/>
    <e v="#NUM!"/>
    <x v="0"/>
  </r>
  <r>
    <n v="7"/>
    <n v="1002616833"/>
    <n v="3"/>
    <x v="0"/>
    <n v="5"/>
    <s v="MATARAM"/>
    <s v="SUMBAWA"/>
    <s v="SBW"/>
    <s v="REG"/>
    <s v="AO"/>
    <x v="0"/>
    <s v="1P INET"/>
    <s v="7 | OSS - PROVISIONING ISSUED"/>
    <s v="RBS-Regional 3"/>
    <d v="2026-10-01T07:53:41"/>
    <d v="2026-10-01T16:07:51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m/>
    <s v="PI"/>
    <s v="X"/>
    <s v="OCA"/>
    <m/>
    <s v="Provisioning Issued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8"/>
    <n v="1002617985"/>
    <n v="3"/>
    <x v="0"/>
    <n v="5"/>
    <s v="MATARAM"/>
    <s v="SUMBAWA"/>
    <s v="ALA"/>
    <s v="REG"/>
    <s v="AO"/>
    <x v="0"/>
    <s v="1P INET"/>
    <s v="7 | OSS - PROVISIONING ISSUED"/>
    <s v="RBS-Regional 3"/>
    <d v="2026-10-01T13:58:40"/>
    <d v="2026-10-02T13:23:31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I"/>
    <s v="SUMBAWA TIMUR"/>
    <s v="NO ADDON"/>
    <m/>
    <s v="Provisioning Issu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m/>
    <m/>
    <m/>
    <e v="#NUM!"/>
    <e v="#NUM!"/>
    <x v="0"/>
  </r>
  <r>
    <n v="9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10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11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12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13"/>
    <n v="1002618740"/>
    <n v="3"/>
    <x v="1"/>
    <n v="5"/>
    <s v="KEDIRI"/>
    <s v="BLITAR"/>
    <s v="WGI"/>
    <s v="REG"/>
    <s v="AO"/>
    <x v="0"/>
    <s v="1P INET"/>
    <s v="8 | OSS - PONR"/>
    <s v="RBS-Regional 3"/>
    <d v="2026-10-01T17:34:35"/>
    <d v="2026-10-02T12:20:54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ACT_COM"/>
    <s v="WLINGI"/>
    <s v="OCA"/>
    <m/>
    <s v="PONR"/>
    <s v="HSI Bisnis Bundling OCA Breach Checker Promo 2026 PSB 70% - 50 Mbps"/>
    <s v="INDIBIZ"/>
    <m/>
    <m/>
    <d v="2026-10-02T15:00:00"/>
    <s v="2026-10-02 15:00:00 | telp :085755252087 alt ;  manja : pagi / siang 02/10/2026 hub sebelum ke lokasi"/>
    <m/>
    <m/>
    <m/>
    <e v="#NUM!"/>
    <e v="#NUM!"/>
    <x v="0"/>
  </r>
  <r>
    <n v="14"/>
    <n v="1002617286"/>
    <n v="3"/>
    <x v="1"/>
    <n v="5"/>
    <s v="KEDIRI"/>
    <s v="TULUNGAGUNG"/>
    <s v="TUL"/>
    <s v="REG"/>
    <s v="AO"/>
    <x v="0"/>
    <s v="1P INET"/>
    <s v="MIA - INVALID SURVEY"/>
    <s v="RBS-Regional 3"/>
    <d v="2026-10-01T10:13:41"/>
    <d v="2026-10-01T10:58:59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SURVEY_NEW_MANJA"/>
    <s v="TULUNGAGUNG"/>
    <s v="NETMONK"/>
    <m/>
    <s v="MIE - INVALID SURVEY - Double Input"/>
    <s v="HSI Bisnis Bundling Netmonk Promo H2 2026 PSB 70% - 50 Mbps"/>
    <s v="INDIBIZ"/>
    <m/>
    <m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15"/>
    <n v="1002617592"/>
    <n v="3"/>
    <x v="2"/>
    <n v="4"/>
    <s v="MAGELANG"/>
    <s v="MAGELANG"/>
    <s v="MGE"/>
    <s v="REG"/>
    <s v="AO"/>
    <x v="0"/>
    <s v="1P INET"/>
    <s v="MIE - SEND SURVEY"/>
    <s v="RBS-Regional 3"/>
    <d v="2026-10-01T11:26:34"/>
    <d v="2026-10-01T11:28:07"/>
    <n v="69402247"/>
    <m/>
    <n v="146137148301"/>
    <s v="PT KEM WOOD GRACE INDUSTRY(RUANG ROTARI)"/>
    <s v="ODP-MGE-FV/104 FV/D09/104.01"/>
    <s v="WO065477316"/>
    <m/>
    <m/>
    <m/>
    <n v="110.25965598392"/>
    <n v="-7.3734311367481498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SURVEY_NEW_MANJA"/>
    <s v="X"/>
    <s v="NO ADDON"/>
    <m/>
    <s v="MIE - SEND SURVEY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m/>
    <m/>
    <m/>
    <e v="#NUM!"/>
    <e v="#NUM!"/>
    <x v="0"/>
  </r>
  <r>
    <n v="16"/>
    <n v="1002618470"/>
    <n v="3"/>
    <x v="1"/>
    <n v="5"/>
    <s v="KEDIRI"/>
    <s v="KEDIRI"/>
    <s v="PAE"/>
    <s v="REG"/>
    <s v="AO"/>
    <x v="0"/>
    <s v="1P INET"/>
    <s v="MIE - SEND SURVEY"/>
    <s v="RBS-Regional 3"/>
    <d v="2026-10-01T15:55:39"/>
    <d v="2026-10-01T15:58:06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SURVEY_NEW_MANJA"/>
    <s v="PARE"/>
    <s v="NO ADDON"/>
    <m/>
    <s v="MIE - SEND SURVEY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m/>
    <m/>
    <m/>
    <e v="#NUM!"/>
    <e v="#NUM!"/>
    <x v="0"/>
  </r>
  <r>
    <n v="17"/>
    <n v="1002617351"/>
    <n v="3"/>
    <x v="1"/>
    <n v="5"/>
    <s v="KEDIRI"/>
    <s v="KEDIRI"/>
    <s v="MJT"/>
    <s v="REG"/>
    <s v="AO"/>
    <x v="0"/>
    <s v="1P INET"/>
    <s v="OSS - PROVISIONING START"/>
    <s v="RBS-Regional 3"/>
    <d v="2026-10-01T10:29:40"/>
    <d v="2026-10-02T11:38:36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RE_PI"/>
    <s v="NGADILUWIH"/>
    <s v="NO ADDON"/>
    <m/>
    <s v="Provisioning Start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m/>
    <m/>
    <m/>
    <e v="#NUM!"/>
    <e v="#NUM!"/>
    <x v="0"/>
  </r>
  <r>
    <n v="18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19"/>
    <n v="1002618759"/>
    <n v="3"/>
    <x v="1"/>
    <n v="5"/>
    <s v="KEDIRI"/>
    <s v="KEDIRI"/>
    <s v="MJT"/>
    <s v="REG"/>
    <s v="AO"/>
    <x v="0"/>
    <s v="1P INET"/>
    <s v="MIE - SEND SURVEY"/>
    <s v="RBS-Regional 3"/>
    <d v="2026-10-01T17:49:34"/>
    <d v="2026-10-01T17:52:01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SURVEY_NEW_MANJA"/>
    <s v="NGADILUWIH"/>
    <s v="NO ADDON"/>
    <m/>
    <s v="MIE - SEND SURVEY"/>
    <s v="HSI Bisnis Promo Hari Pelanggan Nasional PSB 70% - 300 Mbps"/>
    <s v="INDIBIZ"/>
    <m/>
    <m/>
    <d v="2026-10-02T15:00:00"/>
    <s v="2026-10-02 15:00:00 | telp :085704475116 alt ;  manja : pagi / siang 02/10/2026 hub sebelum ke lokasi "/>
    <m/>
    <m/>
    <m/>
    <e v="#NUM!"/>
    <e v="#NUM!"/>
    <x v="0"/>
  </r>
  <r>
    <n v="20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21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22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23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24"/>
    <n v="1002617109"/>
    <n v="3"/>
    <x v="2"/>
    <n v="4"/>
    <s v="YOGYAKARTA"/>
    <s v="SLEMAN"/>
    <s v="GOD"/>
    <s v="REG"/>
    <s v="AO"/>
    <x v="0"/>
    <s v="1P INET"/>
    <s v="8 | OSS - PONR"/>
    <s v="RBS-Regional 3"/>
    <d v="2026-10-01T09:34:39"/>
    <d v="2026-10-02T13:16:30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ACT_COM"/>
    <s v="X"/>
    <s v="NO ADDON"/>
    <m/>
    <s v="PONR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m/>
    <m/>
    <m/>
    <e v="#NUM!"/>
    <e v="#NUM!"/>
    <x v="0"/>
  </r>
  <r>
    <n v="25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26"/>
    <n v="1002618796"/>
    <n v="3"/>
    <x v="3"/>
    <n v="5"/>
    <s v="MADURA"/>
    <s v="PAMEKASAN"/>
    <s v="PME"/>
    <s v="REG"/>
    <s v="AO"/>
    <x v="0"/>
    <s v="1P INET"/>
    <s v="MIE - SEND SURVEY"/>
    <s v="RBS-Regional 3"/>
    <d v="2026-10-01T18:38:39"/>
    <d v="2026-10-01T18:40:01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SURVEY_NEW_MANJA"/>
    <s v="PAMEKASAN"/>
    <s v="NETMONK"/>
    <m/>
    <s v="MIE - SEND SURVEY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m/>
    <m/>
    <m/>
    <e v="#NUM!"/>
    <e v="#NUM!"/>
    <x v="0"/>
  </r>
  <r>
    <n v="27"/>
    <n v="1002617619"/>
    <n v="3"/>
    <x v="3"/>
    <n v="5"/>
    <s v="MADURA"/>
    <s v="PAMEKASAN"/>
    <s v="AJA"/>
    <s v="REG"/>
    <s v="AO"/>
    <x v="0"/>
    <m/>
    <s v="MIA - INVALID SURVEY"/>
    <s v="RBS-Regional 3"/>
    <d v="2026-10-01T11:36:55"/>
    <d v="2026-10-02T09:44:51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28"/>
    <n v="1002617733"/>
    <n v="3"/>
    <x v="3"/>
    <n v="5"/>
    <s v="SBY UTARA"/>
    <s v="KENJERAN"/>
    <s v="KBL"/>
    <s v="REG"/>
    <s v="AO"/>
    <x v="0"/>
    <s v="1P INET"/>
    <s v="MIA - INVALID SURVEY"/>
    <s v="RBS-Regional 3"/>
    <d v="2026-10-01T12:31:39"/>
    <d v="2026-10-02T09:43:49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m/>
    <s v="SURVEY_NEW_MANJA"/>
    <s v="KEBALEN"/>
    <s v="NO ADDON"/>
    <m/>
    <s v="MIE - INVALID SURVEY - Kendala Jalur/Rute Tarikan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29"/>
    <n v="1002618449"/>
    <n v="3"/>
    <x v="3"/>
    <n v="5"/>
    <s v="SBY UTARA"/>
    <s v="KENJERAN"/>
    <s v="KBL"/>
    <s v="REG"/>
    <s v="AO"/>
    <x v="0"/>
    <s v="1P INET"/>
    <s v="MIE - SEND SURVEY"/>
    <s v="RBS-Regional 3"/>
    <d v="2026-10-01T15:50:34"/>
    <d v="2026-10-01T15:52:0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SURVEY_NEW_MANJA"/>
    <s v="KEBALEN"/>
    <s v="NO ADDON"/>
    <m/>
    <s v="MIE - SEND SURVEY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m/>
    <m/>
    <m/>
    <e v="#NUM!"/>
    <e v="#NUM!"/>
    <x v="0"/>
  </r>
  <r>
    <n v="30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31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32"/>
    <n v="1002618255"/>
    <n v="3"/>
    <x v="3"/>
    <n v="5"/>
    <s v="SBY SELATAN"/>
    <s v="KETINTANG"/>
    <s v="IJK"/>
    <s v="REG"/>
    <s v="AO"/>
    <x v="0"/>
    <m/>
    <s v="MIE - SEND SURVEY"/>
    <s v="RBS-Regional 3"/>
    <d v="2026-10-01T15:08:33"/>
    <d v="2026-10-01T17:12:0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SURVEY_NEW_MANJA"/>
    <s v="WARU INJOKO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m/>
    <m/>
    <m/>
    <e v="#NUM!"/>
    <e v="#NUM!"/>
    <x v="0"/>
  </r>
  <r>
    <n v="33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34"/>
    <n v="1002618729"/>
    <n v="3"/>
    <x v="3"/>
    <n v="5"/>
    <s v="SBY UTARA"/>
    <s v="MANYAR"/>
    <s v="MGO"/>
    <s v="REG"/>
    <s v="AO"/>
    <x v="0"/>
    <s v="1P INET"/>
    <s v="8 | OSS - PONR"/>
    <s v="RBS-Regional 3"/>
    <d v="2026-10-01T17:28:34"/>
    <d v="2026-10-02T13:18:34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ACT_COM"/>
    <s v="MERGOYOSO"/>
    <s v="NO ADDON"/>
    <m/>
    <s v="PONR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m/>
    <m/>
    <m/>
    <e v="#NUM!"/>
    <e v="#NUM!"/>
    <x v="0"/>
  </r>
  <r>
    <n v="35"/>
    <n v="1002616819"/>
    <n v="3"/>
    <x v="3"/>
    <n v="5"/>
    <s v="SBY UTARA"/>
    <s v="MANYAR"/>
    <s v="MGO"/>
    <s v="REG"/>
    <s v="AO"/>
    <x v="0"/>
    <s v="1P INET"/>
    <s v="100 | REVOKE COMPLETED"/>
    <s v="RBS-Regional 3"/>
    <d v="2026-10-01T07:17:34"/>
    <d v="2026-10-02T13:01:23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Revoke Completed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36"/>
    <n v="1002618465"/>
    <n v="3"/>
    <x v="3"/>
    <n v="5"/>
    <s v="SBY UTARA"/>
    <s v="MANYAR"/>
    <s v="MGO"/>
    <s v="REG"/>
    <s v="AO"/>
    <x v="0"/>
    <s v="2P INET + VOICE"/>
    <s v="MIE - SEND SURVEY"/>
    <s v="RBS-Regional 3"/>
    <d v="2026-10-01T15:52:40"/>
    <d v="2026-10-01T15:54:01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SURVEY_NEW_MANJA"/>
    <s v="MERGOYOSO"/>
    <s v="NO ADDON"/>
    <m/>
    <s v="MIE - SEND SURVEY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m/>
    <m/>
    <m/>
    <e v="#NUM!"/>
    <e v="#NUM!"/>
    <x v="0"/>
  </r>
  <r>
    <n v="37"/>
    <n v="1002618123"/>
    <n v="3"/>
    <x v="3"/>
    <n v="5"/>
    <s v="SBY SELATAN"/>
    <s v="MANYAR"/>
    <s v="MYR"/>
    <s v="REG"/>
    <s v="AO"/>
    <x v="0"/>
    <m/>
    <s v="MIE - SEND SURVEY"/>
    <s v="RBS-Regional 3"/>
    <d v="2026-10-01T14:33:24"/>
    <d v="2026-10-01T17:28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SURVEY_NEW_MANJA"/>
    <s v="M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m/>
    <m/>
    <m/>
    <e v="#NUM!"/>
    <e v="#NUM!"/>
    <x v="0"/>
  </r>
  <r>
    <n v="38"/>
    <n v="1002618719"/>
    <n v="3"/>
    <x v="3"/>
    <n v="5"/>
    <s v="SBY SELATAN"/>
    <s v="MANYAR"/>
    <s v="MYR"/>
    <s v="REG"/>
    <s v="AO"/>
    <x v="0"/>
    <m/>
    <s v="MIE - SEND SURVEY"/>
    <s v="RBS-Regional 3"/>
    <d v="2026-10-01T17:24:30"/>
    <d v="2026-10-02T10:38:01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SURVEY_NEW_MANJA"/>
    <s v="MANY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m/>
    <m/>
    <m/>
    <e v="#NUM!"/>
    <e v="#NUM!"/>
    <x v="0"/>
  </r>
  <r>
    <n v="39"/>
    <n v="1002618820"/>
    <n v="3"/>
    <x v="3"/>
    <n v="5"/>
    <s v="SBY SELATAN"/>
    <s v="KETINTANG"/>
    <s v="RKT"/>
    <s v="REG"/>
    <s v="AO"/>
    <x v="0"/>
    <s v="1P INET"/>
    <s v="MIE - SEND SURVEY"/>
    <s v="RBS-Regional 3"/>
    <d v="2026-10-01T19:37:39"/>
    <d v="2026-10-01T19:40:01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SURVEY_NEW_MANJA"/>
    <s v="RUNGKUT"/>
    <s v="NO ADDON"/>
    <m/>
    <s v="MIE - SEND SURVEY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m/>
    <m/>
    <m/>
    <e v="#NUM!"/>
    <e v="#NUM!"/>
    <x v="0"/>
  </r>
  <r>
    <n v="40"/>
    <n v="1002617446"/>
    <n v="3"/>
    <x v="4"/>
    <n v="4"/>
    <s v="KUDUS"/>
    <s v="BLORA"/>
    <s v="BLO"/>
    <s v="REG"/>
    <s v="AO"/>
    <x v="0"/>
    <s v="1P INET"/>
    <s v="8 | OSS - PONR"/>
    <s v="RBS-Regional 3"/>
    <d v="2026-10-01T10:47:39"/>
    <d v="2026-10-02T11:23:13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ACT_COM"/>
    <s v="X"/>
    <s v="NO ADDON"/>
    <m/>
    <s v="PONR"/>
    <s v="HSI Bisnis PSB 70% - 5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</r>
  <r>
    <n v="41"/>
    <n v="1002618761"/>
    <n v="3"/>
    <x v="4"/>
    <n v="4"/>
    <s v="KUDUS"/>
    <s v="BLORA"/>
    <s v="BLO"/>
    <s v="REG"/>
    <s v="AO"/>
    <x v="0"/>
    <s v="1P INET"/>
    <s v="MIE - SEND SURVEY"/>
    <s v="RBS-Regional 3"/>
    <d v="2026-10-01T17:49:39"/>
    <d v="2026-10-01T17:52:01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SURVEY_NEW_MANJA"/>
    <s v="X"/>
    <s v="NO ADDON"/>
    <m/>
    <s v="MIE - SEND SURVEY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m/>
    <m/>
    <m/>
    <e v="#NUM!"/>
    <e v="#NUM!"/>
    <x v="0"/>
  </r>
  <r>
    <n v="42"/>
    <n v="1002618342"/>
    <n v="3"/>
    <x v="4"/>
    <n v="4"/>
    <s v="KUDUS"/>
    <s v="PURWODADI"/>
    <s v="PWB"/>
    <s v="REG"/>
    <s v="AO"/>
    <x v="0"/>
    <m/>
    <s v="7 | OSS - PROVISIONING ISSUED"/>
    <s v="RBS-Regional 3"/>
    <d v="2026-10-01T15:27:07"/>
    <d v="2026-10-02T13:11:32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m/>
    <m/>
    <m/>
    <e v="#NUM!"/>
    <e v="#NUM!"/>
    <x v="0"/>
  </r>
  <r>
    <n v="43"/>
    <n v="1002618094"/>
    <n v="3"/>
    <x v="4"/>
    <n v="4"/>
    <s v="KUDUS"/>
    <s v="PURWODADI"/>
    <s v="PWB"/>
    <s v="REG"/>
    <s v="AO"/>
    <x v="0"/>
    <m/>
    <s v="MIE - SEND SURVEY"/>
    <s v="RBS-Regional 3"/>
    <d v="2026-10-01T14:26:10"/>
    <d v="2026-10-01T16:48:2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m/>
    <m/>
    <m/>
    <e v="#NUM!"/>
    <e v="#NUM!"/>
    <x v="0"/>
  </r>
  <r>
    <n v="44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45"/>
    <n v="1002617638"/>
    <n v="3"/>
    <x v="4"/>
    <n v="4"/>
    <s v="SOLO"/>
    <s v="INNER - SOLO JATENG TIMUR"/>
    <s v="KRT"/>
    <s v="REG"/>
    <s v="AO"/>
    <x v="0"/>
    <s v="2P INET + VOICE"/>
    <s v="OSS - PROVISIONING START"/>
    <s v="RBS-Regional 3"/>
    <d v="2026-10-01T11:40:40"/>
    <d v="2026-10-02T08:14:5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m/>
    <s v="PRE_PI"/>
    <s v="X"/>
    <s v="NO ADDON"/>
    <m/>
    <s v="Provisioning Start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46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47"/>
    <n v="1002617973"/>
    <n v="3"/>
    <x v="4"/>
    <n v="4"/>
    <s v="SOLO"/>
    <s v="WONOGIRI"/>
    <s v="JSO"/>
    <s v="REG"/>
    <s v="AO"/>
    <x v="0"/>
    <m/>
    <s v="MIE - SEND SURVEY"/>
    <s v="RBS-Regional 3"/>
    <d v="2026-10-01T13:57:21"/>
    <d v="2026-10-02T10:00:06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m/>
    <m/>
    <m/>
    <e v="#NUM!"/>
    <e v="#NUM!"/>
    <x v="0"/>
  </r>
  <r>
    <n v="48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49"/>
    <n v="1002616829"/>
    <n v="3"/>
    <x v="5"/>
    <n v="5"/>
    <s v="SIDOARJO"/>
    <s v="MOJOKERTO"/>
    <s v="MRT"/>
    <s v="REG"/>
    <s v="AO"/>
    <x v="0"/>
    <m/>
    <s v="8 | OSS - PONR"/>
    <s v="RBS-Regional 3"/>
    <d v="2026-10-01T07:52:22"/>
    <d v="2026-10-01T18:24:44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ACT_COM"/>
    <s v="MOJOKERT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m/>
    <m/>
    <m/>
    <e v="#NUM!"/>
    <e v="#NUM!"/>
    <x v="0"/>
  </r>
  <r>
    <n v="50"/>
    <n v="1002617823"/>
    <n v="3"/>
    <x v="5"/>
    <n v="5"/>
    <s v="SIDOARJO"/>
    <s v="INNER - JATIM TIMUR"/>
    <s v="KRN"/>
    <s v="REG"/>
    <s v="AO"/>
    <x v="0"/>
    <s v="1P INET"/>
    <s v="OSS - PROVISIONING START"/>
    <s v="RBS-Regional 3"/>
    <d v="2026-10-01T13:16:35"/>
    <d v="2026-10-01T16:20:30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m/>
    <s v="PRE_PI"/>
    <s v="KRIAN"/>
    <s v="NO ADDON"/>
    <m/>
    <s v="Provisioning Start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51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52"/>
    <n v="1002617312"/>
    <n v="3"/>
    <x v="5"/>
    <n v="5"/>
    <s v="SIDOARJO"/>
    <s v="INNER - JATIM TIMUR"/>
    <s v="SDN"/>
    <s v="REG"/>
    <s v="AO"/>
    <x v="0"/>
    <s v="1P INET"/>
    <s v="7 | OSS - PROVISIONING ISSUED"/>
    <s v="RBS-Regional 3"/>
    <d v="2026-10-01T10:20:40"/>
    <d v="2026-10-02T13:24:1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I"/>
    <s v="SIDOARJO"/>
    <s v="NETMONK"/>
    <m/>
    <s v="Provisioning Issu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m/>
    <m/>
    <m/>
    <e v="#NUM!"/>
    <e v="#NUM!"/>
    <x v="0"/>
  </r>
  <r>
    <n v="53"/>
    <n v="1002617556"/>
    <n v="3"/>
    <x v="5"/>
    <n v="5"/>
    <s v="SIDOARJO"/>
    <s v="INNER - JATIM TIMUR"/>
    <s v="SDA"/>
    <s v="REG"/>
    <s v="AO"/>
    <x v="0"/>
    <s v="1P INET"/>
    <s v="8 | OSS - PONR"/>
    <s v="RBS-Regional 3"/>
    <d v="2026-10-01T11:17:34"/>
    <d v="2026-10-02T10:04:50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ACT_COM"/>
    <s v="SIDOARJO"/>
    <s v="NO ADDON"/>
    <m/>
    <s v="PONR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m/>
    <m/>
    <m/>
    <e v="#NUM!"/>
    <e v="#NUM!"/>
    <x v="0"/>
  </r>
  <r>
    <n v="54"/>
    <n v="1002617423"/>
    <n v="3"/>
    <x v="5"/>
    <n v="5"/>
    <s v="SIDOARJO"/>
    <s v="INNER - JATIM TIMUR"/>
    <s v="SDA"/>
    <s v="REG"/>
    <s v="AO"/>
    <x v="0"/>
    <s v="1P INET"/>
    <s v="7 | OSS - PROVISIONING ISSUED"/>
    <s v="RBS-Regional 3"/>
    <d v="2026-10-01T10:43:39"/>
    <d v="2026-10-02T08:09:24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m/>
    <s v="PI"/>
    <s v="SIDOARJO"/>
    <s v="OCA"/>
    <m/>
    <s v="Provisioning Issued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55"/>
    <n v="1002618024"/>
    <n v="3"/>
    <x v="5"/>
    <n v="5"/>
    <s v="PASURUAN"/>
    <s v="PASURUAN"/>
    <s v="BNL"/>
    <s v="REG"/>
    <s v="AO"/>
    <x v="0"/>
    <m/>
    <s v="8 | OSS - PONR"/>
    <s v="RBS-Regional 3"/>
    <d v="2026-10-01T14:09:07"/>
    <d v="2026-10-02T12:49:37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ACT_COM"/>
    <s v="BANGIL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m/>
    <m/>
    <m/>
    <e v="#NUM!"/>
    <e v="#NUM!"/>
    <x v="0"/>
  </r>
  <r>
    <n v="56"/>
    <n v="1002617383"/>
    <n v="3"/>
    <x v="3"/>
    <n v="5"/>
    <s v="SBY SELATAN"/>
    <s v="KETINTANG"/>
    <s v="TPO"/>
    <s v="REG"/>
    <s v="AO"/>
    <x v="0"/>
    <s v="1P INET"/>
    <s v="OSS - PROVISIONING START"/>
    <s v="RBS-Regional 3"/>
    <d v="2026-10-01T10:35:40"/>
    <d v="2026-10-02T08:14:43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m/>
    <s v="PRE_PI"/>
    <s v="TROPODO"/>
    <s v="NO ADDON"/>
    <m/>
    <s v="Provisioning Start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</r>
  <r>
    <n v="57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58"/>
    <n v="1002617838"/>
    <n v="3"/>
    <x v="4"/>
    <n v="4"/>
    <s v="KUDUS"/>
    <s v="KUDUS"/>
    <s v="DMA"/>
    <s v="REG"/>
    <s v="AO"/>
    <x v="0"/>
    <m/>
    <s v="MYCX - SEND OPEN PAPERLESS"/>
    <s v="RBS-Regional 3"/>
    <d v="2026-10-01T13:24:57"/>
    <d v="2026-10-01T13:28:15"/>
    <n v="69402365"/>
    <m/>
    <n v="141456115553"/>
    <s v="WISMA MUTIARA DEMAK"/>
    <s v="ODP-DMA-FB/146"/>
    <m/>
    <m/>
    <m/>
    <m/>
    <n v="110.633223053436"/>
    <n v="-6.9019571696067601"/>
    <s v="|MC60142|/JAMAL MUHLIS/081325316050/wismamutiara781@gmail.com /Permintaan PSB HSI BISNIS 1S INET 100MBPS PAKET WINBACK1/WISMA MUTIARA DEMAK"/>
    <s v="Sales Profesional"/>
    <m/>
    <m/>
    <m/>
    <m/>
    <m/>
    <m/>
    <m/>
    <m/>
    <m/>
    <m/>
    <m/>
    <d v="2026-01-10T13:40:38"/>
    <m/>
    <m/>
    <s v="INPROGRESS_SC"/>
    <s v="DEMAK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9"/>
    <n v="1002617515"/>
    <n v="3"/>
    <x v="6"/>
    <n v="4"/>
    <s v="SEMARANG"/>
    <s v="SALATIGA"/>
    <s v="SLI"/>
    <s v="REG"/>
    <s v="AO"/>
    <x v="0"/>
    <s v="1P INET"/>
    <s v="7 | OSS - PROVISIONING ISSUED"/>
    <s v="RBS-Regional 3"/>
    <d v="2026-10-01T11:05:40"/>
    <d v="2026-10-02T08:13:58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I"/>
    <s v="X"/>
    <s v="NO ADDON"/>
    <m/>
    <s v="Provisioning Issu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m/>
    <m/>
    <m/>
    <e v="#NUM!"/>
    <e v="#NUM!"/>
    <x v="0"/>
  </r>
  <r>
    <n v="60"/>
    <n v="1002617361"/>
    <n v="3"/>
    <x v="4"/>
    <n v="4"/>
    <s v="KUDUS"/>
    <s v="KUDUS"/>
    <s v="KUD"/>
    <s v="REG"/>
    <s v="AO"/>
    <x v="0"/>
    <s v="1P INET"/>
    <s v="MIE - SEND SURVEY"/>
    <s v="RBS-Regional 3"/>
    <d v="2026-10-01T10:31:39"/>
    <d v="2026-10-01T10:34:0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SEND SURVEY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61"/>
    <n v="1002618429"/>
    <n v="3"/>
    <x v="4"/>
    <n v="4"/>
    <s v="KUDUS"/>
    <s v="PATI"/>
    <s v="PAT"/>
    <s v="REG"/>
    <s v="AO"/>
    <x v="0"/>
    <m/>
    <s v="MIE - SEND SURVEY"/>
    <s v="RBS-Regional 3"/>
    <d v="2026-10-01T15:46:58"/>
    <d v="2026-10-02T11:20:01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m/>
    <m/>
    <m/>
    <e v="#NUM!"/>
    <e v="#NUM!"/>
    <x v="0"/>
  </r>
  <r>
    <n v="62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63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64"/>
    <n v="1002617233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01T10:01:41"/>
    <d v="2026-10-02T08:15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I"/>
    <s v="SEMARANG TUGU"/>
    <s v="NO ADDON"/>
    <m/>
    <s v="Provisioning Issued"/>
    <s v="HSI Bisnis Promo Hari Pelanggan Nasional PSB 70% - 50 Mbps"/>
    <s v="INDIBIZ"/>
    <m/>
    <m/>
    <d v="2026-10-02T08:00:00"/>
    <s v="2026-10-02 08:00:00 | telp :085800548037  alt ;  manja : pagi / siang 02/10/2026 hub sebelum ke lokasi "/>
    <m/>
    <m/>
    <m/>
    <e v="#NUM!"/>
    <e v="#NUM!"/>
    <x v="0"/>
  </r>
  <r>
    <n v="65"/>
    <n v="1002618755"/>
    <n v="3"/>
    <x v="6"/>
    <n v="4"/>
    <s v="SEMARANG"/>
    <s v="INNER - SEMARANG JATENG UTARA"/>
    <s v="JHR"/>
    <s v="REG"/>
    <s v="AO"/>
    <x v="0"/>
    <s v="1P INET"/>
    <s v="8 | OSS - PONR"/>
    <s v="RBS-Regional 3"/>
    <d v="2026-10-01T17:46:34"/>
    <d v="2026-10-02T12:50:0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ACT_COM"/>
    <s v="JOHAR"/>
    <s v="NO ADDON"/>
    <m/>
    <s v="PONR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m/>
    <m/>
    <m/>
    <e v="#NUM!"/>
    <e v="#NUM!"/>
    <x v="0"/>
  </r>
  <r>
    <n v="66"/>
    <n v="1002618750"/>
    <n v="3"/>
    <x v="2"/>
    <n v="4"/>
    <s v="PURWOKERTO"/>
    <s v="PURWOKERTO"/>
    <s v="PWT"/>
    <s v="REG"/>
    <s v="AO"/>
    <x v="0"/>
    <s v="1P INET"/>
    <s v="MIE - SEND SURVEY"/>
    <s v="RBS-Regional 3"/>
    <d v="2026-10-01T17:40:40"/>
    <d v="2026-10-01T17:42:0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m/>
    <s v="SURVEY_NEW_MANJA"/>
    <s v="X"/>
    <s v="NO ADDON"/>
    <m/>
    <s v="MIE - SEND SURVEY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67"/>
    <n v="1002617282"/>
    <n v="3"/>
    <x v="2"/>
    <n v="4"/>
    <s v="PURWOKERTO"/>
    <s v="PURWOKERTO"/>
    <s v="PWT"/>
    <s v="REG"/>
    <s v="AO"/>
    <x v="0"/>
    <m/>
    <s v="MIE - SEND SURVEY"/>
    <s v="RBS-Regional 3"/>
    <d v="2026-10-01T10:18:08"/>
    <d v="2026-10-01T14:52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68"/>
    <n v="1002616994"/>
    <n v="3"/>
    <x v="2"/>
    <n v="4"/>
    <s v="PURWOKERTO"/>
    <s v="BANJARNEGARA"/>
    <s v="BJR"/>
    <s v="REG"/>
    <s v="AO"/>
    <x v="0"/>
    <m/>
    <s v="CC - HD1A - INPROGRESS UNCONTACTED"/>
    <s v="RBS-Regional 3"/>
    <d v="2026-10-01T09:07:32"/>
    <d v="2026-10-02T11:23:26"/>
    <n v="69402039"/>
    <m/>
    <n v="146372102975"/>
    <s v="Kopi Jjb Ratamba"/>
    <s v="ODP-BJR-FAE/052"/>
    <m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m/>
    <m/>
    <m/>
    <d v="2026-01-10T09:25:42"/>
    <m/>
    <m/>
    <s v="FCC"/>
    <s v="X"/>
    <s v="NO ADDON"/>
    <m/>
    <s v="UNCONTACTED : Mail Box - Memo Putri Arviyanti 40971304|MYDITA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m/>
    <m/>
    <m/>
    <m/>
    <m/>
    <e v="#NUM!"/>
    <e v="#NUM!"/>
    <x v="0"/>
  </r>
  <r>
    <n v="69"/>
    <n v="1002618109"/>
    <n v="3"/>
    <x v="2"/>
    <n v="4"/>
    <s v="PURWOKERTO"/>
    <s v="BANJARNEGARA"/>
    <s v="KLP"/>
    <s v="REG"/>
    <s v="AO"/>
    <x v="0"/>
    <s v="1P INET"/>
    <s v="OSS - PROVISIONING START"/>
    <s v="RBS-Regional 3"/>
    <d v="2026-10-01T14:28:35"/>
    <d v="2026-10-02T11:18:32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PRE_PI"/>
    <s v="KLAMPOK"/>
    <s v="NO ADDON"/>
    <m/>
    <s v="Provisioning Start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70"/>
    <n v="1002617796"/>
    <n v="3"/>
    <x v="2"/>
    <n v="4"/>
    <s v="MAGELANG"/>
    <s v="WONOSOBO"/>
    <s v="WOS"/>
    <s v="REG"/>
    <s v="AO"/>
    <x v="0"/>
    <s v="1P INET"/>
    <s v="OSS - PROVISIONING DESAIN"/>
    <s v="RBS-Regional 3"/>
    <d v="2026-10-01T13:07:34"/>
    <d v="2026-10-02T13:24:13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RE_PI"/>
    <s v="X"/>
    <s v="OCA"/>
    <m/>
    <s v="Provisioning Design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m/>
    <m/>
    <m/>
    <e v="#NUM!"/>
    <e v="#NUM!"/>
    <x v="0"/>
  </r>
  <r>
    <n v="71"/>
    <n v="1002618398"/>
    <n v="3"/>
    <x v="6"/>
    <n v="4"/>
    <s v="PEKALONGAN"/>
    <s v="PEMALANG"/>
    <s v="RDD"/>
    <s v="REG"/>
    <s v="AO"/>
    <x v="0"/>
    <s v="1P INET"/>
    <s v="MIE - SEND SURVEY"/>
    <s v="RBS-Regional 3"/>
    <d v="2026-10-01T15:38:34"/>
    <d v="2026-10-01T15:40:03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SURVEY_NEW_MANJA"/>
    <s v="RANDUDONGKAL"/>
    <s v="NO ADDON"/>
    <m/>
    <s v="MIE - SEND SURVEY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m/>
    <m/>
    <m/>
    <e v="#NUM!"/>
    <e v="#NUM!"/>
    <x v="0"/>
  </r>
  <r>
    <n v="72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73"/>
    <n v="1002618704"/>
    <n v="3"/>
    <x v="6"/>
    <n v="4"/>
    <s v="PEKALONGAN"/>
    <s v="BREBES"/>
    <s v="BRB"/>
    <s v="REG"/>
    <s v="AO"/>
    <x v="0"/>
    <s v="1P INET"/>
    <s v="MIE - SEND SURVEY"/>
    <s v="RBS-Regional 3"/>
    <d v="2026-10-01T17:14:40"/>
    <d v="2026-10-01T17:16:01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SURVEY_NEW_MANJA"/>
    <s v="X"/>
    <s v="NO ADDON"/>
    <m/>
    <s v="MIE - SEND SURVEY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m/>
    <m/>
    <m/>
    <e v="#NUM!"/>
    <e v="#NUM!"/>
    <x v="0"/>
  </r>
  <r>
    <n v="74"/>
    <n v="1002618417"/>
    <n v="3"/>
    <x v="6"/>
    <n v="4"/>
    <s v="PEKALONGAN"/>
    <s v="BREBES"/>
    <s v="BMU"/>
    <s v="REG"/>
    <s v="AO"/>
    <x v="0"/>
    <m/>
    <s v="CC - HD1A - INPROGRESS UNCONTACTED"/>
    <s v="RBS-Regional 3"/>
    <d v="2026-10-01T15:44:25"/>
    <d v="2026-10-02T12:20:24"/>
    <n v="69402558"/>
    <m/>
    <n v="146281108645"/>
    <s v="SMK MUHAMMADIYAH 1 PAGUYANGAN"/>
    <s v="ODP-BMU-FG/013"/>
    <m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m/>
    <m/>
    <m/>
    <d v="2026-01-10T16:39:58"/>
    <m/>
    <m/>
    <s v="FCC"/>
    <s v="BUMIAYU"/>
    <s v="NO ADDON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5"/>
    <n v="1002618251"/>
    <n v="3"/>
    <x v="6"/>
    <n v="4"/>
    <s v="PEKALONGAN"/>
    <s v="BREBES"/>
    <s v="BMU"/>
    <s v="REG"/>
    <s v="AO"/>
    <x v="0"/>
    <m/>
    <s v="CC - HD1A - INPROGRESS UNCONTACTED"/>
    <s v="RBS-Regional 3"/>
    <d v="2026-10-01T15:07:39"/>
    <d v="2026-10-02T12:19:45"/>
    <n v="69402491"/>
    <m/>
    <n v="146281108643"/>
    <s v="SMK MUHAMMADIYAH 1 PAGUYANGAN"/>
    <s v="ODP-BMU-FG/013"/>
    <m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m/>
    <m/>
    <m/>
    <d v="2026-01-10T15:10:59"/>
    <m/>
    <m/>
    <s v="FCC"/>
    <s v="BUMIAYU"/>
    <s v="NO ADDON"/>
    <m/>
    <s v="UNCONTACTED : Line Bus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6"/>
    <n v="1002618002"/>
    <n v="3"/>
    <x v="6"/>
    <n v="4"/>
    <s v="PEKALONGAN"/>
    <s v="TEGAL"/>
    <s v="MGN"/>
    <s v="REG"/>
    <s v="AO"/>
    <x v="0"/>
    <m/>
    <s v="MIE - SEND SURVEY"/>
    <s v="RBS-Regional 4"/>
    <d v="2026-10-01T14:04:27"/>
    <d v="2026-10-01T17:06:11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77"/>
    <n v="1002617834"/>
    <n v="3"/>
    <x v="6"/>
    <n v="4"/>
    <s v="PEKALONGAN"/>
    <s v="TEGAL"/>
    <s v="MGN"/>
    <s v="REG"/>
    <s v="AO"/>
    <x v="0"/>
    <m/>
    <s v="MIE - SEND SURVEY"/>
    <s v="RBS-Regional 4"/>
    <d v="2026-10-01T13:23:04"/>
    <d v="2026-10-01T17:04:02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78"/>
    <n v="1002618011"/>
    <n v="3"/>
    <x v="6"/>
    <n v="4"/>
    <s v="PEKALONGAN"/>
    <s v="SLAWI"/>
    <s v="BLU"/>
    <s v="REG"/>
    <s v="AO"/>
    <x v="0"/>
    <s v="1P INET"/>
    <s v="7 | OSS - PROVISIONING ISSUED"/>
    <s v="RBS-Regional 3"/>
    <d v="2026-10-01T14:04:34"/>
    <d v="2026-10-02T11:13:21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PI"/>
    <s v="X"/>
    <s v="NO ADDON"/>
    <m/>
    <s v="Provisioning Issued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79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8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81"/>
    <n v="1002618083"/>
    <n v="3"/>
    <x v="3"/>
    <n v="5"/>
    <s v="SBY UTARA"/>
    <s v="LAMONGAN"/>
    <s v="BBA"/>
    <s v="REG"/>
    <s v="AO"/>
    <x v="0"/>
    <m/>
    <s v="MIE - SEND SURVEY"/>
    <s v="RBS-Regional 3"/>
    <d v="2026-10-01T14:22:50"/>
    <d v="2026-10-01T16:20:07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82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83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84"/>
    <n v="1002617935"/>
    <n v="3"/>
    <x v="1"/>
    <n v="5"/>
    <s v="MADIUN"/>
    <s v="BOJONEGORO"/>
    <s v="SMJ"/>
    <s v="REG"/>
    <s v="AO"/>
    <x v="0"/>
    <s v="1P INET"/>
    <s v="MIE - SEND SURVEY"/>
    <s v="RBS-Regional 3"/>
    <d v="2026-10-01T13:47:35"/>
    <d v="2026-10-01T13:50:01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SURVEY_NEW_MANJA"/>
    <s v="PADANGAN"/>
    <s v="NETMONK"/>
    <m/>
    <s v="MIE - SEND SURVEY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85"/>
    <n v="1002618689"/>
    <n v="3"/>
    <x v="1"/>
    <n v="5"/>
    <s v="MADIUN"/>
    <s v="BOJONEGORO"/>
    <s v="SMJ"/>
    <s v="REG"/>
    <s v="AO"/>
    <x v="0"/>
    <s v="1P INET"/>
    <s v="MIE - SEND SURVEY"/>
    <s v="RBS-Regional 3"/>
    <d v="2026-10-01T17:05:34"/>
    <d v="2026-10-01T17:08:01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SURVEY_NEW_MANJA"/>
    <s v="PADANGAN"/>
    <s v="NETMONK"/>
    <m/>
    <s v="MIE - SEND SURVEY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86"/>
    <n v="1002618507"/>
    <n v="3"/>
    <x v="1"/>
    <n v="5"/>
    <s v="MADIUN"/>
    <s v="TUBAN"/>
    <s v="BCR"/>
    <s v="REG"/>
    <s v="AO"/>
    <x v="0"/>
    <s v="1P INET"/>
    <s v="MIE - SEND SURVEY"/>
    <s v="RBS-Regional 3"/>
    <d v="2026-10-01T16:07:39"/>
    <d v="2026-10-01T16:10:01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SURVEY_NEW_MANJA"/>
    <s v="JATIROGO BANCAR"/>
    <s v="NO ADDON"/>
    <m/>
    <s v="MIE - SEND SURVEY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87"/>
    <n v="1002617098"/>
    <n v="3"/>
    <x v="1"/>
    <n v="5"/>
    <s v="MADIUN"/>
    <s v="TUBAN"/>
    <s v="JTR"/>
    <s v="REG"/>
    <s v="AO"/>
    <x v="0"/>
    <s v="1P INET"/>
    <s v="OSS - PROVISIONING START"/>
    <s v="RBS-Regional 3"/>
    <d v="2026-10-01T09:31:42"/>
    <d v="2026-10-02T08:14:47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m/>
    <s v="PRE_PI"/>
    <s v="JATIROGO BANCAR"/>
    <s v="NO ADDON"/>
    <m/>
    <s v="Provisioning Start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88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89"/>
    <n v="1002617187"/>
    <n v="3"/>
    <x v="0"/>
    <n v="5"/>
    <s v="KUPANG"/>
    <s v="ATAMBUA"/>
    <s v="ATB"/>
    <s v="REG"/>
    <s v="AO"/>
    <x v="0"/>
    <s v="1P INET"/>
    <s v="8 | OSS - PONR"/>
    <s v="RBS-Regional 3"/>
    <d v="2026-10-01T09:50:35"/>
    <d v="2026-10-02T12:25:03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ACT_COM"/>
    <s v="X"/>
    <s v="NO ADDON"/>
    <m/>
    <s v="PONR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m/>
    <m/>
    <m/>
    <e v="#NUM!"/>
    <e v="#NUM!"/>
    <x v="0"/>
  </r>
  <r>
    <n v="90"/>
    <n v="1002617177"/>
    <n v="3"/>
    <x v="0"/>
    <n v="5"/>
    <s v="KUPANG"/>
    <s v="KUPANG"/>
    <s v="OSP"/>
    <s v="REG"/>
    <s v="AO"/>
    <x v="0"/>
    <m/>
    <s v="OSS - PROVISIONING START"/>
    <s v="RBS-Regional 4"/>
    <d v="2026-10-01T09:49:48"/>
    <d v="2026-10-02T11:12:38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RE_PI"/>
    <s v="KUPANG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91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92"/>
    <n v="1002617806"/>
    <n v="3"/>
    <x v="0"/>
    <n v="5"/>
    <s v="KUPANG"/>
    <s v="KUPANG"/>
    <s v="KPN"/>
    <s v="REG"/>
    <s v="AO"/>
    <x v="0"/>
    <s v="1P INET"/>
    <s v="OSS - PROVISIONING DESAIN"/>
    <s v="RBS-Regional 3"/>
    <d v="2026-10-01T13:10:39"/>
    <d v="2026-10-02T13:23:1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RE_PI"/>
    <s v="KUPANG"/>
    <s v="NO ADDON"/>
    <m/>
    <s v="Provisioning Design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m/>
    <m/>
    <m/>
    <e v="#NUM!"/>
    <e v="#NUM!"/>
    <x v="0"/>
  </r>
  <r>
    <n v="93"/>
    <n v="1002618763"/>
    <n v="3"/>
    <x v="0"/>
    <n v="5"/>
    <s v="KUPANG"/>
    <s v="KUPANG"/>
    <s v="KPN"/>
    <s v="REG"/>
    <s v="AO"/>
    <x v="0"/>
    <s v="1P INET"/>
    <s v="7 | OSS - PROVISIONING ISSUED"/>
    <s v="RBS-Regional 3"/>
    <d v="2026-10-01T17:50:39"/>
    <d v="2026-10-02T09:33:35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I"/>
    <s v="KUPANG"/>
    <s v="NO ADDON"/>
    <m/>
    <s v="Provisioning Issu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m/>
    <m/>
    <m/>
    <e v="#NUM!"/>
    <e v="#NUM!"/>
    <x v="0"/>
  </r>
  <r>
    <n v="94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95"/>
    <n v="1002618623"/>
    <n v="3"/>
    <x v="5"/>
    <n v="5"/>
    <s v="JEMBER"/>
    <s v="SITUBONDO"/>
    <s v="MLD"/>
    <s v="REG"/>
    <s v="AO"/>
    <x v="0"/>
    <s v="1P INET"/>
    <s v="MIE - SEND SURVEY"/>
    <s v="RBS-Regional 3"/>
    <d v="2026-10-01T16:43:40"/>
    <d v="2026-10-01T16:46:21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SURVEY_NEW_MANJA"/>
    <s v="SITUBONDO"/>
    <s v="NO ADDON"/>
    <m/>
    <s v="MIE - SEND SURVEY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m/>
    <m/>
    <m/>
    <e v="#NUM!"/>
    <e v="#NUM!"/>
    <x v="0"/>
  </r>
  <r>
    <n v="96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97"/>
    <n v="1002617727"/>
    <n v="3"/>
    <x v="5"/>
    <n v="5"/>
    <s v="JEMBER"/>
    <s v="JEMBER"/>
    <s v="JER"/>
    <s v="REG"/>
    <s v="AO"/>
    <x v="0"/>
    <s v="1P INET"/>
    <s v="8 | OSS - PONR"/>
    <s v="RBS-Regional 3"/>
    <d v="2026-10-01T12:28:35"/>
    <d v="2026-10-02T12:58:1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ACT_COM"/>
    <s v="JEMBER"/>
    <s v="NO ADDON"/>
    <m/>
    <s v="PONR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m/>
    <m/>
    <m/>
    <e v="#NUM!"/>
    <e v="#NUM!"/>
    <x v="0"/>
  </r>
  <r>
    <n v="98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99"/>
    <n v="1002617892"/>
    <n v="3"/>
    <x v="0"/>
    <n v="5"/>
    <s v="KUPANG"/>
    <s v="ENDE"/>
    <s v="END"/>
    <s v="REG"/>
    <s v="AO"/>
    <x v="0"/>
    <s v="1P INET"/>
    <s v="8 | OSS - PONR"/>
    <s v="RBS-Regional 3"/>
    <d v="2026-10-01T13:37:40"/>
    <d v="2026-10-02T09:47:24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ACT_COM"/>
    <s v="ENDE"/>
    <s v="NO ADDON"/>
    <m/>
    <s v="PONR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m/>
    <m/>
    <m/>
    <e v="#NUM!"/>
    <e v="#NUM!"/>
    <x v="0"/>
  </r>
  <r>
    <n v="100"/>
    <n v="1002618764"/>
    <n v="3"/>
    <x v="0"/>
    <n v="5"/>
    <s v="KUPANG"/>
    <s v="ENDE"/>
    <s v="END"/>
    <s v="REG"/>
    <s v="AO"/>
    <x v="0"/>
    <s v="1P INET"/>
    <s v="MIE - SEND SURVEY"/>
    <s v="RBS-Regional 3"/>
    <d v="2026-10-01T17:52:36"/>
    <d v="2026-10-01T17:54:06"/>
    <n v="69402663"/>
    <m/>
    <n v="172506789383"/>
    <s v="APOTIK AS-SIDIQ FARMA"/>
    <s v="ODP-END-FC/08 FC/D01/08.01"/>
    <s v="WO065523626"/>
    <m/>
    <m/>
    <m/>
    <n v="121.6441032"/>
    <n v="-8.8523017999999993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SURVEY_NEW_MANJA"/>
    <s v="ENDE"/>
    <s v="NO ADDON"/>
    <m/>
    <s v="MIE - SEND SURVEY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m/>
    <m/>
    <m/>
    <e v="#NUM!"/>
    <e v="#NUM!"/>
    <x v="0"/>
  </r>
  <r>
    <n v="101"/>
    <n v="1002617761"/>
    <n v="3"/>
    <x v="0"/>
    <n v="5"/>
    <s v="KUPANG"/>
    <s v="LABOAN BAJO"/>
    <s v="RTE"/>
    <s v="REG"/>
    <s v="AO"/>
    <x v="0"/>
    <s v="1P INET"/>
    <s v="8 | OSS - PONR"/>
    <s v="RBS-Regional 3"/>
    <d v="2026-10-01T12:46:43"/>
    <d v="2026-10-02T13:07:02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ACT_COM"/>
    <s v="X"/>
    <s v="NO ADDON"/>
    <m/>
    <s v="PONR"/>
    <s v="HSI Bisnis Promo Hari Pelanggan Nasional PSB 70% - 50 Mbps"/>
    <s v="INDIBIZ"/>
    <m/>
    <m/>
    <d v="2026-10-02T11:00:00"/>
    <s v="2026-10-02 11:00:00 | telp :081228493330 alt ;  manja : pagi / siang 02/10/2026 hub sebelum ke lokasi"/>
    <m/>
    <m/>
    <m/>
    <e v="#NUM!"/>
    <e v="#NUM!"/>
    <x v="0"/>
  </r>
  <r>
    <n v="102"/>
    <n v="1002617688"/>
    <n v="3"/>
    <x v="7"/>
    <n v="5"/>
    <s v="SINGARJA"/>
    <s v="TABANAN"/>
    <s v="BTR"/>
    <s v="REG"/>
    <s v="AO"/>
    <x v="0"/>
    <m/>
    <s v="8 | OSS - PONR"/>
    <s v="RBS-Regional 3"/>
    <d v="2026-10-01T12:05:21"/>
    <d v="2026-10-02T11:19:08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m/>
    <m/>
    <m/>
    <e v="#NUM!"/>
    <e v="#NUM!"/>
    <x v="0"/>
  </r>
  <r>
    <n v="103"/>
    <n v="1002617698"/>
    <n v="3"/>
    <x v="7"/>
    <n v="5"/>
    <s v="SINGARJA"/>
    <s v="TABANAN"/>
    <s v="BTR"/>
    <s v="REG"/>
    <s v="AO"/>
    <x v="0"/>
    <m/>
    <s v="8 | OSS - PONR"/>
    <s v="RBS-Regional 3"/>
    <d v="2026-10-01T12:09:19"/>
    <d v="2026-10-02T09:52:24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m/>
    <m/>
    <m/>
    <e v="#NUM!"/>
    <e v="#NUM!"/>
    <x v="0"/>
  </r>
  <r>
    <n v="104"/>
    <n v="1002617925"/>
    <n v="3"/>
    <x v="7"/>
    <n v="5"/>
    <s v="DENPASAR"/>
    <s v="UBUNG"/>
    <s v="UBN"/>
    <s v="REG"/>
    <s v="AO"/>
    <x v="0"/>
    <m/>
    <s v="OSS - PROVISIONING START"/>
    <s v="RBS-Regional 3"/>
    <d v="2026-10-01T13:48:55"/>
    <d v="2026-10-02T11:42:44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m/>
    <s v="PRE_PI"/>
    <s v="UBUNG"/>
    <s v="NETMONK"/>
    <m/>
    <s v="Provisioning Start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105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106"/>
    <n v="1002616933"/>
    <n v="3"/>
    <x v="7"/>
    <n v="5"/>
    <s v="DENPASAR"/>
    <s v="UBUNG"/>
    <s v="UBN"/>
    <s v="REG"/>
    <s v="AO"/>
    <x v="0"/>
    <m/>
    <s v="7 | OSS - PROVISIONING ISSUED"/>
    <s v="RBS-Regional 3"/>
    <d v="2026-10-01T08:46:21"/>
    <d v="2026-10-01T08:52:57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m/>
    <s v="PI"/>
    <s v="UBUNG"/>
    <s v="OCA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107"/>
    <n v="1002617750"/>
    <n v="3"/>
    <x v="7"/>
    <n v="5"/>
    <s v="SINGARJA"/>
    <s v="SINGARAJA"/>
    <s v="KNT"/>
    <s v="REG"/>
    <s v="AO"/>
    <x v="0"/>
    <m/>
    <s v="MIE - SEND SURVEY"/>
    <s v="RBS-Regional 3"/>
    <d v="2026-10-01T12:43:31"/>
    <d v="2026-10-01T15:36:07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SURVEY_NEW_MANJA"/>
    <s v="X"/>
    <s v="NETMONK"/>
    <m/>
    <s v="MIE - SEND SURVEY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09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D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3">
    <i>
      <x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0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D51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6"/>
        <item x="28"/>
        <item m="1" x="43"/>
        <item m="1" x="94"/>
        <item m="1" x="52"/>
        <item m="1" x="56"/>
        <item m="1" x="45"/>
        <item x="2"/>
        <item m="1" x="35"/>
        <item m="1" x="42"/>
        <item x="22"/>
        <item m="1" x="49"/>
        <item m="1" x="44"/>
        <item m="1" x="62"/>
        <item m="1" x="30"/>
        <item m="1" x="46"/>
        <item m="1" x="48"/>
        <item m="1" x="47"/>
        <item x="4"/>
        <item m="1" x="57"/>
        <item x="16"/>
        <item x="1"/>
        <item m="1" x="36"/>
        <item m="1" x="95"/>
        <item x="15"/>
        <item m="1" x="51"/>
        <item x="21"/>
        <item x="23"/>
        <item m="1" x="38"/>
        <item x="13"/>
        <item x="26"/>
        <item x="17"/>
        <item x="7"/>
        <item x="20"/>
        <item m="1" x="40"/>
        <item x="18"/>
        <item m="1" x="37"/>
        <item m="1" x="58"/>
        <item x="8"/>
        <item x="19"/>
        <item x="27"/>
        <item m="1" x="53"/>
        <item m="1" x="54"/>
        <item m="1" x="34"/>
        <item m="1" x="50"/>
        <item x="5"/>
        <item m="1" x="32"/>
        <item m="1" x="41"/>
        <item x="25"/>
        <item m="1" x="31"/>
        <item x="9"/>
        <item x="24"/>
        <item m="1" x="55"/>
        <item m="1" x="39"/>
        <item m="1" x="33"/>
        <item x="14"/>
        <item x="0"/>
        <item x="10"/>
        <item x="12"/>
        <item x="11"/>
        <item x="3"/>
        <item m="1" x="29"/>
        <item t="default"/>
      </items>
    </pivotField>
  </pivotFields>
  <rowFields count="2">
    <field x="3"/>
    <field x="60"/>
  </rowFields>
  <rowItems count="33">
    <i>
      <x/>
    </i>
    <i r="1">
      <x v="79"/>
    </i>
    <i r="1">
      <x v="89"/>
    </i>
    <i r="1">
      <x v="97"/>
    </i>
    <i>
      <x v="1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100"/>
    </i>
    <i r="1">
      <x v="105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3">
    <i>
      <x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8" t="s">
        <v>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34"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</row>
    <row r="3" spans="2:34" ht="14.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</row>
    <row r="4" spans="2:34"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</row>
    <row r="6" spans="2:34">
      <c r="B6" s="160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60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60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60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6" t="str">
        <f ca="1">"PROVISIONING INDIBIZ TR3 JBN HARIAN "&amp;TEXT(TODAY(),"YYYY-MM-DD ")&amp;TEXT(NOW(),"HH:MM")&amp;" WIB"</f>
        <v>PROVISIONING INDIBIZ TR3 JBN HARIAN 2026-10-02 14:10 WIB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4" t="s">
        <v>66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6" t="s">
        <v>1</v>
      </c>
      <c r="C23" s="167" t="s">
        <v>3</v>
      </c>
      <c r="D23" s="167" t="s">
        <v>67</v>
      </c>
      <c r="E23" s="174" t="s">
        <v>7</v>
      </c>
      <c r="F23" s="159" t="s">
        <v>8</v>
      </c>
      <c r="G23" s="159" t="s">
        <v>9</v>
      </c>
      <c r="H23" s="170" t="s">
        <v>10</v>
      </c>
      <c r="I23" s="171"/>
      <c r="J23" s="171"/>
      <c r="K23" s="172"/>
      <c r="L23" s="159" t="s">
        <v>68</v>
      </c>
      <c r="M23" s="173" t="s">
        <v>11</v>
      </c>
      <c r="N23" s="174" t="s">
        <v>12</v>
      </c>
      <c r="O23" s="174"/>
      <c r="P23" s="174" t="s">
        <v>13</v>
      </c>
      <c r="Q23" s="174" t="s">
        <v>14</v>
      </c>
    </row>
    <row r="24" spans="2:34" ht="15.65" customHeight="1">
      <c r="B24" s="166"/>
      <c r="C24" s="167"/>
      <c r="D24" s="167"/>
      <c r="E24" s="174"/>
      <c r="F24" s="159"/>
      <c r="G24" s="159"/>
      <c r="H24" s="159" t="s">
        <v>2</v>
      </c>
      <c r="I24" s="159" t="s">
        <v>18</v>
      </c>
      <c r="J24" s="159" t="s">
        <v>20</v>
      </c>
      <c r="K24" s="159" t="s">
        <v>22</v>
      </c>
      <c r="L24" s="159"/>
      <c r="M24" s="173"/>
      <c r="N24" s="174"/>
      <c r="O24" s="174"/>
      <c r="P24" s="174"/>
      <c r="Q24" s="174"/>
    </row>
    <row r="25" spans="2:34" ht="14.5" customHeight="1">
      <c r="B25" s="166"/>
      <c r="C25" s="167"/>
      <c r="D25" s="167"/>
      <c r="E25" s="174"/>
      <c r="F25" s="159"/>
      <c r="G25" s="159"/>
      <c r="H25" s="159"/>
      <c r="I25" s="159"/>
      <c r="J25" s="159"/>
      <c r="K25" s="159"/>
      <c r="L25" s="159"/>
      <c r="M25" s="173"/>
      <c r="N25" s="174"/>
      <c r="O25" s="174"/>
      <c r="P25" s="174"/>
      <c r="Q25" s="174"/>
    </row>
    <row r="26" spans="2:34" ht="29.15" customHeight="1">
      <c r="B26" s="166"/>
      <c r="C26" s="167"/>
      <c r="D26" s="167"/>
      <c r="E26" s="174"/>
      <c r="F26" s="159"/>
      <c r="G26" s="159"/>
      <c r="H26" s="159"/>
      <c r="I26" s="159"/>
      <c r="J26" s="159"/>
      <c r="K26" s="159"/>
      <c r="L26" s="159"/>
      <c r="M26" s="173"/>
      <c r="N26" s="43" t="s">
        <v>30</v>
      </c>
      <c r="O26" s="43" t="s">
        <v>69</v>
      </c>
      <c r="P26" s="174"/>
      <c r="Q26" s="174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5" t="s">
        <v>72</v>
      </c>
      <c r="D34" s="176"/>
    </row>
    <row r="35" spans="2:18" ht="15.5">
      <c r="B35" s="48"/>
      <c r="C35" s="177" t="s">
        <v>73</v>
      </c>
      <c r="D35" s="177"/>
    </row>
    <row r="36" spans="2:18">
      <c r="B36" s="49"/>
      <c r="C36" s="177" t="s">
        <v>74</v>
      </c>
      <c r="D36" s="177"/>
    </row>
    <row r="37" spans="2:18">
      <c r="B37" s="50"/>
      <c r="C37" s="177" t="s">
        <v>75</v>
      </c>
      <c r="D37" s="177"/>
    </row>
    <row r="38" spans="2:18">
      <c r="B38" s="51"/>
      <c r="C38" s="168" t="s">
        <v>76</v>
      </c>
      <c r="D38" s="169"/>
    </row>
    <row r="39" spans="2:18">
      <c r="C39" s="1"/>
      <c r="D39" s="1"/>
    </row>
    <row r="40" spans="2:18" ht="18.5">
      <c r="B40" s="106" t="str">
        <f ca="1">"PROVISIONING INDIBIZ TR3 JBN BY TELDA MTD "&amp;TEXT(TODAY(),"YYYY-MM-DD ")&amp;TEXT(NOW(),"HH:MM")&amp;" WIB"</f>
        <v>PROVISIONING INDIBIZ TR3 JBN BY TELDA MTD 2026-10-02 14:10 WIB</v>
      </c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</row>
    <row r="41" spans="2:18" ht="15.5">
      <c r="B41" s="144" t="s">
        <v>77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</row>
    <row r="43" spans="2:18" ht="15.65" customHeight="1">
      <c r="B43" s="166" t="s">
        <v>1</v>
      </c>
      <c r="C43" s="166" t="s">
        <v>78</v>
      </c>
      <c r="D43" s="167" t="s">
        <v>3</v>
      </c>
      <c r="E43" s="167" t="s">
        <v>67</v>
      </c>
      <c r="F43" s="174" t="s">
        <v>7</v>
      </c>
      <c r="G43" s="159" t="s">
        <v>8</v>
      </c>
      <c r="H43" s="159" t="s">
        <v>9</v>
      </c>
      <c r="I43" s="170" t="s">
        <v>10</v>
      </c>
      <c r="J43" s="171"/>
      <c r="K43" s="171"/>
      <c r="L43" s="172"/>
      <c r="M43" s="159" t="s">
        <v>68</v>
      </c>
      <c r="N43" s="173" t="s">
        <v>11</v>
      </c>
      <c r="O43" s="174" t="s">
        <v>12</v>
      </c>
      <c r="P43" s="174"/>
      <c r="Q43" s="174" t="s">
        <v>13</v>
      </c>
      <c r="R43" s="174" t="s">
        <v>14</v>
      </c>
    </row>
    <row r="44" spans="2:18" ht="14.5" customHeight="1">
      <c r="B44" s="166"/>
      <c r="C44" s="166"/>
      <c r="D44" s="167"/>
      <c r="E44" s="167"/>
      <c r="F44" s="174"/>
      <c r="G44" s="159"/>
      <c r="H44" s="159"/>
      <c r="I44" s="159" t="s">
        <v>2</v>
      </c>
      <c r="J44" s="159" t="s">
        <v>18</v>
      </c>
      <c r="K44" s="159" t="s">
        <v>20</v>
      </c>
      <c r="L44" s="159" t="s">
        <v>22</v>
      </c>
      <c r="M44" s="159"/>
      <c r="N44" s="173"/>
      <c r="O44" s="174"/>
      <c r="P44" s="174"/>
      <c r="Q44" s="174"/>
      <c r="R44" s="174"/>
    </row>
    <row r="45" spans="2:18" ht="14.5" customHeight="1">
      <c r="B45" s="166"/>
      <c r="C45" s="166"/>
      <c r="D45" s="167"/>
      <c r="E45" s="167"/>
      <c r="F45" s="174"/>
      <c r="G45" s="159"/>
      <c r="H45" s="159"/>
      <c r="I45" s="159"/>
      <c r="J45" s="159"/>
      <c r="K45" s="159"/>
      <c r="L45" s="159"/>
      <c r="M45" s="159"/>
      <c r="N45" s="173"/>
      <c r="O45" s="174"/>
      <c r="P45" s="174"/>
      <c r="Q45" s="174"/>
      <c r="R45" s="174"/>
    </row>
    <row r="46" spans="2:18" ht="46.5">
      <c r="B46" s="166"/>
      <c r="C46" s="166"/>
      <c r="D46" s="167"/>
      <c r="E46" s="167"/>
      <c r="F46" s="174"/>
      <c r="G46" s="159"/>
      <c r="H46" s="159"/>
      <c r="I46" s="159"/>
      <c r="J46" s="159"/>
      <c r="K46" s="159"/>
      <c r="L46" s="159"/>
      <c r="M46" s="159"/>
      <c r="N46" s="173"/>
      <c r="O46" s="43" t="s">
        <v>30</v>
      </c>
      <c r="P46" s="43" t="s">
        <v>69</v>
      </c>
      <c r="Q46" s="174"/>
      <c r="R46" s="174"/>
    </row>
    <row r="47" spans="2:18">
      <c r="B47" s="163" t="s">
        <v>34</v>
      </c>
      <c r="C47" s="52" t="s">
        <v>79</v>
      </c>
      <c r="D47" s="53">
        <f>'LOOKUP  telda'!E7</f>
        <v>0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64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64"/>
      <c r="C49" s="52" t="s">
        <v>81</v>
      </c>
      <c r="D49" s="53">
        <f>'LOOKUP  telda'!E9</f>
        <v>0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64"/>
      <c r="C50" s="52" t="s">
        <v>82</v>
      </c>
      <c r="D50" s="53">
        <f>'LOOKUP  telda'!E10</f>
        <v>0</v>
      </c>
      <c r="E50" s="53">
        <f>'LOOKUP  telda'!F10+'LOOKUP  telda'!G10+'LOOKUP  telda'!H10</f>
        <v>0</v>
      </c>
      <c r="F50" s="53">
        <f>'LOOKUP  telda'!I10</f>
        <v>0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0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64"/>
      <c r="C51" s="52" t="s">
        <v>83</v>
      </c>
      <c r="D51" s="53">
        <f>'LOOKUP  telda'!E11</f>
        <v>0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0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64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64"/>
      <c r="C53" s="52" t="s">
        <v>85</v>
      </c>
      <c r="D53" s="53">
        <f>'LOOKUP  telda'!E13</f>
        <v>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65"/>
      <c r="C54" s="52" t="s">
        <v>86</v>
      </c>
      <c r="D54" s="53">
        <f>'LOOKUP  telda'!E14</f>
        <v>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0</v>
      </c>
      <c r="M54" s="53">
        <f>SUM('DATA MTD'!I54:L54)</f>
        <v>0</v>
      </c>
      <c r="N54" s="53">
        <f>'LOOKUP  telda'!Z14</f>
        <v>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6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4"/>
      <c r="C56" s="52" t="s">
        <v>88</v>
      </c>
      <c r="D56" s="53">
        <f>'LOOKUP  telda'!E15</f>
        <v>0</v>
      </c>
      <c r="E56" s="53">
        <f>'LOOKUP  telda'!F15+'LOOKUP  telda'!G15+'LOOKUP  telda'!H15</f>
        <v>0</v>
      </c>
      <c r="F56" s="53">
        <f>'LOOKUP  telda'!I15</f>
        <v>0</v>
      </c>
      <c r="G56" s="53">
        <f>'LOOKUP  telda'!J15</f>
        <v>0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0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0</v>
      </c>
    </row>
    <row r="57" spans="2:18">
      <c r="B57" s="164"/>
      <c r="C57" s="52" t="s">
        <v>89</v>
      </c>
      <c r="D57" s="53">
        <f>'LOOKUP  telda'!E16</f>
        <v>0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0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64"/>
      <c r="C58" s="52" t="s">
        <v>90</v>
      </c>
      <c r="D58" s="53">
        <f>'LOOKUP  telda'!E17</f>
        <v>0</v>
      </c>
      <c r="E58" s="53">
        <f>'LOOKUP  telda'!F17+'LOOKUP  telda'!G17+'LOOKUP  telda'!H17</f>
        <v>0</v>
      </c>
      <c r="F58" s="53">
        <f>'LOOKUP  telda'!I17</f>
        <v>0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0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0</v>
      </c>
    </row>
    <row r="59" spans="2:18">
      <c r="B59" s="164"/>
      <c r="C59" s="52" t="s">
        <v>91</v>
      </c>
      <c r="D59" s="53">
        <f>'LOOKUP  telda'!E18</f>
        <v>0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0</v>
      </c>
      <c r="L59" s="53">
        <f>'LOOKUP  telda'!Y18</f>
        <v>0</v>
      </c>
      <c r="M59" s="53">
        <f>SUM('DATA MTD'!I59:L59)</f>
        <v>0</v>
      </c>
      <c r="N59" s="53">
        <f>'LOOKUP  telda'!Z18</f>
        <v>0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0</v>
      </c>
    </row>
    <row r="60" spans="2:18">
      <c r="B60" s="164"/>
      <c r="C60" s="52" t="s">
        <v>92</v>
      </c>
      <c r="D60" s="53">
        <f>'LOOKUP  telda'!E19</f>
        <v>0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0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0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0</v>
      </c>
    </row>
    <row r="61" spans="2:18">
      <c r="B61" s="164"/>
      <c r="C61" s="52" t="s">
        <v>93</v>
      </c>
      <c r="D61" s="53">
        <f>'LOOKUP  telda'!E20</f>
        <v>0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0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64"/>
      <c r="C62" s="52" t="s">
        <v>94</v>
      </c>
      <c r="D62" s="53">
        <f>'LOOKUP  telda'!E21</f>
        <v>0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0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0</v>
      </c>
      <c r="O62" s="53">
        <f>'LOOKUP  telda'!AA21</f>
        <v>0</v>
      </c>
      <c r="P62" s="53">
        <f>'LOOKUP  telda'!AE21-'LOOKUP  telda'!AA21</f>
        <v>0</v>
      </c>
      <c r="Q62" s="53">
        <f t="shared" si="4"/>
        <v>0</v>
      </c>
      <c r="R62" s="53">
        <f>'LOOKUP  telda'!AF21</f>
        <v>0</v>
      </c>
    </row>
    <row r="63" spans="2:18">
      <c r="B63" s="164"/>
      <c r="C63" s="52" t="s">
        <v>95</v>
      </c>
      <c r="D63" s="53">
        <f>'LOOKUP  telda'!E22</f>
        <v>0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0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64"/>
      <c r="C64" s="52" t="s">
        <v>96</v>
      </c>
      <c r="D64" s="53">
        <f>'LOOKUP  telda'!E23</f>
        <v>0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0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0</v>
      </c>
      <c r="O64" s="53">
        <f>'LOOKUP  telda'!AA23</f>
        <v>0</v>
      </c>
      <c r="P64" s="53">
        <f>'LOOKUP  telda'!AE23-'LOOKUP  telda'!AA23</f>
        <v>0</v>
      </c>
      <c r="Q64" s="53">
        <f t="shared" si="4"/>
        <v>0</v>
      </c>
      <c r="R64" s="53">
        <f>'LOOKUP  telda'!AF23</f>
        <v>0</v>
      </c>
    </row>
    <row r="65" spans="2:18">
      <c r="B65" s="164"/>
      <c r="C65" s="52" t="s">
        <v>97</v>
      </c>
      <c r="D65" s="53">
        <f>'LOOKUP  telda'!E24</f>
        <v>0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0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0</v>
      </c>
    </row>
    <row r="66" spans="2:18">
      <c r="B66" s="165"/>
      <c r="C66" s="52" t="s">
        <v>98</v>
      </c>
      <c r="D66" s="53">
        <f>'LOOKUP  telda'!E25</f>
        <v>0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0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0</v>
      </c>
      <c r="O66" s="53">
        <f>'LOOKUP  telda'!AA25</f>
        <v>0</v>
      </c>
      <c r="P66" s="53">
        <f>'LOOKUP  telda'!AE25-'LOOKUP  telda'!AA25</f>
        <v>0</v>
      </c>
      <c r="Q66" s="53">
        <f t="shared" si="4"/>
        <v>0</v>
      </c>
      <c r="R66" s="53">
        <f>'LOOKUP  telda'!AF25</f>
        <v>0</v>
      </c>
    </row>
    <row r="67" spans="2:18">
      <c r="B67" s="163" t="s">
        <v>42</v>
      </c>
      <c r="C67" s="52" t="s">
        <v>99</v>
      </c>
      <c r="D67" s="53">
        <f>'LOOKUP  telda'!E26</f>
        <v>0</v>
      </c>
      <c r="E67" s="53">
        <f>'LOOKUP  telda'!F26+'LOOKUP  telda'!G26+'LOOKUP  telda'!H26</f>
        <v>0</v>
      </c>
      <c r="F67" s="53">
        <f>'LOOKUP  telda'!I26</f>
        <v>0</v>
      </c>
      <c r="G67" s="53">
        <f>'LOOKUP  telda'!J26</f>
        <v>0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0</v>
      </c>
      <c r="O67" s="53">
        <f>'LOOKUP  telda'!AA26</f>
        <v>0</v>
      </c>
      <c r="P67" s="53">
        <f>'LOOKUP  telda'!AE26-'LOOKUP  telda'!AA26</f>
        <v>0</v>
      </c>
      <c r="Q67" s="53">
        <f t="shared" si="4"/>
        <v>0</v>
      </c>
      <c r="R67" s="53">
        <f>'LOOKUP  telda'!AF26</f>
        <v>0</v>
      </c>
    </row>
    <row r="68" spans="2:18">
      <c r="B68" s="164"/>
      <c r="C68" s="52" t="s">
        <v>100</v>
      </c>
      <c r="D68" s="53">
        <f>'LOOKUP  telda'!E27</f>
        <v>0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0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64"/>
      <c r="C69" s="52" t="s">
        <v>101</v>
      </c>
      <c r="D69" s="53">
        <f>'LOOKUP  telda'!E28</f>
        <v>0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0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64"/>
      <c r="C70" s="52" t="s">
        <v>102</v>
      </c>
      <c r="D70" s="53">
        <f>'LOOKUP  telda'!E29</f>
        <v>0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0</v>
      </c>
      <c r="H70" s="53">
        <f>'LOOKUP  telda'!K29</f>
        <v>0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0</v>
      </c>
      <c r="O70" s="53">
        <f>'LOOKUP  telda'!AA29</f>
        <v>0</v>
      </c>
      <c r="P70" s="53">
        <f>'LOOKUP  telda'!AE29-'LOOKUP  telda'!AA29</f>
        <v>0</v>
      </c>
      <c r="Q70" s="53">
        <f t="shared" si="4"/>
        <v>0</v>
      </c>
      <c r="R70" s="53">
        <f>'LOOKUP  telda'!AF29</f>
        <v>0</v>
      </c>
    </row>
    <row r="71" spans="2:18">
      <c r="B71" s="164"/>
      <c r="C71" s="52" t="s">
        <v>103</v>
      </c>
      <c r="D71" s="53">
        <f>'LOOKUP  telda'!E30</f>
        <v>0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0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64"/>
      <c r="C72" s="52" t="s">
        <v>104</v>
      </c>
      <c r="D72" s="53">
        <f>'LOOKUP  telda'!E31</f>
        <v>0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0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0</v>
      </c>
    </row>
    <row r="73" spans="2:18">
      <c r="B73" s="164"/>
      <c r="C73" s="52" t="s">
        <v>105</v>
      </c>
      <c r="D73" s="53">
        <f>'LOOKUP  telda'!E32</f>
        <v>0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0</v>
      </c>
      <c r="L73" s="53">
        <f>'LOOKUP  telda'!Y32</f>
        <v>0</v>
      </c>
      <c r="M73" s="53">
        <f>SUM('DATA MTD'!I73:L73)</f>
        <v>0</v>
      </c>
      <c r="N73" s="53">
        <f>'LOOKUP  telda'!Z32</f>
        <v>0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64"/>
      <c r="C74" s="52" t="s">
        <v>106</v>
      </c>
      <c r="D74" s="53">
        <f>'LOOKUP  telda'!E33</f>
        <v>0</v>
      </c>
      <c r="E74" s="53">
        <f>'LOOKUP  telda'!F33+'LOOKUP  telda'!G33+'LOOKUP  telda'!H33</f>
        <v>0</v>
      </c>
      <c r="F74" s="53">
        <f>'LOOKUP  telda'!I33</f>
        <v>0</v>
      </c>
      <c r="G74" s="53">
        <f>'LOOKUP  telda'!J33</f>
        <v>0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0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0</v>
      </c>
    </row>
    <row r="75" spans="2:18">
      <c r="B75" s="164"/>
      <c r="C75" s="52" t="s">
        <v>107</v>
      </c>
      <c r="D75" s="53">
        <f>'LOOKUP  telda'!E34</f>
        <v>0</v>
      </c>
      <c r="E75" s="53">
        <f>'LOOKUP  telda'!F34+'LOOKUP  telda'!G34+'LOOKUP  telda'!H34</f>
        <v>0</v>
      </c>
      <c r="F75" s="53">
        <f>'LOOKUP  telda'!I34</f>
        <v>0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0</v>
      </c>
      <c r="M75" s="53">
        <f>SUM('DATA MTD'!I75:L75)</f>
        <v>0</v>
      </c>
      <c r="N75" s="53">
        <f>'LOOKUP  telda'!Z34</f>
        <v>0</v>
      </c>
      <c r="O75" s="53">
        <f>'LOOKUP  telda'!AA34</f>
        <v>0</v>
      </c>
      <c r="P75" s="53">
        <f>'LOOKUP  telda'!AE34-'LOOKUP  telda'!AA34</f>
        <v>0</v>
      </c>
      <c r="Q75" s="53">
        <f t="shared" si="4"/>
        <v>0</v>
      </c>
      <c r="R75" s="53">
        <f>'LOOKUP  telda'!AF34</f>
        <v>0</v>
      </c>
    </row>
    <row r="76" spans="2:18">
      <c r="B76" s="165"/>
      <c r="C76" s="52" t="s">
        <v>108</v>
      </c>
      <c r="D76" s="53">
        <f>'LOOKUP  telda'!E35</f>
        <v>0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0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0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63" t="s">
        <v>70</v>
      </c>
      <c r="C77" s="52" t="s">
        <v>109</v>
      </c>
      <c r="D77" s="53">
        <f>'LOOKUP  telda'!E36</f>
        <v>0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0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64"/>
      <c r="C78" s="52" t="s">
        <v>110</v>
      </c>
      <c r="D78" s="53">
        <f>'LOOKUP  telda'!E37</f>
        <v>0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0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64"/>
      <c r="C79" s="52" t="s">
        <v>111</v>
      </c>
      <c r="D79" s="53">
        <f>'LOOKUP  telda'!E38</f>
        <v>0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0</v>
      </c>
      <c r="K79" s="53">
        <f>'LOOKUP  telda'!X38</f>
        <v>0</v>
      </c>
      <c r="L79" s="53">
        <f>'LOOKUP  telda'!Y38</f>
        <v>0</v>
      </c>
      <c r="M79" s="53">
        <f>SUM('DATA MTD'!I79:L79)</f>
        <v>0</v>
      </c>
      <c r="N79" s="53">
        <f>'LOOKUP  telda'!Z38</f>
        <v>0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0</v>
      </c>
    </row>
    <row r="80" spans="2:18" ht="29">
      <c r="B80" s="164"/>
      <c r="C80" s="52" t="s">
        <v>112</v>
      </c>
      <c r="D80" s="53">
        <f>'LOOKUP  telda'!E39</f>
        <v>0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0</v>
      </c>
      <c r="M80" s="53">
        <f>SUM('DATA MTD'!I80:L80)</f>
        <v>0</v>
      </c>
      <c r="N80" s="53">
        <f>'LOOKUP  telda'!Z39</f>
        <v>0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4"/>
      <c r="C81" s="52" t="s">
        <v>113</v>
      </c>
      <c r="D81" s="53">
        <f>'LOOKUP  telda'!E40</f>
        <v>0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0</v>
      </c>
      <c r="H81" s="53">
        <f>'LOOKUP  telda'!K40</f>
        <v>0</v>
      </c>
      <c r="I81" s="53">
        <f>'LOOKUP  telda'!L40</f>
        <v>0</v>
      </c>
      <c r="J81" s="53">
        <f>'LOOKUP  telda'!P40</f>
        <v>0</v>
      </c>
      <c r="K81" s="53">
        <f>'LOOKUP  telda'!X40</f>
        <v>0</v>
      </c>
      <c r="L81" s="53">
        <f>'LOOKUP  telda'!Y40</f>
        <v>0</v>
      </c>
      <c r="M81" s="53">
        <f>SUM('DATA MTD'!I81:L81)</f>
        <v>0</v>
      </c>
      <c r="N81" s="53">
        <f>'LOOKUP  telda'!Z40</f>
        <v>0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0</v>
      </c>
    </row>
    <row r="82" spans="2:18">
      <c r="B82" s="164"/>
      <c r="C82" s="52" t="s">
        <v>114</v>
      </c>
      <c r="D82" s="53">
        <f>'LOOKUP  telda'!E41</f>
        <v>0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0</v>
      </c>
      <c r="H82" s="53">
        <f>'LOOKUP  telda'!K41</f>
        <v>0</v>
      </c>
      <c r="I82" s="53">
        <f>'LOOKUP  telda'!L41</f>
        <v>0</v>
      </c>
      <c r="J82" s="53">
        <f>'LOOKUP  telda'!P41</f>
        <v>0</v>
      </c>
      <c r="K82" s="53">
        <f>'LOOKUP  telda'!X41</f>
        <v>0</v>
      </c>
      <c r="L82" s="53">
        <f>'LOOKUP  telda'!Y41</f>
        <v>0</v>
      </c>
      <c r="M82" s="53">
        <f>SUM('DATA MTD'!I82:L82)</f>
        <v>0</v>
      </c>
      <c r="N82" s="53">
        <f>'LOOKUP  telda'!Z41</f>
        <v>0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64"/>
      <c r="C83" s="52" t="s">
        <v>115</v>
      </c>
      <c r="D83" s="53">
        <f>'LOOKUP  telda'!E42</f>
        <v>0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0</v>
      </c>
      <c r="K83" s="53">
        <f>'LOOKUP  telda'!X42</f>
        <v>0</v>
      </c>
      <c r="L83" s="53">
        <f>'LOOKUP  telda'!Y42</f>
        <v>0</v>
      </c>
      <c r="M83" s="53">
        <f>SUM('DATA MTD'!I83:L83)</f>
        <v>0</v>
      </c>
      <c r="N83" s="53">
        <f>'LOOKUP  telda'!Z42</f>
        <v>0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64"/>
      <c r="C84" s="52" t="s">
        <v>116</v>
      </c>
      <c r="D84" s="53">
        <f>'LOOKUP  telda'!E43</f>
        <v>0</v>
      </c>
      <c r="E84" s="53">
        <f>'LOOKUP  telda'!F43+'LOOKUP  telda'!G43+'LOOKUP  telda'!H43</f>
        <v>0</v>
      </c>
      <c r="F84" s="53">
        <f>'LOOKUP  telda'!I43</f>
        <v>0</v>
      </c>
      <c r="G84" s="53">
        <f>'LOOKUP  telda'!J43</f>
        <v>0</v>
      </c>
      <c r="H84" s="53">
        <f>'LOOKUP  telda'!K43</f>
        <v>0</v>
      </c>
      <c r="I84" s="53">
        <f>'LOOKUP  telda'!L43</f>
        <v>0</v>
      </c>
      <c r="J84" s="53">
        <f>'LOOKUP  telda'!P43</f>
        <v>0</v>
      </c>
      <c r="K84" s="53">
        <f>'LOOKUP  telda'!X43</f>
        <v>0</v>
      </c>
      <c r="L84" s="53">
        <f>'LOOKUP  telda'!Y43</f>
        <v>0</v>
      </c>
      <c r="M84" s="53">
        <f>SUM('DATA MTD'!I84:L84)</f>
        <v>0</v>
      </c>
      <c r="N84" s="53">
        <f>'LOOKUP  telda'!Z43</f>
        <v>0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0</v>
      </c>
    </row>
    <row r="85" spans="2:18">
      <c r="B85" s="164"/>
      <c r="C85" s="52" t="s">
        <v>117</v>
      </c>
      <c r="D85" s="53">
        <f>'LOOKUP  telda'!E44</f>
        <v>0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0</v>
      </c>
      <c r="H85" s="53">
        <f>'LOOKUP  telda'!K44</f>
        <v>0</v>
      </c>
      <c r="I85" s="53">
        <f>'LOOKUP  telda'!L44</f>
        <v>0</v>
      </c>
      <c r="J85" s="53">
        <f>'LOOKUP  telda'!P44</f>
        <v>0</v>
      </c>
      <c r="K85" s="53">
        <f>'LOOKUP  telda'!X44</f>
        <v>0</v>
      </c>
      <c r="L85" s="53">
        <f>'LOOKUP  telda'!Y44</f>
        <v>0</v>
      </c>
      <c r="M85" s="53">
        <f>SUM('DATA MTD'!I85:L85)</f>
        <v>0</v>
      </c>
      <c r="N85" s="53">
        <f>'LOOKUP  telda'!Z44</f>
        <v>0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0</v>
      </c>
    </row>
    <row r="86" spans="2:18">
      <c r="B86" s="164"/>
      <c r="C86" s="52" t="s">
        <v>118</v>
      </c>
      <c r="D86" s="53">
        <f>'LOOKUP  telda'!E45</f>
        <v>0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0</v>
      </c>
      <c r="K86" s="53">
        <f>'LOOKUP  telda'!X45</f>
        <v>0</v>
      </c>
      <c r="L86" s="53">
        <f>'LOOKUP  telda'!Y45</f>
        <v>0</v>
      </c>
      <c r="M86" s="53">
        <f>SUM('DATA MTD'!I86:L86)</f>
        <v>0</v>
      </c>
      <c r="N86" s="53">
        <f>'LOOKUP  telda'!Z45</f>
        <v>0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4"/>
      <c r="C87" s="52" t="s">
        <v>119</v>
      </c>
      <c r="D87" s="53">
        <f>'LOOKUP  telda'!E46</f>
        <v>0</v>
      </c>
      <c r="E87" s="53">
        <f>'LOOKUP  telda'!F46+'LOOKUP  telda'!G46+'LOOKUP  telda'!H46</f>
        <v>0</v>
      </c>
      <c r="F87" s="53">
        <f>'LOOKUP  telda'!I46</f>
        <v>0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0</v>
      </c>
      <c r="K87" s="53">
        <f>'LOOKUP  telda'!X46</f>
        <v>0</v>
      </c>
      <c r="L87" s="53">
        <f>'LOOKUP  telda'!Y46</f>
        <v>0</v>
      </c>
      <c r="M87" s="53">
        <f>SUM('DATA MTD'!I87:L87)</f>
        <v>0</v>
      </c>
      <c r="N87" s="53">
        <f>'LOOKUP  telda'!Z46</f>
        <v>0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0</v>
      </c>
    </row>
    <row r="88" spans="2:18">
      <c r="B88" s="165"/>
      <c r="C88" s="52" t="s">
        <v>120</v>
      </c>
      <c r="D88" s="53">
        <f>'LOOKUP  telda'!E47</f>
        <v>0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0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63" t="s">
        <v>55</v>
      </c>
      <c r="C89" s="52" t="s">
        <v>121</v>
      </c>
      <c r="D89" s="53">
        <f>'LOOKUP  telda'!E48</f>
        <v>0</v>
      </c>
      <c r="E89" s="53">
        <f>'LOOKUP  telda'!F48+'LOOKUP  telda'!G48+'LOOKUP  telda'!H48</f>
        <v>0</v>
      </c>
      <c r="F89" s="53">
        <f>'LOOKUP  telda'!I48</f>
        <v>0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0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64"/>
      <c r="C90" s="52" t="s">
        <v>122</v>
      </c>
      <c r="D90" s="53">
        <f>'LOOKUP  telda'!E49</f>
        <v>0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0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0</v>
      </c>
      <c r="M90" s="53">
        <f>SUM('DATA MTD'!I90:L90)</f>
        <v>0</v>
      </c>
      <c r="N90" s="53">
        <f>'LOOKUP  telda'!Z49</f>
        <v>0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0</v>
      </c>
    </row>
    <row r="91" spans="2:18">
      <c r="B91" s="164"/>
      <c r="C91" s="52" t="s">
        <v>123</v>
      </c>
      <c r="D91" s="53">
        <f>'LOOKUP  telda'!E50</f>
        <v>0</v>
      </c>
      <c r="E91" s="53">
        <f>'LOOKUP  telda'!F50+'LOOKUP  telda'!G50+'LOOKUP  telda'!H50</f>
        <v>0</v>
      </c>
      <c r="F91" s="53">
        <f>'LOOKUP  telda'!I50</f>
        <v>0</v>
      </c>
      <c r="G91" s="53">
        <f>'LOOKUP  telda'!J50</f>
        <v>0</v>
      </c>
      <c r="H91" s="53">
        <f>'LOOKUP  telda'!K50</f>
        <v>0</v>
      </c>
      <c r="I91" s="53">
        <f>'LOOKUP  telda'!L50</f>
        <v>0</v>
      </c>
      <c r="J91" s="53">
        <f>'LOOKUP  telda'!P50</f>
        <v>0</v>
      </c>
      <c r="K91" s="53">
        <f>'LOOKUP  telda'!X50</f>
        <v>0</v>
      </c>
      <c r="L91" s="53">
        <f>'LOOKUP  telda'!Y50</f>
        <v>0</v>
      </c>
      <c r="M91" s="53">
        <f>SUM('DATA MTD'!I91:L91)</f>
        <v>0</v>
      </c>
      <c r="N91" s="53">
        <f>'LOOKUP  telda'!Z50</f>
        <v>0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0</v>
      </c>
    </row>
    <row r="92" spans="2:18">
      <c r="B92" s="164"/>
      <c r="C92" s="52" t="s">
        <v>124</v>
      </c>
      <c r="D92" s="53">
        <f>'LOOKUP  telda'!E51</f>
        <v>0</v>
      </c>
      <c r="E92" s="53">
        <f>'LOOKUP  telda'!F51+'LOOKUP  telda'!G51+'LOOKUP  telda'!H51</f>
        <v>0</v>
      </c>
      <c r="F92" s="53">
        <f>'LOOKUP  telda'!I51</f>
        <v>0</v>
      </c>
      <c r="G92" s="53">
        <f>'LOOKUP  telda'!J51</f>
        <v>0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0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0</v>
      </c>
    </row>
    <row r="93" spans="2:18">
      <c r="B93" s="164"/>
      <c r="C93" s="52" t="s">
        <v>125</v>
      </c>
      <c r="D93" s="53">
        <f>'LOOKUP  telda'!E52</f>
        <v>0</v>
      </c>
      <c r="E93" s="53">
        <f>'LOOKUP  telda'!F52+'LOOKUP  telda'!G52+'LOOKUP  telda'!H52</f>
        <v>0</v>
      </c>
      <c r="F93" s="53">
        <f>'LOOKUP  telda'!I52</f>
        <v>0</v>
      </c>
      <c r="G93" s="53">
        <f>'LOOKUP  telda'!J52</f>
        <v>0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0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0</v>
      </c>
    </row>
    <row r="94" spans="2:18">
      <c r="B94" s="164"/>
      <c r="C94" s="52" t="s">
        <v>126</v>
      </c>
      <c r="D94" s="53">
        <f>'LOOKUP  telda'!E53</f>
        <v>0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0</v>
      </c>
      <c r="H94" s="53">
        <f>'LOOKUP  telda'!K53</f>
        <v>0</v>
      </c>
      <c r="I94" s="53">
        <f>'LOOKUP  telda'!L53</f>
        <v>0</v>
      </c>
      <c r="J94" s="53">
        <f>'LOOKUP  telda'!P53</f>
        <v>0</v>
      </c>
      <c r="K94" s="53">
        <f>'LOOKUP  telda'!X53</f>
        <v>0</v>
      </c>
      <c r="L94" s="53">
        <f>'LOOKUP  telda'!Y53</f>
        <v>0</v>
      </c>
      <c r="M94" s="53">
        <f>SUM('DATA MTD'!I94:L94)</f>
        <v>0</v>
      </c>
      <c r="N94" s="53">
        <f>'LOOKUP  telda'!Z53</f>
        <v>0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0</v>
      </c>
    </row>
    <row r="95" spans="2:18">
      <c r="B95" s="164"/>
      <c r="C95" s="52" t="s">
        <v>127</v>
      </c>
      <c r="D95" s="53">
        <f>'LOOKUP  telda'!E54</f>
        <v>0</v>
      </c>
      <c r="E95" s="53">
        <f>'LOOKUP  telda'!F54+'LOOKUP  telda'!G54+'LOOKUP  telda'!H54</f>
        <v>0</v>
      </c>
      <c r="F95" s="53">
        <f>'LOOKUP  telda'!I54</f>
        <v>0</v>
      </c>
      <c r="G95" s="53">
        <f>'LOOKUP  telda'!J54</f>
        <v>0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0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0</v>
      </c>
    </row>
    <row r="96" spans="2:18">
      <c r="B96" s="165"/>
      <c r="C96" s="52" t="s">
        <v>128</v>
      </c>
      <c r="D96" s="53">
        <f>'LOOKUP  telda'!E55</f>
        <v>0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0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0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0</v>
      </c>
    </row>
    <row r="97" spans="2:18" ht="15.5">
      <c r="B97" s="161" t="s">
        <v>62</v>
      </c>
      <c r="C97" s="16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S10" sqref="S10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6" t="str">
        <f ca="1">"PROVISIONING NEW SALES INDIBIZ TR3 JBN MTD  "&amp;TEXT(TODAY()-1,"YYYY-MM-DD ")</f>
        <v xml:space="preserve">PROVISIONING NEW SALES INDIBIZ TR3 JBN MTD  2026-10-01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6" t="str">
        <f ca="1">"PERIODE ORDER &amp; PS : 2026-01-01 to  "&amp;TEXT(TODAY()-1,"YYYY-MM-DD ")</f>
        <v xml:space="preserve">PERIODE ORDER &amp; PS : 2026-01-01 to  2026-10-01 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0" t="s">
        <v>586</v>
      </c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1" t="s">
        <v>1</v>
      </c>
      <c r="D6" s="108" t="s">
        <v>129</v>
      </c>
      <c r="E6" s="108" t="s">
        <v>67</v>
      </c>
      <c r="F6" s="111" t="s">
        <v>12</v>
      </c>
      <c r="G6" s="112"/>
      <c r="H6" s="113"/>
      <c r="I6" s="120" t="s">
        <v>14</v>
      </c>
      <c r="J6" s="123" t="s">
        <v>8</v>
      </c>
      <c r="K6" s="123" t="s">
        <v>9</v>
      </c>
      <c r="L6" s="127" t="s">
        <v>10</v>
      </c>
      <c r="M6" s="128"/>
      <c r="N6" s="128"/>
      <c r="O6" s="129"/>
      <c r="P6" s="136" t="s">
        <v>11</v>
      </c>
      <c r="Q6" s="101" t="s">
        <v>130</v>
      </c>
      <c r="R6" s="101" t="s">
        <v>131</v>
      </c>
      <c r="S6" s="101" t="s">
        <v>132</v>
      </c>
    </row>
    <row r="7" spans="3:31" ht="15.65" customHeight="1">
      <c r="C7" s="182"/>
      <c r="D7" s="109"/>
      <c r="E7" s="109"/>
      <c r="F7" s="114"/>
      <c r="G7" s="115"/>
      <c r="H7" s="116"/>
      <c r="I7" s="121"/>
      <c r="J7" s="124"/>
      <c r="K7" s="124"/>
      <c r="L7" s="130"/>
      <c r="M7" s="131"/>
      <c r="N7" s="131"/>
      <c r="O7" s="132"/>
      <c r="P7" s="137"/>
      <c r="Q7" s="102"/>
      <c r="R7" s="102"/>
      <c r="S7" s="102"/>
    </row>
    <row r="8" spans="3:31" ht="14.5" customHeight="1">
      <c r="C8" s="182"/>
      <c r="D8" s="109"/>
      <c r="E8" s="109"/>
      <c r="F8" s="117"/>
      <c r="G8" s="118"/>
      <c r="H8" s="119"/>
      <c r="I8" s="121"/>
      <c r="J8" s="124"/>
      <c r="K8" s="124"/>
      <c r="L8" s="133"/>
      <c r="M8" s="134"/>
      <c r="N8" s="134"/>
      <c r="O8" s="135"/>
      <c r="P8" s="137"/>
      <c r="Q8" s="102"/>
      <c r="R8" s="102"/>
      <c r="S8" s="102"/>
    </row>
    <row r="9" spans="3:31" ht="49.5" customHeight="1">
      <c r="C9" s="183"/>
      <c r="D9" s="110"/>
      <c r="E9" s="110"/>
      <c r="F9" s="22" t="s">
        <v>133</v>
      </c>
      <c r="G9" s="22" t="s">
        <v>30</v>
      </c>
      <c r="H9" s="22" t="s">
        <v>69</v>
      </c>
      <c r="I9" s="122"/>
      <c r="J9" s="125"/>
      <c r="K9" s="125"/>
      <c r="L9" s="37" t="s">
        <v>2</v>
      </c>
      <c r="M9" s="37" t="s">
        <v>18</v>
      </c>
      <c r="N9" s="37" t="s">
        <v>20</v>
      </c>
      <c r="O9" s="37" t="s">
        <v>22</v>
      </c>
      <c r="P9" s="138"/>
      <c r="Q9" s="103"/>
      <c r="R9" s="103"/>
      <c r="S9" s="103"/>
      <c r="X9">
        <f>205/216</f>
        <v>0.94907407407407407</v>
      </c>
    </row>
    <row r="10" spans="3:31" ht="15.5">
      <c r="C10" s="23" t="s">
        <v>34</v>
      </c>
      <c r="D10" s="24">
        <f>'COPY DATA XPRO'!E63</f>
        <v>6</v>
      </c>
      <c r="E10" s="24">
        <f>'COPY DATA XPRO'!F63+'COPY DATA XPRO'!G63+'COPY DATA XPRO'!H63</f>
        <v>0</v>
      </c>
      <c r="F10" s="24">
        <f>'COPY DATA XPRO'!I63</f>
        <v>0</v>
      </c>
      <c r="G10" s="24">
        <f>'COPY DATA XPRO'!AA63</f>
        <v>0</v>
      </c>
      <c r="H10" s="24">
        <f>'COPY DATA XPRO'!AE63-HARIAN!G10</f>
        <v>0</v>
      </c>
      <c r="I10" s="24">
        <f>'COPY DATA XPRO'!AF63</f>
        <v>0</v>
      </c>
      <c r="J10" s="24">
        <f>'COPY DATA XPRO'!J63</f>
        <v>1</v>
      </c>
      <c r="K10" s="24">
        <f>'COPY DATA XPRO'!K63</f>
        <v>0</v>
      </c>
      <c r="L10" s="24">
        <f>'COPY DATA XPRO'!L63</f>
        <v>1</v>
      </c>
      <c r="M10" s="24">
        <f>'COPY DATA XPRO'!P63</f>
        <v>1</v>
      </c>
      <c r="N10" s="24">
        <f>'COPY DATA XPRO'!X63</f>
        <v>0</v>
      </c>
      <c r="O10" s="24">
        <f>'COPY DATA XPRO'!Y63</f>
        <v>2</v>
      </c>
      <c r="P10" s="24">
        <f>'COPY DATA XPRO'!Z63</f>
        <v>1</v>
      </c>
      <c r="Q10" s="40">
        <f t="shared" ref="Q10:R15" si="0">T10</f>
        <v>0.16666666666666666</v>
      </c>
      <c r="R10" s="40">
        <f>U10</f>
        <v>0.25</v>
      </c>
      <c r="S10" s="40">
        <f>VLOOKUP(C10,Sheet3!$A$19:$G$81,7,FALSE)</f>
        <v>1</v>
      </c>
      <c r="T10" s="8">
        <f t="shared" ref="T10:T15" si="1">P10/(D10-F10-K10-I10)</f>
        <v>0.16666666666666666</v>
      </c>
      <c r="U10" s="8">
        <f>P10/(M10+N10+O10+P10)</f>
        <v>0.25</v>
      </c>
    </row>
    <row r="11" spans="3:31" ht="15.5">
      <c r="C11" s="23" t="s">
        <v>38</v>
      </c>
      <c r="D11" s="24">
        <f>'COPY DATA XPRO'!E64</f>
        <v>18</v>
      </c>
      <c r="E11" s="24">
        <f>'COPY DATA XPRO'!F64+'COPY DATA XPRO'!G64+'COPY DATA XPRO'!H64</f>
        <v>0</v>
      </c>
      <c r="F11" s="24">
        <f>'COPY DATA XPRO'!I64</f>
        <v>0</v>
      </c>
      <c r="G11" s="24">
        <f>'COPY DATA XPRO'!AA64</f>
        <v>0</v>
      </c>
      <c r="H11" s="24">
        <f>'COPY DATA XPRO'!AE64-HARIAN!G11</f>
        <v>0</v>
      </c>
      <c r="I11" s="24">
        <f>'COPY DATA XPRO'!AF64</f>
        <v>0</v>
      </c>
      <c r="J11" s="24">
        <f>'COPY DATA XPRO'!J64</f>
        <v>6</v>
      </c>
      <c r="K11" s="24">
        <f>'COPY DATA XPRO'!K64</f>
        <v>0</v>
      </c>
      <c r="L11" s="24">
        <f>'COPY DATA XPRO'!L64</f>
        <v>2</v>
      </c>
      <c r="M11" s="24">
        <f>'COPY DATA XPRO'!P64</f>
        <v>0</v>
      </c>
      <c r="N11" s="24">
        <f>'COPY DATA XPRO'!X64</f>
        <v>0</v>
      </c>
      <c r="O11" s="24">
        <f>'COPY DATA XPRO'!Y64</f>
        <v>1</v>
      </c>
      <c r="P11" s="24">
        <f>'COPY DATA XPRO'!Z64</f>
        <v>7</v>
      </c>
      <c r="Q11" s="40">
        <f t="shared" si="0"/>
        <v>0.3888888888888889</v>
      </c>
      <c r="R11" s="40">
        <f t="shared" si="0"/>
        <v>0.875</v>
      </c>
      <c r="S11" s="40">
        <f>VLOOKUP(C11,Sheet3!$A$19:$G$81,7,FALSE)</f>
        <v>1</v>
      </c>
      <c r="T11" s="8">
        <f t="shared" si="1"/>
        <v>0.3888888888888889</v>
      </c>
      <c r="U11" s="8">
        <f t="shared" ref="U11:U15" si="2">P11/(M11+N11+O11+P11)</f>
        <v>0.875</v>
      </c>
    </row>
    <row r="12" spans="3:31" ht="15.5">
      <c r="C12" s="23" t="s">
        <v>42</v>
      </c>
      <c r="D12" s="24">
        <f>'COPY DATA XPRO'!E65</f>
        <v>13</v>
      </c>
      <c r="E12" s="24">
        <f>'COPY DATA XPRO'!F65+'COPY DATA XPRO'!G65+'COPY DATA XPRO'!H65</f>
        <v>0</v>
      </c>
      <c r="F12" s="24">
        <f>'COPY DATA XPRO'!I65</f>
        <v>0</v>
      </c>
      <c r="G12" s="24">
        <f>'COPY DATA XPRO'!AA65</f>
        <v>0</v>
      </c>
      <c r="H12" s="24">
        <f>'COPY DATA XPRO'!AE65-HARIAN!G12</f>
        <v>0</v>
      </c>
      <c r="I12" s="24">
        <f>'COPY DATA XPRO'!AF65</f>
        <v>0</v>
      </c>
      <c r="J12" s="24">
        <f>'COPY DATA XPRO'!J65</f>
        <v>1</v>
      </c>
      <c r="K12" s="24">
        <f>'COPY DATA XPRO'!K65</f>
        <v>0</v>
      </c>
      <c r="L12" s="24">
        <f>'COPY DATA XPRO'!L65</f>
        <v>1</v>
      </c>
      <c r="M12" s="24">
        <f>'COPY DATA XPRO'!P65</f>
        <v>2</v>
      </c>
      <c r="N12" s="24">
        <f>'COPY DATA XPRO'!X65</f>
        <v>0</v>
      </c>
      <c r="O12" s="24">
        <f>'COPY DATA XPRO'!Y65</f>
        <v>4</v>
      </c>
      <c r="P12" s="24">
        <f>'COPY DATA XPRO'!Z65</f>
        <v>4</v>
      </c>
      <c r="Q12" s="40">
        <f t="shared" si="0"/>
        <v>0.30769230769230771</v>
      </c>
      <c r="R12" s="40">
        <f t="shared" si="0"/>
        <v>0.4</v>
      </c>
      <c r="S12" s="40">
        <f>VLOOKUP(C12,Sheet3!$A$19:$G$81,7,FALSE)</f>
        <v>1</v>
      </c>
      <c r="T12" s="8">
        <f t="shared" si="1"/>
        <v>0.30769230769230771</v>
      </c>
      <c r="U12" s="8">
        <f t="shared" si="2"/>
        <v>0.4</v>
      </c>
    </row>
    <row r="13" spans="3:31" ht="15.5">
      <c r="C13" s="23" t="s">
        <v>45</v>
      </c>
      <c r="D13" s="24">
        <f>'COPY DATA XPRO'!E66</f>
        <v>16</v>
      </c>
      <c r="E13" s="24">
        <f>'COPY DATA XPRO'!F66+'COPY DATA XPRO'!G66+'COPY DATA XPRO'!H66</f>
        <v>0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0</v>
      </c>
      <c r="J13" s="24">
        <f>'COPY DATA XPRO'!J66</f>
        <v>3</v>
      </c>
      <c r="K13" s="24">
        <f>'COPY DATA XPRO'!K66</f>
        <v>1</v>
      </c>
      <c r="L13" s="24">
        <f>'COPY DATA XPRO'!L66</f>
        <v>2</v>
      </c>
      <c r="M13" s="24">
        <f>'COPY DATA XPRO'!P66</f>
        <v>4</v>
      </c>
      <c r="N13" s="24">
        <f>'COPY DATA XPRO'!X66</f>
        <v>0</v>
      </c>
      <c r="O13" s="24">
        <f>'COPY DATA XPRO'!Y66</f>
        <v>4</v>
      </c>
      <c r="P13" s="24">
        <f>'COPY DATA XPRO'!Z66</f>
        <v>1</v>
      </c>
      <c r="Q13" s="40">
        <f t="shared" si="0"/>
        <v>6.6666666666666666E-2</v>
      </c>
      <c r="R13" s="40">
        <f t="shared" si="0"/>
        <v>0.1111111111111111</v>
      </c>
      <c r="S13" s="40">
        <f>VLOOKUP(C13,Sheet3!$A$19:$G$81,7,FALSE)</f>
        <v>1</v>
      </c>
      <c r="T13" s="8">
        <f t="shared" si="1"/>
        <v>6.6666666666666666E-2</v>
      </c>
      <c r="U13" s="8">
        <f t="shared" si="2"/>
        <v>0.1111111111111111</v>
      </c>
    </row>
    <row r="14" spans="3:31" ht="15.5">
      <c r="C14" s="23" t="s">
        <v>55</v>
      </c>
      <c r="D14" s="24">
        <f>'COPY DATA XPRO'!E69</f>
        <v>21</v>
      </c>
      <c r="E14" s="24">
        <f>'COPY DATA XPRO'!F69+'COPY DATA XPRO'!G69+'COPY DATA XPRO'!H69</f>
        <v>0</v>
      </c>
      <c r="F14" s="24">
        <f>'COPY DATA XPRO'!I69</f>
        <v>0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1</v>
      </c>
      <c r="J14" s="24">
        <f>'COPY DATA XPRO'!J69</f>
        <v>10</v>
      </c>
      <c r="K14" s="24">
        <f>'COPY DATA XPRO'!K69</f>
        <v>0</v>
      </c>
      <c r="L14" s="24">
        <f>'COPY DATA XPRO'!L69</f>
        <v>1</v>
      </c>
      <c r="M14" s="24">
        <f>'COPY DATA XPRO'!P69</f>
        <v>0</v>
      </c>
      <c r="N14" s="24">
        <f>'COPY DATA XPRO'!X69</f>
        <v>1</v>
      </c>
      <c r="O14" s="24">
        <f>'COPY DATA XPRO'!Y69</f>
        <v>1</v>
      </c>
      <c r="P14" s="24">
        <f>'COPY DATA XPRO'!Z69</f>
        <v>6</v>
      </c>
      <c r="Q14" s="40">
        <f t="shared" si="0"/>
        <v>0.3</v>
      </c>
      <c r="R14" s="40">
        <f t="shared" si="0"/>
        <v>0.75</v>
      </c>
      <c r="S14" s="40">
        <f>VLOOKUP(C14,Sheet3!$A$19:$G$81,7,FALSE)</f>
        <v>1</v>
      </c>
      <c r="T14" s="8">
        <f t="shared" si="1"/>
        <v>0.3</v>
      </c>
      <c r="U14" s="8">
        <f t="shared" si="2"/>
        <v>0.75</v>
      </c>
    </row>
    <row r="15" spans="3:31" ht="15.5">
      <c r="C15" s="25" t="s">
        <v>62</v>
      </c>
      <c r="D15" s="26">
        <f>SUM(D10:D14)</f>
        <v>74</v>
      </c>
      <c r="E15" s="26">
        <f>SUM(E10:E14)</f>
        <v>0</v>
      </c>
      <c r="F15" s="26">
        <f>SUM(F10:F14)</f>
        <v>0</v>
      </c>
      <c r="G15" s="26">
        <f t="shared" ref="G15:P15" si="3">SUM(G10:G14)</f>
        <v>0</v>
      </c>
      <c r="H15" s="26">
        <f t="shared" si="3"/>
        <v>0</v>
      </c>
      <c r="I15" s="26">
        <f t="shared" si="3"/>
        <v>1</v>
      </c>
      <c r="J15" s="26">
        <f t="shared" si="3"/>
        <v>21</v>
      </c>
      <c r="K15" s="26">
        <f t="shared" si="3"/>
        <v>1</v>
      </c>
      <c r="L15" s="26">
        <f t="shared" si="3"/>
        <v>7</v>
      </c>
      <c r="M15" s="26">
        <f t="shared" si="3"/>
        <v>7</v>
      </c>
      <c r="N15" s="26">
        <f t="shared" si="3"/>
        <v>1</v>
      </c>
      <c r="O15" s="26">
        <f t="shared" si="3"/>
        <v>12</v>
      </c>
      <c r="P15" s="26">
        <f t="shared" si="3"/>
        <v>19</v>
      </c>
      <c r="Q15" s="41">
        <f t="shared" si="0"/>
        <v>0.2638888888888889</v>
      </c>
      <c r="R15" s="41">
        <f>U15</f>
        <v>0.48717948717948717</v>
      </c>
      <c r="S15" s="41">
        <f>Sheet3!G10</f>
        <v>1</v>
      </c>
      <c r="T15" s="8">
        <f t="shared" si="1"/>
        <v>0.2638888888888889</v>
      </c>
      <c r="U15" s="8">
        <f t="shared" si="2"/>
        <v>0.48717948717948717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4" t="s">
        <v>72</v>
      </c>
      <c r="E17" s="105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9" t="s">
        <v>73</v>
      </c>
      <c r="E18" s="140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9" t="s">
        <v>74</v>
      </c>
      <c r="E19" s="140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9" t="s">
        <v>75</v>
      </c>
      <c r="E20" s="140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9" t="s">
        <v>76</v>
      </c>
      <c r="E21" s="140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1" t="s">
        <v>138</v>
      </c>
      <c r="E22" s="142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2026-10-01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2026-10-01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43" t="str">
        <f>C4</f>
        <v>Last update proses : 06-03-2026 15:19:48 WIB (Source: ETL XPRO)</v>
      </c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5"/>
    </row>
    <row r="27" spans="2:22" ht="15.5"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36"/>
    </row>
    <row r="29" spans="2:22" ht="15.65" customHeight="1">
      <c r="B29" s="146" t="s">
        <v>1</v>
      </c>
      <c r="C29" s="145" t="s">
        <v>78</v>
      </c>
      <c r="D29" s="146" t="s">
        <v>129</v>
      </c>
      <c r="E29" s="146" t="s">
        <v>67</v>
      </c>
      <c r="F29" s="189" t="s">
        <v>12</v>
      </c>
      <c r="G29" s="189"/>
      <c r="H29" s="189"/>
      <c r="I29" s="18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52" t="s">
        <v>130</v>
      </c>
      <c r="R29" s="152" t="s">
        <v>131</v>
      </c>
      <c r="S29" s="152" t="s">
        <v>132</v>
      </c>
    </row>
    <row r="30" spans="2:22" ht="14.5" customHeight="1">
      <c r="B30" s="146"/>
      <c r="C30" s="145"/>
      <c r="D30" s="146"/>
      <c r="E30" s="146"/>
      <c r="F30" s="189"/>
      <c r="G30" s="189"/>
      <c r="H30" s="189"/>
      <c r="I30" s="189"/>
      <c r="J30" s="148"/>
      <c r="K30" s="148"/>
      <c r="L30" s="148"/>
      <c r="M30" s="148"/>
      <c r="N30" s="148"/>
      <c r="O30" s="148"/>
      <c r="P30" s="151"/>
      <c r="Q30" s="152"/>
      <c r="R30" s="152"/>
      <c r="S30" s="152"/>
    </row>
    <row r="31" spans="2:22" ht="14.5" customHeight="1">
      <c r="B31" s="146"/>
      <c r="C31" s="145"/>
      <c r="D31" s="146"/>
      <c r="E31" s="146"/>
      <c r="F31" s="189"/>
      <c r="G31" s="189"/>
      <c r="H31" s="189"/>
      <c r="I31" s="189"/>
      <c r="J31" s="148"/>
      <c r="K31" s="148"/>
      <c r="L31" s="148"/>
      <c r="M31" s="148"/>
      <c r="N31" s="148"/>
      <c r="O31" s="148"/>
      <c r="P31" s="151"/>
      <c r="Q31" s="152"/>
      <c r="R31" s="152"/>
      <c r="S31" s="152"/>
    </row>
    <row r="32" spans="2:22" ht="31">
      <c r="B32" s="146"/>
      <c r="C32" s="145"/>
      <c r="D32" s="146"/>
      <c r="E32" s="146"/>
      <c r="F32" s="22" t="s">
        <v>133</v>
      </c>
      <c r="G32" s="22" t="s">
        <v>30</v>
      </c>
      <c r="H32" s="22" t="s">
        <v>69</v>
      </c>
      <c r="I32" s="18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52"/>
      <c r="R32" s="152"/>
      <c r="S32" s="152"/>
      <c r="V32" s="87" t="s">
        <v>796</v>
      </c>
    </row>
    <row r="33" spans="2:22" ht="15.5">
      <c r="B33" s="184" t="s">
        <v>34</v>
      </c>
      <c r="C33" s="64" t="s">
        <v>79</v>
      </c>
      <c r="D33" s="65">
        <f>'LOOKUP  telda'!E7</f>
        <v>0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0</v>
      </c>
      <c r="Q33" s="40">
        <f>T33</f>
        <v>0</v>
      </c>
      <c r="R33" s="40">
        <f>U33</f>
        <v>0</v>
      </c>
      <c r="S33" s="40" t="e">
        <f>VLOOKUP(C33,Sheet3!$A$19:$G$81,7,FALSE)</f>
        <v>#N/A</v>
      </c>
      <c r="T33" s="8">
        <f>IFERROR(P33/(D33-F33-K33-I33),0)</f>
        <v>0</v>
      </c>
      <c r="U33" s="8">
        <f>IFERROR(P33/(M33+N33+O33+P33),0)</f>
        <v>0</v>
      </c>
      <c r="V33" t="str">
        <f>VLOOKUP(C33,Sheet5!$A$2:$J$270,8,FALSE)</f>
        <v>GIANYAR</v>
      </c>
    </row>
    <row r="34" spans="2:22" ht="15.5">
      <c r="B34" s="184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5">
      <c r="B35" s="184"/>
      <c r="C35" s="64" t="s">
        <v>81</v>
      </c>
      <c r="D35" s="65">
        <f>'LOOKUP  telda'!E9</f>
        <v>0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0</v>
      </c>
      <c r="Q35" s="40">
        <f t="shared" si="4"/>
        <v>0</v>
      </c>
      <c r="R35" s="40">
        <f t="shared" si="5"/>
        <v>0</v>
      </c>
      <c r="S35" s="40" t="e">
        <f>VLOOKUP(C35,Sheet3!$A$19:$G$81,7,FALSE)</f>
        <v>#N/A</v>
      </c>
      <c r="T35" s="8">
        <f t="shared" si="6"/>
        <v>0</v>
      </c>
      <c r="U35" s="8">
        <f t="shared" si="7"/>
        <v>0</v>
      </c>
      <c r="V35" t="str">
        <f>VLOOKUP(C35,Sheet5!$A$2:$J$270,8,FALSE)</f>
        <v>JIMBARAN</v>
      </c>
    </row>
    <row r="36" spans="2:22" ht="15.5">
      <c r="B36" s="184"/>
      <c r="C36" s="64" t="s">
        <v>82</v>
      </c>
      <c r="D36" s="65">
        <f>'LOOKUP  telda'!E10</f>
        <v>0</v>
      </c>
      <c r="E36" s="65">
        <f>'LOOKUP  telda'!F10+'LOOKUP  telda'!G10+'LOOKUP  telda'!H10</f>
        <v>0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0</v>
      </c>
      <c r="Q36" s="40">
        <f t="shared" si="4"/>
        <v>0</v>
      </c>
      <c r="R36" s="40">
        <f t="shared" si="5"/>
        <v>0</v>
      </c>
      <c r="S36" s="40" t="e">
        <f>VLOOKUP(C36,Sheet3!$A$19:$G$81,7,FALSE)</f>
        <v>#N/A</v>
      </c>
      <c r="T36" s="8">
        <f t="shared" si="6"/>
        <v>0</v>
      </c>
      <c r="U36" s="8">
        <f t="shared" si="7"/>
        <v>0</v>
      </c>
      <c r="V36" t="str">
        <f>VLOOKUP(C36,Sheet5!$A$2:$J$270,8,FALSE)</f>
        <v>KLUNGKUNG</v>
      </c>
    </row>
    <row r="37" spans="2:22" ht="15.5">
      <c r="B37" s="184"/>
      <c r="C37" s="64" t="s">
        <v>83</v>
      </c>
      <c r="D37" s="65">
        <f>'LOOKUP  telda'!E11</f>
        <v>0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0</v>
      </c>
      <c r="Q37" s="40">
        <f t="shared" si="4"/>
        <v>0</v>
      </c>
      <c r="R37" s="40">
        <f t="shared" si="5"/>
        <v>0</v>
      </c>
      <c r="S37" s="40" t="e">
        <f>VLOOKUP(C37,Sheet3!$A$19:$G$81,7,FALSE)</f>
        <v>#N/A</v>
      </c>
      <c r="T37" s="8">
        <f t="shared" si="6"/>
        <v>0</v>
      </c>
      <c r="U37" s="8">
        <f t="shared" si="7"/>
        <v>0</v>
      </c>
      <c r="V37" t="str">
        <f>VLOOKUP(C37,Sheet5!$A$2:$J$270,8,FALSE)</f>
        <v>SANUR</v>
      </c>
    </row>
    <row r="38" spans="2:22" ht="15.5">
      <c r="B38" s="184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0</v>
      </c>
      <c r="Q38" s="40">
        <f t="shared" si="4"/>
        <v>0</v>
      </c>
      <c r="R38" s="40">
        <f t="shared" si="5"/>
        <v>0</v>
      </c>
      <c r="S38" s="40">
        <f>VLOOKUP(C38,Sheet3!$A$19:$G$81,7,FALSE)</f>
        <v>1</v>
      </c>
      <c r="T38" s="8">
        <f t="shared" si="6"/>
        <v>0</v>
      </c>
      <c r="U38" s="8">
        <f t="shared" si="7"/>
        <v>0</v>
      </c>
      <c r="V38" t="str">
        <f>VLOOKUP(C38,Sheet5!$A$2:$J$270,8,FALSE)</f>
        <v>SINGARAJA</v>
      </c>
    </row>
    <row r="39" spans="2:22" ht="15.5">
      <c r="B39" s="184"/>
      <c r="C39" s="64" t="s">
        <v>85</v>
      </c>
      <c r="D39" s="65">
        <f>'LOOKUP  telda'!E13</f>
        <v>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>
        <f>VLOOKUP(C39,Sheet3!$A$19:$G$81,7,FALSE)</f>
        <v>1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5">
      <c r="B40" s="184"/>
      <c r="C40" s="64" t="s">
        <v>86</v>
      </c>
      <c r="D40" s="65">
        <f>'LOOKUP  telda'!E14</f>
        <v>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0</v>
      </c>
      <c r="P40" s="65">
        <f>'LOOKUP  telda'!Z14</f>
        <v>0</v>
      </c>
      <c r="Q40" s="40">
        <f t="shared" si="4"/>
        <v>0</v>
      </c>
      <c r="R40" s="40">
        <f t="shared" si="5"/>
        <v>0</v>
      </c>
      <c r="S40" s="40">
        <f>VLOOKUP(C40,Sheet3!$A$19:$G$81,7,FALSE)</f>
        <v>1</v>
      </c>
      <c r="T40" s="8">
        <f t="shared" si="6"/>
        <v>0</v>
      </c>
      <c r="U40" s="8">
        <f t="shared" si="7"/>
        <v>0</v>
      </c>
      <c r="V40" t="str">
        <f>VLOOKUP(C40,Sheet5!$A$2:$J$270,8,FALSE)</f>
        <v>UBUNG</v>
      </c>
    </row>
    <row r="41" spans="2:22" ht="15.5">
      <c r="B41" s="185" t="s">
        <v>38</v>
      </c>
      <c r="C41" s="66" t="s">
        <v>87</v>
      </c>
      <c r="D41" s="67">
        <f>'LOOKUP  telda'!E15</f>
        <v>0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>
        <f>VLOOKUP(C41,Sheet3!$A$19:$G$81,7,FALSE)</f>
        <v>1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5">
      <c r="B42" s="185"/>
      <c r="C42" s="66" t="s">
        <v>88</v>
      </c>
      <c r="D42" s="67">
        <f>'LOOKUP  telda'!E16</f>
        <v>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>
        <f>VLOOKUP(C42,Sheet3!$A$19:$G$81,7,FALSE)</f>
        <v>1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5">
      <c r="B43" s="185"/>
      <c r="C43" s="66" t="s">
        <v>89</v>
      </c>
      <c r="D43" s="67">
        <f>'LOOKUP  telda'!E17</f>
        <v>0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0</v>
      </c>
      <c r="Q43" s="40">
        <f t="shared" si="4"/>
        <v>0</v>
      </c>
      <c r="R43" s="40">
        <f t="shared" si="5"/>
        <v>0</v>
      </c>
      <c r="S43" s="40">
        <f>VLOOKUP(C43,Sheet3!$A$19:$G$81,7,FALSE)</f>
        <v>1</v>
      </c>
      <c r="T43" s="8">
        <f t="shared" si="6"/>
        <v>0</v>
      </c>
      <c r="U43" s="8">
        <f t="shared" si="7"/>
        <v>0</v>
      </c>
      <c r="V43" t="str">
        <f>VLOOKUP(C43,Sheet5!$A$2:$J$270,8,FALSE)</f>
        <v>BOJONEGORO</v>
      </c>
    </row>
    <row r="44" spans="2:22" ht="15.5">
      <c r="B44" s="185"/>
      <c r="C44" s="66" t="s">
        <v>90</v>
      </c>
      <c r="D44" s="67">
        <f>'LOOKUP  telda'!E18</f>
        <v>0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0</v>
      </c>
      <c r="Q44" s="40">
        <f t="shared" si="4"/>
        <v>0</v>
      </c>
      <c r="R44" s="40">
        <f t="shared" si="5"/>
        <v>0</v>
      </c>
      <c r="S44" s="40">
        <f>VLOOKUP(C44,Sheet3!$A$19:$G$81,7,FALSE)</f>
        <v>1</v>
      </c>
      <c r="T44" s="8">
        <f t="shared" si="6"/>
        <v>0</v>
      </c>
      <c r="U44" s="8">
        <f t="shared" si="7"/>
        <v>0</v>
      </c>
      <c r="V44" t="str">
        <f>VLOOKUP(C44,Sheet5!$A$2:$J$270,8,FALSE)</f>
        <v>KEDIRI</v>
      </c>
    </row>
    <row r="45" spans="2:22" ht="15.5">
      <c r="B45" s="185"/>
      <c r="C45" s="66" t="s">
        <v>91</v>
      </c>
      <c r="D45" s="67">
        <f>'LOOKUP  telda'!E19</f>
        <v>0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0</v>
      </c>
      <c r="Q45" s="40">
        <f t="shared" si="4"/>
        <v>0</v>
      </c>
      <c r="R45" s="40">
        <f t="shared" si="5"/>
        <v>0</v>
      </c>
      <c r="S45" s="40" t="e">
        <f>VLOOKUP(C45,Sheet3!$A$19:$G$81,7,FALSE)</f>
        <v>#N/A</v>
      </c>
      <c r="T45" s="8">
        <f t="shared" si="6"/>
        <v>0</v>
      </c>
      <c r="U45" s="8">
        <f t="shared" si="7"/>
        <v>0</v>
      </c>
      <c r="V45" t="str">
        <f>VLOOKUP(C45,Sheet5!$A$2:$J$270,8,FALSE)</f>
        <v>MALANG</v>
      </c>
    </row>
    <row r="46" spans="2:22" ht="15.5">
      <c r="B46" s="185"/>
      <c r="C46" s="66" t="s">
        <v>92</v>
      </c>
      <c r="D46" s="67">
        <f>'LOOKUP  telda'!E20</f>
        <v>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>
        <f>VLOOKUP(C46,Sheet3!$A$19:$G$81,7,FALSE)</f>
        <v>1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5">
      <c r="B47" s="185"/>
      <c r="C47" s="66" t="s">
        <v>93</v>
      </c>
      <c r="D47" s="67">
        <f>'LOOKUP  telda'!E21</f>
        <v>0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0</v>
      </c>
      <c r="Q47" s="40">
        <f t="shared" si="4"/>
        <v>0</v>
      </c>
      <c r="R47" s="40">
        <f t="shared" si="5"/>
        <v>0</v>
      </c>
      <c r="S47" s="40" t="e">
        <f>VLOOKUP(C47,Sheet3!$A$19:$G$81,7,FALSE)</f>
        <v>#N/A</v>
      </c>
      <c r="T47" s="8">
        <f t="shared" si="6"/>
        <v>0</v>
      </c>
      <c r="U47" s="8">
        <f t="shared" si="7"/>
        <v>0</v>
      </c>
      <c r="V47" t="str">
        <f>VLOOKUP(C47,Sheet5!$A$2:$J$270,8,FALSE)</f>
        <v>NGANJUK</v>
      </c>
    </row>
    <row r="48" spans="2:22" ht="15.5">
      <c r="B48" s="185"/>
      <c r="C48" s="66" t="s">
        <v>94</v>
      </c>
      <c r="D48" s="67">
        <f>'LOOKUP  telda'!E22</f>
        <v>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0</v>
      </c>
      <c r="Q48" s="40">
        <f t="shared" si="4"/>
        <v>0</v>
      </c>
      <c r="R48" s="40">
        <f t="shared" si="5"/>
        <v>0</v>
      </c>
      <c r="S48" s="40" t="e">
        <f>VLOOKUP(C48,Sheet3!$A$19:$G$81,7,FALSE)</f>
        <v>#N/A</v>
      </c>
      <c r="T48" s="8">
        <f t="shared" si="6"/>
        <v>0</v>
      </c>
      <c r="U48" s="8">
        <f t="shared" si="7"/>
        <v>0</v>
      </c>
      <c r="V48" t="str">
        <f>VLOOKUP(C48,Sheet5!$A$2:$J$270,8,FALSE)</f>
        <v>MADIUN</v>
      </c>
    </row>
    <row r="49" spans="2:22" ht="15.5">
      <c r="B49" s="185"/>
      <c r="C49" s="66" t="s">
        <v>95</v>
      </c>
      <c r="D49" s="67">
        <f>'LOOKUP  telda'!E23</f>
        <v>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0</v>
      </c>
      <c r="Q49" s="40">
        <f t="shared" si="4"/>
        <v>0</v>
      </c>
      <c r="R49" s="40">
        <f t="shared" si="5"/>
        <v>0</v>
      </c>
      <c r="S49" s="40">
        <f>VLOOKUP(C49,Sheet3!$A$19:$G$81,7,FALSE)</f>
        <v>1</v>
      </c>
      <c r="T49" s="8">
        <f t="shared" si="6"/>
        <v>0</v>
      </c>
      <c r="U49" s="8">
        <f t="shared" si="7"/>
        <v>0</v>
      </c>
      <c r="V49" t="str">
        <f>VLOOKUP(C49,Sheet5!$A$2:$J$270,8,FALSE)</f>
        <v>PONOROGO</v>
      </c>
    </row>
    <row r="50" spans="2:22" ht="15.5">
      <c r="B50" s="185"/>
      <c r="C50" s="66" t="s">
        <v>96</v>
      </c>
      <c r="D50" s="67">
        <f>'LOOKUP  telda'!E24</f>
        <v>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0</v>
      </c>
      <c r="Q50" s="40">
        <f t="shared" si="4"/>
        <v>0</v>
      </c>
      <c r="R50" s="40">
        <f t="shared" si="5"/>
        <v>0</v>
      </c>
      <c r="S50" s="40" t="e">
        <f>VLOOKUP(C50,Sheet3!$A$19:$G$81,7,FALSE)</f>
        <v>#N/A</v>
      </c>
      <c r="T50" s="8">
        <f t="shared" si="6"/>
        <v>0</v>
      </c>
      <c r="U50" s="8">
        <f t="shared" si="7"/>
        <v>0</v>
      </c>
      <c r="V50" t="str">
        <f>VLOOKUP(C50,Sheet5!$A$2:$J$270,8,FALSE)</f>
        <v>PONOROGO</v>
      </c>
    </row>
    <row r="51" spans="2:22" ht="15.5">
      <c r="B51" s="185"/>
      <c r="C51" s="66" t="s">
        <v>97</v>
      </c>
      <c r="D51" s="67">
        <f>'LOOKUP  telda'!E25</f>
        <v>0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0</v>
      </c>
      <c r="Q51" s="40">
        <f t="shared" si="4"/>
        <v>0</v>
      </c>
      <c r="R51" s="40">
        <f t="shared" si="5"/>
        <v>0</v>
      </c>
      <c r="S51" s="40" t="e">
        <f>VLOOKUP(C51,Sheet3!$A$19:$G$81,7,FALSE)</f>
        <v>#N/A</v>
      </c>
      <c r="T51" s="8">
        <f t="shared" si="6"/>
        <v>0</v>
      </c>
      <c r="U51" s="8">
        <f t="shared" si="7"/>
        <v>0</v>
      </c>
      <c r="V51" t="str">
        <f>VLOOKUP(C51,Sheet5!$A$2:$J$270,8,FALSE)</f>
        <v>BOJONEGORO</v>
      </c>
    </row>
    <row r="52" spans="2:22" ht="15.5">
      <c r="B52" s="185"/>
      <c r="C52" s="66" t="s">
        <v>98</v>
      </c>
      <c r="D52" s="67">
        <f>'LOOKUP  telda'!E26</f>
        <v>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0</v>
      </c>
      <c r="Q52" s="40">
        <f t="shared" si="4"/>
        <v>0</v>
      </c>
      <c r="R52" s="40">
        <f t="shared" si="5"/>
        <v>0</v>
      </c>
      <c r="S52" s="40" t="e">
        <f>VLOOKUP(C52,Sheet3!$A$19:$G$81,7,FALSE)</f>
        <v>#N/A</v>
      </c>
      <c r="T52" s="8">
        <f t="shared" si="6"/>
        <v>0</v>
      </c>
      <c r="U52" s="8">
        <f t="shared" si="7"/>
        <v>0</v>
      </c>
      <c r="V52" t="str">
        <f>VLOOKUP(C52,Sheet5!$A$2:$J$270,8,FALSE)</f>
        <v>BLITAR</v>
      </c>
    </row>
    <row r="53" spans="2:22" ht="15.5">
      <c r="B53" s="186" t="s">
        <v>42</v>
      </c>
      <c r="C53" s="62" t="s">
        <v>99</v>
      </c>
      <c r="D53" s="63">
        <f>'LOOKUP  telda'!E27</f>
        <v>0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0</v>
      </c>
      <c r="Q53" s="40">
        <f t="shared" si="4"/>
        <v>0</v>
      </c>
      <c r="R53" s="40">
        <f t="shared" si="5"/>
        <v>0</v>
      </c>
      <c r="S53" s="40">
        <f>VLOOKUP(C53,Sheet3!$A$19:$G$81,7,FALSE)</f>
        <v>1</v>
      </c>
      <c r="T53" s="8">
        <f t="shared" si="6"/>
        <v>0</v>
      </c>
      <c r="U53" s="8">
        <f t="shared" si="7"/>
        <v>0</v>
      </c>
      <c r="V53" t="str">
        <f>VLOOKUP(C53,Sheet5!$A$2:$J$270,8,FALSE)</f>
        <v>BANYUWANGI</v>
      </c>
    </row>
    <row r="54" spans="2:22" ht="15.5">
      <c r="B54" s="186"/>
      <c r="C54" s="62" t="s">
        <v>100</v>
      </c>
      <c r="D54" s="63">
        <f>'LOOKUP  telda'!E28</f>
        <v>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0</v>
      </c>
      <c r="Q54" s="40">
        <f t="shared" si="4"/>
        <v>0</v>
      </c>
      <c r="R54" s="40">
        <f t="shared" si="5"/>
        <v>0</v>
      </c>
      <c r="S54" s="40" t="e">
        <f>VLOOKUP(C54,Sheet3!$A$19:$G$81,7,FALSE)</f>
        <v>#N/A</v>
      </c>
      <c r="T54" s="8">
        <f t="shared" si="6"/>
        <v>0</v>
      </c>
      <c r="U54" s="8">
        <f t="shared" si="7"/>
        <v>0</v>
      </c>
      <c r="V54" t="str">
        <f>VLOOKUP(C54,Sheet5!$A$2:$J$270,8,FALSE)</f>
        <v>JEMBER</v>
      </c>
    </row>
    <row r="55" spans="2:22" ht="34.5" customHeight="1">
      <c r="B55" s="186"/>
      <c r="C55" s="62" t="s">
        <v>101</v>
      </c>
      <c r="D55" s="63">
        <f>'LOOKUP  telda'!E29</f>
        <v>0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0</v>
      </c>
      <c r="I55" s="63">
        <f>'LOOKUP  telda'!AF29</f>
        <v>0</v>
      </c>
      <c r="J55" s="63">
        <f>'LOOKUP  telda'!J29</f>
        <v>0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0</v>
      </c>
      <c r="Q55" s="40">
        <f t="shared" si="4"/>
        <v>0</v>
      </c>
      <c r="R55" s="40">
        <f t="shared" si="5"/>
        <v>0</v>
      </c>
      <c r="S55" s="40" t="e">
        <f>VLOOKUP(C55,Sheet3!$A$19:$G$81,7,FALSE)</f>
        <v>#N/A</v>
      </c>
      <c r="T55" s="8">
        <f t="shared" si="6"/>
        <v>0</v>
      </c>
      <c r="U55" s="8">
        <f t="shared" si="7"/>
        <v>0</v>
      </c>
      <c r="V55" t="str">
        <f>VLOOKUP(C55,Sheet5!$A$2:$J$270,8,FALSE)</f>
        <v>SIDOARJO</v>
      </c>
    </row>
    <row r="56" spans="2:22" ht="15.5">
      <c r="B56" s="186"/>
      <c r="C56" s="62" t="s">
        <v>102</v>
      </c>
      <c r="D56" s="63">
        <f>'LOOKUP  telda'!E30</f>
        <v>0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0</v>
      </c>
      <c r="Q56" s="40">
        <f t="shared" si="4"/>
        <v>0</v>
      </c>
      <c r="R56" s="40">
        <f t="shared" si="5"/>
        <v>0</v>
      </c>
      <c r="S56" s="40">
        <f>VLOOKUP(C56,Sheet3!$A$19:$G$81,7,FALSE)</f>
        <v>1</v>
      </c>
      <c r="T56" s="8">
        <f t="shared" si="6"/>
        <v>0</v>
      </c>
      <c r="U56" s="8">
        <f t="shared" si="7"/>
        <v>0</v>
      </c>
      <c r="V56" t="str">
        <f>VLOOKUP(C56,Sheet5!$A$2:$J$270,8,FALSE)</f>
        <v>JEMBER</v>
      </c>
    </row>
    <row r="57" spans="2:22" ht="15.5">
      <c r="B57" s="186"/>
      <c r="C57" s="62" t="s">
        <v>103</v>
      </c>
      <c r="D57" s="63">
        <f>'LOOKUP  telda'!E31</f>
        <v>0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0</v>
      </c>
      <c r="Q57" s="40">
        <f t="shared" si="4"/>
        <v>0</v>
      </c>
      <c r="R57" s="40">
        <f t="shared" si="5"/>
        <v>0</v>
      </c>
      <c r="S57" s="40" t="e">
        <f>VLOOKUP(C57,Sheet3!$A$19:$G$81,7,FALSE)</f>
        <v>#N/A</v>
      </c>
      <c r="T57" s="8">
        <f t="shared" si="6"/>
        <v>0</v>
      </c>
      <c r="U57" s="8">
        <f t="shared" si="7"/>
        <v>0</v>
      </c>
      <c r="V57" t="str">
        <f>VLOOKUP(C57,Sheet5!$A$2:$J$270,8,FALSE)</f>
        <v>MOJOKERTO</v>
      </c>
    </row>
    <row r="58" spans="2:22" ht="15.5">
      <c r="B58" s="186"/>
      <c r="C58" s="62" t="s">
        <v>104</v>
      </c>
      <c r="D58" s="63">
        <f>'LOOKUP  telda'!E32</f>
        <v>0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5">
      <c r="B59" s="186"/>
      <c r="C59" s="62" t="s">
        <v>105</v>
      </c>
      <c r="D59" s="63">
        <f>'LOOKUP  telda'!E33</f>
        <v>0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0</v>
      </c>
      <c r="Q59" s="40">
        <f t="shared" si="4"/>
        <v>0</v>
      </c>
      <c r="R59" s="40">
        <f t="shared" si="5"/>
        <v>0</v>
      </c>
      <c r="S59" s="40">
        <f>VLOOKUP(C59,Sheet3!$A$19:$G$81,7,FALSE)</f>
        <v>1</v>
      </c>
      <c r="T59" s="8">
        <f t="shared" si="6"/>
        <v>0</v>
      </c>
      <c r="U59" s="8">
        <f t="shared" si="7"/>
        <v>0</v>
      </c>
      <c r="V59" t="str">
        <f>VLOOKUP(C59,Sheet5!$A$2:$J$270,8,FALSE)</f>
        <v>MOJOKERTO</v>
      </c>
    </row>
    <row r="60" spans="2:22" ht="15.5">
      <c r="B60" s="186"/>
      <c r="C60" s="62" t="s">
        <v>106</v>
      </c>
      <c r="D60" s="63">
        <f>'LOOKUP  telda'!E34</f>
        <v>0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0</v>
      </c>
      <c r="Q60" s="40">
        <f t="shared" si="4"/>
        <v>0</v>
      </c>
      <c r="R60" s="40">
        <f t="shared" si="5"/>
        <v>0</v>
      </c>
      <c r="S60" s="40">
        <f>VLOOKUP(C60,Sheet3!$A$19:$G$81,7,FALSE)</f>
        <v>1</v>
      </c>
      <c r="T60" s="8">
        <f t="shared" si="6"/>
        <v>0</v>
      </c>
      <c r="U60" s="8">
        <f t="shared" si="7"/>
        <v>0</v>
      </c>
      <c r="V60" t="str">
        <f>VLOOKUP(C60,Sheet5!$A$2:$J$270,8,FALSE)</f>
        <v>PASURUAN</v>
      </c>
    </row>
    <row r="61" spans="2:22" ht="15.5">
      <c r="B61" s="186"/>
      <c r="C61" s="62" t="s">
        <v>107</v>
      </c>
      <c r="D61" s="63">
        <f>'LOOKUP  telda'!E35</f>
        <v>0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0</v>
      </c>
      <c r="Q61" s="40">
        <f t="shared" si="4"/>
        <v>0</v>
      </c>
      <c r="R61" s="40">
        <f t="shared" si="5"/>
        <v>0</v>
      </c>
      <c r="S61" s="40">
        <f>VLOOKUP(C61,Sheet3!$A$19:$G$81,7,FALSE)</f>
        <v>1</v>
      </c>
      <c r="T61" s="8">
        <f t="shared" si="6"/>
        <v>0</v>
      </c>
      <c r="U61" s="8">
        <f t="shared" si="7"/>
        <v>0</v>
      </c>
      <c r="V61" t="str">
        <f>VLOOKUP(C61,Sheet5!$A$2:$J$270,8,FALSE)</f>
        <v>PROBOLINGGO</v>
      </c>
    </row>
    <row r="62" spans="2:22" ht="15.5">
      <c r="B62" s="186"/>
      <c r="C62" s="62" t="s">
        <v>108</v>
      </c>
      <c r="D62" s="63">
        <f>'LOOKUP  telda'!E36</f>
        <v>0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0</v>
      </c>
      <c r="Q62" s="40">
        <f t="shared" si="4"/>
        <v>0</v>
      </c>
      <c r="R62" s="40">
        <f t="shared" si="5"/>
        <v>0</v>
      </c>
      <c r="S62" s="40" t="e">
        <f>VLOOKUP(C62,Sheet3!$A$19:$G$81,7,FALSE)</f>
        <v>#N/A</v>
      </c>
      <c r="T62" s="8">
        <f t="shared" si="6"/>
        <v>0</v>
      </c>
      <c r="U62" s="8">
        <f t="shared" si="7"/>
        <v>0</v>
      </c>
      <c r="V62" t="str">
        <f>VLOOKUP(C62,Sheet5!$A$2:$J$270,8,FALSE)</f>
        <v>BANYUWANGI</v>
      </c>
    </row>
    <row r="63" spans="2:22" ht="15.5">
      <c r="B63" s="187" t="s">
        <v>70</v>
      </c>
      <c r="C63" s="68" t="s">
        <v>109</v>
      </c>
      <c r="D63" s="69">
        <f>'LOOKUP  telda'!E37</f>
        <v>0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>
        <f>VLOOKUP(C63,Sheet3!$A$19:$G$81,7,FALSE)</f>
        <v>1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5">
      <c r="B64" s="187"/>
      <c r="C64" s="68" t="s">
        <v>110</v>
      </c>
      <c r="D64" s="69">
        <f>'LOOKUP  telda'!E38</f>
        <v>0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0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0</v>
      </c>
      <c r="P64" s="69">
        <f>'LOOKUP  telda'!Z38</f>
        <v>0</v>
      </c>
      <c r="Q64" s="40">
        <f t="shared" si="4"/>
        <v>0</v>
      </c>
      <c r="R64" s="40">
        <f t="shared" si="5"/>
        <v>0</v>
      </c>
      <c r="S64" s="40">
        <f>VLOOKUP(C64,Sheet3!$A$19:$G$81,7,FALSE)</f>
        <v>1</v>
      </c>
      <c r="T64" s="8">
        <f t="shared" si="6"/>
        <v>0</v>
      </c>
      <c r="U64" s="8">
        <f t="shared" si="7"/>
        <v>0</v>
      </c>
      <c r="V64" t="str">
        <f>VLOOKUP(C64,Sheet5!$A$2:$J$270,8,FALSE)</f>
        <v>BIMA</v>
      </c>
    </row>
    <row r="65" spans="2:22" ht="15.5">
      <c r="B65" s="187"/>
      <c r="C65" s="68" t="s">
        <v>111</v>
      </c>
      <c r="D65" s="69">
        <f>'LOOKUP  telda'!E39</f>
        <v>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>
        <f>VLOOKUP(C65,Sheet3!$A$19:$G$81,7,FALSE)</f>
        <v>1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29">
      <c r="B66" s="187"/>
      <c r="C66" s="68" t="s">
        <v>112</v>
      </c>
      <c r="D66" s="69">
        <f>'LOOKUP  telda'!E40</f>
        <v>0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0</v>
      </c>
      <c r="P66" s="69">
        <f>'LOOKUP  telda'!Z40</f>
        <v>0</v>
      </c>
      <c r="Q66" s="40">
        <f t="shared" si="4"/>
        <v>0</v>
      </c>
      <c r="R66" s="40">
        <f t="shared" si="5"/>
        <v>0</v>
      </c>
      <c r="S66" s="40" t="e">
        <f>VLOOKUP(C66,Sheet3!$A$19:$G$81,7,FALSE)</f>
        <v>#N/A</v>
      </c>
      <c r="T66" s="8">
        <f t="shared" si="6"/>
        <v>0</v>
      </c>
      <c r="U66" s="8">
        <f t="shared" si="7"/>
        <v>0</v>
      </c>
      <c r="V66" t="str">
        <f>VLOOKUP(C66,Sheet5!$A$2:$J$270,8,FALSE)</f>
        <v>MATARAM</v>
      </c>
    </row>
    <row r="67" spans="2:22" ht="15.5">
      <c r="B67" s="187"/>
      <c r="C67" s="68" t="s">
        <v>113</v>
      </c>
      <c r="D67" s="69">
        <f>'LOOKUP  telda'!E41</f>
        <v>0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0</v>
      </c>
      <c r="N67" s="69">
        <f>'LOOKUP  telda'!X41</f>
        <v>0</v>
      </c>
      <c r="O67" s="69">
        <f>'LOOKUP  telda'!Y41</f>
        <v>0</v>
      </c>
      <c r="P67" s="69">
        <f>'LOOKUP  telda'!Z41</f>
        <v>0</v>
      </c>
      <c r="Q67" s="40">
        <f t="shared" si="4"/>
        <v>0</v>
      </c>
      <c r="R67" s="40">
        <f t="shared" si="5"/>
        <v>0</v>
      </c>
      <c r="S67" s="40">
        <f>VLOOKUP(C67,Sheet3!$A$19:$G$81,7,FALSE)</f>
        <v>1</v>
      </c>
      <c r="T67" s="8">
        <f t="shared" si="6"/>
        <v>0</v>
      </c>
      <c r="U67" s="8">
        <f t="shared" si="7"/>
        <v>0</v>
      </c>
      <c r="V67" t="str">
        <f>VLOOKUP(C67,Sheet5!$A$2:$J$270,8,FALSE)</f>
        <v>KUPANG</v>
      </c>
    </row>
    <row r="68" spans="2:22" ht="15.5">
      <c r="B68" s="187"/>
      <c r="C68" s="68" t="s">
        <v>114</v>
      </c>
      <c r="D68" s="69">
        <f>'LOOKUP  telda'!E42</f>
        <v>0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>
        <f>VLOOKUP(C68,Sheet3!$A$19:$G$81,7,FALSE)</f>
        <v>1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29">
      <c r="B69" s="187"/>
      <c r="C69" s="68" t="s">
        <v>115</v>
      </c>
      <c r="D69" s="69">
        <f>'LOOKUP  telda'!E43</f>
        <v>0</v>
      </c>
      <c r="E69" s="69">
        <f>'LOOKUP  telda'!F43+'LOOKUP  telda'!G43+'LOOKUP  telda'!H43</f>
        <v>0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0</v>
      </c>
      <c r="K69" s="69">
        <f>'LOOKUP  telda'!K43</f>
        <v>0</v>
      </c>
      <c r="L69" s="69">
        <f>'LOOKUP  telda'!L43</f>
        <v>0</v>
      </c>
      <c r="M69" s="69">
        <f>'LOOKUP  telda'!P43</f>
        <v>0</v>
      </c>
      <c r="N69" s="69">
        <f>'LOOKUP  telda'!X43</f>
        <v>0</v>
      </c>
      <c r="O69" s="69">
        <f>'LOOKUP  telda'!Y43</f>
        <v>0</v>
      </c>
      <c r="P69" s="69">
        <f>'LOOKUP  telda'!Z43</f>
        <v>0</v>
      </c>
      <c r="Q69" s="40">
        <f t="shared" si="4"/>
        <v>0</v>
      </c>
      <c r="R69" s="40">
        <f t="shared" si="5"/>
        <v>0</v>
      </c>
      <c r="S69" s="40" t="e">
        <f>VLOOKUP(C69,Sheet3!$A$19:$G$81,7,FALSE)</f>
        <v>#N/A</v>
      </c>
      <c r="T69" s="8">
        <f t="shared" si="6"/>
        <v>0</v>
      </c>
      <c r="U69" s="8">
        <f t="shared" si="7"/>
        <v>0</v>
      </c>
      <c r="V69" t="str">
        <f>VLOOKUP(C69,Sheet5!$A$2:$J$270,8,FALSE)</f>
        <v>SELONG</v>
      </c>
    </row>
    <row r="70" spans="2:22" ht="15.5">
      <c r="B70" s="187"/>
      <c r="C70" s="68" t="s">
        <v>116</v>
      </c>
      <c r="D70" s="69">
        <f>'LOOKUP  telda'!E44</f>
        <v>0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0</v>
      </c>
      <c r="Q70" s="40">
        <f t="shared" si="4"/>
        <v>0</v>
      </c>
      <c r="R70" s="40">
        <f t="shared" si="5"/>
        <v>0</v>
      </c>
      <c r="S70" s="40" t="e">
        <f>VLOOKUP(C70,Sheet3!$A$19:$G$81,7,FALSE)</f>
        <v>#N/A</v>
      </c>
      <c r="T70" s="8">
        <f t="shared" si="6"/>
        <v>0</v>
      </c>
      <c r="U70" s="8">
        <f t="shared" si="7"/>
        <v>0</v>
      </c>
      <c r="V70" t="str">
        <f>VLOOKUP(C70,Sheet5!$A$2:$J$270,8,FALSE)</f>
        <v>SELONG</v>
      </c>
    </row>
    <row r="71" spans="2:22" ht="15.5">
      <c r="B71" s="187"/>
      <c r="C71" s="68" t="s">
        <v>117</v>
      </c>
      <c r="D71" s="69">
        <f>'LOOKUP  telda'!E45</f>
        <v>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0</v>
      </c>
      <c r="N71" s="69">
        <f>'LOOKUP  telda'!X45</f>
        <v>0</v>
      </c>
      <c r="O71" s="69">
        <f>'LOOKUP  telda'!Y45</f>
        <v>0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 t="e">
        <f>VLOOKUP(C71,Sheet3!$A$19:$G$81,7,FALSE)</f>
        <v>#N/A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5">
      <c r="B72" s="187"/>
      <c r="C72" s="68" t="s">
        <v>118</v>
      </c>
      <c r="D72" s="69">
        <f>'LOOKUP  telda'!E46</f>
        <v>0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0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0</v>
      </c>
      <c r="O72" s="69">
        <f>'LOOKUP  telda'!Y46</f>
        <v>0</v>
      </c>
      <c r="P72" s="69">
        <f>'LOOKUP  telda'!Z46</f>
        <v>0</v>
      </c>
      <c r="Q72" s="40">
        <f t="shared" si="4"/>
        <v>0</v>
      </c>
      <c r="R72" s="40">
        <f t="shared" si="5"/>
        <v>0</v>
      </c>
      <c r="S72" s="40">
        <f>VLOOKUP(C72,Sheet3!$A$19:$G$81,7,FALSE)</f>
        <v>1</v>
      </c>
      <c r="T72" s="8">
        <f t="shared" si="6"/>
        <v>0</v>
      </c>
      <c r="U72" s="8">
        <f t="shared" si="7"/>
        <v>0</v>
      </c>
      <c r="V72" t="str">
        <f>VLOOKUP(C72,Sheet5!$A$2:$J$270,8,FALSE)</f>
        <v>SUMBAWA</v>
      </c>
    </row>
    <row r="73" spans="2:22" ht="15.5">
      <c r="B73" s="187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5">
      <c r="B74" s="187"/>
      <c r="C74" s="68" t="s">
        <v>120</v>
      </c>
      <c r="D74" s="69">
        <f>'LOOKUP  telda'!E48</f>
        <v>0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 t="e">
        <f>VLOOKUP(C74,Sheet3!$A$19:$G$81,7,FALSE)</f>
        <v>#N/A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5">
      <c r="B75" s="188" t="s">
        <v>55</v>
      </c>
      <c r="C75" s="70" t="s">
        <v>121</v>
      </c>
      <c r="D75" s="99">
        <f>'LOOKUP  telda'!E49</f>
        <v>0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0</v>
      </c>
      <c r="J75" s="99">
        <f>'LOOKUP  telda'!J49</f>
        <v>0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0</v>
      </c>
      <c r="P75" s="99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5">
      <c r="B76" s="188"/>
      <c r="C76" s="70" t="s">
        <v>122</v>
      </c>
      <c r="D76" s="99">
        <f>'LOOKUP  telda'!E50</f>
        <v>0</v>
      </c>
      <c r="E76" s="99">
        <f>'LOOKUP  telda'!F50+'LOOKUP  telda'!G50+'LOOKUP  telda'!H50</f>
        <v>0</v>
      </c>
      <c r="F76" s="99">
        <f>'LOOKUP  telda'!I50</f>
        <v>0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0</v>
      </c>
      <c r="J76" s="99">
        <f>'LOOKUP  telda'!J50</f>
        <v>0</v>
      </c>
      <c r="K76" s="99">
        <f>'LOOKUP  telda'!K50</f>
        <v>0</v>
      </c>
      <c r="L76" s="99">
        <f>'LOOKUP  telda'!L50</f>
        <v>0</v>
      </c>
      <c r="M76" s="99">
        <f>'LOOKUP  telda'!P50</f>
        <v>0</v>
      </c>
      <c r="N76" s="99">
        <f>'LOOKUP  telda'!X50</f>
        <v>0</v>
      </c>
      <c r="O76" s="99">
        <f>'LOOKUP  telda'!Y50</f>
        <v>0</v>
      </c>
      <c r="P76" s="99">
        <f>'LOOKUP  telda'!Z50</f>
        <v>0</v>
      </c>
      <c r="Q76" s="40">
        <f t="shared" si="4"/>
        <v>0</v>
      </c>
      <c r="R76" s="40">
        <f t="shared" si="5"/>
        <v>0</v>
      </c>
      <c r="S76" s="40">
        <f>VLOOKUP(C76,Sheet3!$A$19:$G$81,7,FALSE)</f>
        <v>1</v>
      </c>
      <c r="T76" s="8">
        <f t="shared" si="6"/>
        <v>0</v>
      </c>
      <c r="U76" s="8">
        <f t="shared" si="7"/>
        <v>0</v>
      </c>
      <c r="V76" t="str">
        <f>VLOOKUP(C76,Sheet5!$A$2:$J$270,8,FALSE)</f>
        <v>GRESIK</v>
      </c>
    </row>
    <row r="77" spans="2:22" ht="15.5">
      <c r="B77" s="188"/>
      <c r="C77" s="70" t="s">
        <v>123</v>
      </c>
      <c r="D77" s="99">
        <f>'LOOKUP  telda'!E51</f>
        <v>0</v>
      </c>
      <c r="E77" s="99">
        <f>'LOOKUP  telda'!F51+'LOOKUP  telda'!G51+'LOOKUP  telda'!H51</f>
        <v>0</v>
      </c>
      <c r="F77" s="99">
        <f>'LOOKUP  telda'!I51</f>
        <v>0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0</v>
      </c>
      <c r="J77" s="99">
        <f>'LOOKUP  telda'!J51</f>
        <v>0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0</v>
      </c>
      <c r="Q77" s="40">
        <f t="shared" si="4"/>
        <v>0</v>
      </c>
      <c r="R77" s="40">
        <f t="shared" si="5"/>
        <v>0</v>
      </c>
      <c r="S77" s="40" t="e">
        <f>VLOOKUP(C77,Sheet3!$A$19:$G$81,7,FALSE)</f>
        <v>#N/A</v>
      </c>
      <c r="T77" s="8">
        <f t="shared" si="6"/>
        <v>0</v>
      </c>
      <c r="U77" s="8">
        <f t="shared" si="7"/>
        <v>0</v>
      </c>
      <c r="V77" t="str">
        <f>VLOOKUP(C77,Sheet5!$A$2:$J$270,8,FALSE)</f>
        <v>SURABAYA UTARA</v>
      </c>
    </row>
    <row r="78" spans="2:22" ht="15.5">
      <c r="B78" s="188"/>
      <c r="C78" s="70" t="s">
        <v>124</v>
      </c>
      <c r="D78" s="99">
        <f>'LOOKUP  telda'!E52</f>
        <v>0</v>
      </c>
      <c r="E78" s="99">
        <f>'LOOKUP  telda'!F52+'LOOKUP  telda'!G52+'LOOKUP  telda'!H52</f>
        <v>0</v>
      </c>
      <c r="F78" s="99">
        <f>'LOOKUP  telda'!I52</f>
        <v>0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0</v>
      </c>
      <c r="J78" s="99">
        <f>'LOOKUP  telda'!J52</f>
        <v>0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0</v>
      </c>
      <c r="Q78" s="40">
        <f t="shared" si="4"/>
        <v>0</v>
      </c>
      <c r="R78" s="40">
        <f t="shared" si="5"/>
        <v>0</v>
      </c>
      <c r="S78" s="40" t="e">
        <f>VLOOKUP(C78,Sheet3!$A$19:$G$81,7,FALSE)</f>
        <v>#N/A</v>
      </c>
      <c r="T78" s="8">
        <f t="shared" si="6"/>
        <v>0</v>
      </c>
      <c r="U78" s="8">
        <f t="shared" si="7"/>
        <v>0</v>
      </c>
      <c r="V78" t="str">
        <f>VLOOKUP(C78,Sheet5!$A$2:$J$270,8,FALSE)</f>
        <v>SURABAYA SELATAN</v>
      </c>
    </row>
    <row r="79" spans="2:22" ht="15.5">
      <c r="B79" s="188"/>
      <c r="C79" s="70" t="s">
        <v>125</v>
      </c>
      <c r="D79" s="99">
        <f>'LOOKUP  telda'!E53</f>
        <v>0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0</v>
      </c>
      <c r="J79" s="99">
        <f>'LOOKUP  telda'!J53</f>
        <v>0</v>
      </c>
      <c r="K79" s="99">
        <f>'LOOKUP  telda'!K53</f>
        <v>0</v>
      </c>
      <c r="L79" s="99">
        <f>'LOOKUP  telda'!L53</f>
        <v>0</v>
      </c>
      <c r="M79" s="99">
        <f>'LOOKUP  telda'!P53</f>
        <v>0</v>
      </c>
      <c r="N79" s="99">
        <f>'LOOKUP  telda'!X53</f>
        <v>0</v>
      </c>
      <c r="O79" s="99">
        <f>'LOOKUP  telda'!Y53</f>
        <v>0</v>
      </c>
      <c r="P79" s="99">
        <f>'LOOKUP  telda'!Z53</f>
        <v>0</v>
      </c>
      <c r="Q79" s="40">
        <f t="shared" si="4"/>
        <v>0</v>
      </c>
      <c r="R79" s="40">
        <f t="shared" si="5"/>
        <v>0</v>
      </c>
      <c r="S79" s="40" t="e">
        <f>VLOOKUP(C79,Sheet3!$A$19:$G$81,7,FALSE)</f>
        <v>#N/A</v>
      </c>
      <c r="T79" s="8">
        <f t="shared" si="6"/>
        <v>0</v>
      </c>
      <c r="U79" s="8">
        <f t="shared" si="7"/>
        <v>0</v>
      </c>
      <c r="V79" t="str">
        <f>VLOOKUP(C79,Sheet5!$A$2:$J$270,8,FALSE)</f>
        <v>GRESIK</v>
      </c>
    </row>
    <row r="80" spans="2:22" ht="15.5">
      <c r="B80" s="188"/>
      <c r="C80" s="70" t="s">
        <v>126</v>
      </c>
      <c r="D80" s="99">
        <f>'LOOKUP  telda'!E54</f>
        <v>0</v>
      </c>
      <c r="E80" s="99">
        <f>'LOOKUP  telda'!F54+'LOOKUP  telda'!G54+'LOOKUP  telda'!H54</f>
        <v>0</v>
      </c>
      <c r="F80" s="99">
        <f>'LOOKUP  telda'!I54</f>
        <v>0</v>
      </c>
      <c r="G80" s="99">
        <f>'LOOKUP  telda'!AA54</f>
        <v>0</v>
      </c>
      <c r="H80" s="99">
        <f>'LOOKUP  telda'!AE54-'LOOKUP  telda'!AA54</f>
        <v>0</v>
      </c>
      <c r="I80" s="99">
        <f>'LOOKUP  telda'!AF54</f>
        <v>0</v>
      </c>
      <c r="J80" s="99">
        <f>'LOOKUP  telda'!J54</f>
        <v>0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0</v>
      </c>
      <c r="Q80" s="40">
        <f t="shared" si="4"/>
        <v>0</v>
      </c>
      <c r="R80" s="40">
        <f t="shared" si="5"/>
        <v>0</v>
      </c>
      <c r="S80" s="40" t="e">
        <f>VLOOKUP(C80,Sheet3!$A$19:$G$81,7,FALSE)</f>
        <v>#N/A</v>
      </c>
      <c r="T80" s="8">
        <f t="shared" si="6"/>
        <v>0</v>
      </c>
      <c r="U80" s="8">
        <f t="shared" si="7"/>
        <v>0</v>
      </c>
      <c r="V80" t="str">
        <f>VLOOKUP(C80,Sheet5!$A$2:$J$270,8,FALSE)</f>
        <v>SURABAYA SELATAN</v>
      </c>
    </row>
    <row r="81" spans="2:22" ht="15.5">
      <c r="B81" s="188"/>
      <c r="C81" s="70" t="s">
        <v>127</v>
      </c>
      <c r="D81" s="99">
        <f>'LOOKUP  telda'!E55</f>
        <v>0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0</v>
      </c>
      <c r="J81" s="99">
        <f>'LOOKUP  telda'!J55</f>
        <v>0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5">
      <c r="B82" s="188"/>
      <c r="C82" s="70" t="s">
        <v>128</v>
      </c>
      <c r="D82" s="99">
        <f>'LOOKUP  telda'!E56</f>
        <v>0</v>
      </c>
      <c r="E82" s="99">
        <f>'LOOKUP  telda'!F56+'LOOKUP  telda'!G56+'LOOKUP  telda'!H56</f>
        <v>0</v>
      </c>
      <c r="F82" s="99">
        <f>'LOOKUP  telda'!I56</f>
        <v>0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0</v>
      </c>
      <c r="J82" s="99">
        <f>'LOOKUP  telda'!J56</f>
        <v>0</v>
      </c>
      <c r="K82" s="99">
        <f>'LOOKUP  telda'!K56</f>
        <v>0</v>
      </c>
      <c r="L82" s="99">
        <f>'LOOKUP  telda'!L56</f>
        <v>0</v>
      </c>
      <c r="M82" s="99">
        <f>'LOOKUP  telda'!P56</f>
        <v>0</v>
      </c>
      <c r="N82" s="99">
        <f>'LOOKUP  telda'!X56</f>
        <v>0</v>
      </c>
      <c r="O82" s="99">
        <f>'LOOKUP  telda'!Y56</f>
        <v>0</v>
      </c>
      <c r="P82" s="99">
        <f>'LOOKUP  telda'!Z56</f>
        <v>0</v>
      </c>
      <c r="Q82" s="40">
        <f t="shared" si="4"/>
        <v>0</v>
      </c>
      <c r="R82" s="40">
        <f t="shared" si="5"/>
        <v>0</v>
      </c>
      <c r="S82" s="40" t="e">
        <f>VLOOKUP(C82,Sheet3!$A$19:$G$81,7,FALSE)</f>
        <v>#N/A</v>
      </c>
      <c r="T82" s="8">
        <f t="shared" si="6"/>
        <v>0</v>
      </c>
      <c r="U82" s="8">
        <f t="shared" si="7"/>
        <v>0</v>
      </c>
      <c r="V82" t="str">
        <f>VLOOKUP(C82,Sheet5!$A$2:$J$270,8,FALSE)</f>
        <v>SURABAYA UTARA</v>
      </c>
    </row>
    <row r="83" spans="2:22" ht="15.5">
      <c r="B83" s="149" t="s">
        <v>62</v>
      </c>
      <c r="C83" s="149"/>
      <c r="D83" s="26">
        <f>SUM(D33:D82)</f>
        <v>0</v>
      </c>
      <c r="E83" s="26">
        <f>SUM(E33:E82)</f>
        <v>0</v>
      </c>
      <c r="F83" s="26">
        <f>SUM(F33:F82)</f>
        <v>0</v>
      </c>
      <c r="G83" s="26">
        <f t="shared" ref="G83:P83" si="8">SUM(G33:G82)</f>
        <v>0</v>
      </c>
      <c r="H83" s="26">
        <f t="shared" si="8"/>
        <v>0</v>
      </c>
      <c r="I83" s="26">
        <f t="shared" si="8"/>
        <v>0</v>
      </c>
      <c r="J83" s="26">
        <f t="shared" si="8"/>
        <v>0</v>
      </c>
      <c r="K83" s="26">
        <f t="shared" si="8"/>
        <v>0</v>
      </c>
      <c r="L83" s="26">
        <f t="shared" si="8"/>
        <v>0</v>
      </c>
      <c r="M83" s="26">
        <f t="shared" si="8"/>
        <v>0</v>
      </c>
      <c r="N83" s="26">
        <f t="shared" si="8"/>
        <v>0</v>
      </c>
      <c r="O83" s="26">
        <f t="shared" si="8"/>
        <v>0</v>
      </c>
      <c r="P83" s="26">
        <f t="shared" si="8"/>
        <v>0</v>
      </c>
      <c r="Q83" s="41" t="e">
        <f>T83</f>
        <v>#DIV/0!</v>
      </c>
      <c r="R83" s="41" t="e">
        <f>U83</f>
        <v>#DIV/0!</v>
      </c>
      <c r="S83" s="41">
        <f>S15</f>
        <v>1</v>
      </c>
      <c r="T83" s="8" t="e">
        <f>P83/(D83-F83-K83-I83)</f>
        <v>#DIV/0!</v>
      </c>
      <c r="U83" s="8" t="e">
        <f>P83/(M83+N83+O83+P83)</f>
        <v>#DIV/0!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6" t="str">
        <f ca="1">LAPORAN!C1</f>
        <v xml:space="preserve">PROVISIONING NEW SALES INDIBIZ TR3 JBN MTD H-1  2026-10-01 </v>
      </c>
      <c r="B1" s="126"/>
      <c r="C1" s="126"/>
      <c r="D1" s="126"/>
      <c r="E1" s="126"/>
      <c r="F1" s="126"/>
      <c r="G1" s="126"/>
      <c r="H1" s="126"/>
    </row>
    <row r="2" spans="1:8">
      <c r="A2" s="126" t="str">
        <f ca="1">LAPORAN!C2</f>
        <v xml:space="preserve">PERIODE ORDER &amp; PS : 2026-09-01 to  2026-10-01 </v>
      </c>
      <c r="B2" s="126"/>
      <c r="C2" s="126"/>
      <c r="D2" s="126"/>
      <c r="E2" s="126"/>
      <c r="F2" s="126"/>
      <c r="G2" s="126"/>
      <c r="H2" s="126"/>
    </row>
    <row r="3" spans="1:8">
      <c r="A3" s="126" t="str">
        <f>LAPORAN!C3</f>
        <v>Last update proses : 02-10-2026 13:34:05 WIB (Source: ETL XPRO)</v>
      </c>
      <c r="B3" s="126"/>
      <c r="C3" s="126"/>
      <c r="D3" s="126"/>
      <c r="E3" s="126"/>
      <c r="F3" s="126"/>
      <c r="G3" s="126"/>
      <c r="H3" s="126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6</v>
      </c>
      <c r="C6" s="4">
        <f>HARIAN!I10</f>
        <v>0</v>
      </c>
      <c r="D6" s="4">
        <f>HARIAN!P10</f>
        <v>1</v>
      </c>
      <c r="E6" s="77">
        <f t="shared" ref="E6:E11" si="0">C6/B6</f>
        <v>0</v>
      </c>
      <c r="F6" s="78">
        <f>HARIAN!Q10</f>
        <v>0.16666666666666666</v>
      </c>
      <c r="G6" s="78">
        <f>HARIAN!R10</f>
        <v>0.25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18</v>
      </c>
      <c r="C7" s="4">
        <f>HARIAN!I11</f>
        <v>0</v>
      </c>
      <c r="D7" s="4">
        <f>HARIAN!P11</f>
        <v>7</v>
      </c>
      <c r="E7" s="77">
        <f t="shared" si="0"/>
        <v>0</v>
      </c>
      <c r="F7" s="78">
        <f>HARIAN!Q11</f>
        <v>0.3888888888888889</v>
      </c>
      <c r="G7" s="78">
        <f>HARIAN!R11</f>
        <v>0.875</v>
      </c>
      <c r="H7" s="78">
        <f>HARIAN!S11</f>
        <v>1</v>
      </c>
    </row>
    <row r="8" spans="1:8">
      <c r="A8" s="76" t="str">
        <f>HARIAN!C12</f>
        <v>JATIM TIMUR</v>
      </c>
      <c r="B8" s="4">
        <f>HARIAN!D12</f>
        <v>13</v>
      </c>
      <c r="C8" s="4">
        <f>HARIAN!I12</f>
        <v>0</v>
      </c>
      <c r="D8" s="4">
        <f>HARIAN!P12</f>
        <v>4</v>
      </c>
      <c r="E8" s="77">
        <f t="shared" si="0"/>
        <v>0</v>
      </c>
      <c r="F8" s="78">
        <f>HARIAN!Q12</f>
        <v>0.30769230769230771</v>
      </c>
      <c r="G8" s="78">
        <f>HARIAN!R12</f>
        <v>0.4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16</v>
      </c>
      <c r="C9" s="4">
        <f>HARIAN!I13</f>
        <v>0</v>
      </c>
      <c r="D9" s="4">
        <f>HARIAN!P13</f>
        <v>1</v>
      </c>
      <c r="E9" s="77">
        <f t="shared" si="0"/>
        <v>0</v>
      </c>
      <c r="F9" s="78">
        <f>HARIAN!Q13</f>
        <v>6.6666666666666666E-2</v>
      </c>
      <c r="G9" s="78">
        <f>HARIAN!R13</f>
        <v>0.1111111111111111</v>
      </c>
      <c r="H9" s="78">
        <f>HARIAN!S13</f>
        <v>1</v>
      </c>
    </row>
    <row r="10" spans="1:8">
      <c r="A10" s="76" t="str">
        <f>HARIAN!C14</f>
        <v>SURAMADU</v>
      </c>
      <c r="B10" s="4">
        <f>HARIAN!D14</f>
        <v>21</v>
      </c>
      <c r="C10" s="4">
        <f>HARIAN!I14</f>
        <v>1</v>
      </c>
      <c r="D10" s="4">
        <f>HARIAN!P14</f>
        <v>6</v>
      </c>
      <c r="E10" s="77">
        <f t="shared" si="0"/>
        <v>4.7619047619047616E-2</v>
      </c>
      <c r="F10" s="78">
        <f>HARIAN!Q14</f>
        <v>0.3</v>
      </c>
      <c r="G10" s="78">
        <f>HARIAN!R14</f>
        <v>0.75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74</v>
      </c>
      <c r="C11" s="80">
        <f>HARIAN!I15</f>
        <v>1</v>
      </c>
      <c r="D11" s="80">
        <f>HARIAN!P15</f>
        <v>19</v>
      </c>
      <c r="E11" s="81">
        <f t="shared" si="0"/>
        <v>1.3513513513513514E-2</v>
      </c>
      <c r="F11" s="82">
        <f>HARIAN!Q15</f>
        <v>0.2638888888888889</v>
      </c>
      <c r="G11" s="82">
        <f>HARIAN!R15</f>
        <v>0.48717948717948717</v>
      </c>
      <c r="H11" s="82">
        <f>HARIAN!S15</f>
        <v>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C2" sqref="C2:R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6" t="str">
        <f ca="1">"PROVISIONING NEW SALES INDIBIZ TR3 JBN MTD H-1  "&amp;TEXT(TODAY()-1,"YYYY-MM-DD ")</f>
        <v xml:space="preserve">PROVISIONING NEW SALES INDIBIZ TR3 JBN MTD H-1  2026-10-01 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20"/>
    </row>
    <row r="2" spans="3:19" ht="18.5">
      <c r="C2" s="106" t="str">
        <f ca="1">"PERIODE ORDER &amp; PS : 2026-09-01 to  "&amp;TEXT(TODAY()-1,"YYYY-MM-DD ")</f>
        <v xml:space="preserve">PERIODE ORDER &amp; PS : 2026-09-01 to  2026-10-01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</row>
    <row r="3" spans="3:19" ht="15.5">
      <c r="C3" s="107" t="s">
        <v>1415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93"/>
    </row>
    <row r="5" spans="3:19" ht="15" customHeight="1">
      <c r="C5" s="108" t="s">
        <v>1</v>
      </c>
      <c r="D5" s="108" t="s">
        <v>129</v>
      </c>
      <c r="E5" s="108" t="s">
        <v>67</v>
      </c>
      <c r="F5" s="111" t="s">
        <v>12</v>
      </c>
      <c r="G5" s="112"/>
      <c r="H5" s="113"/>
      <c r="I5" s="120" t="s">
        <v>14</v>
      </c>
      <c r="J5" s="123" t="s">
        <v>8</v>
      </c>
      <c r="K5" s="123" t="s">
        <v>9</v>
      </c>
      <c r="L5" s="127" t="s">
        <v>10</v>
      </c>
      <c r="M5" s="128"/>
      <c r="N5" s="128"/>
      <c r="O5" s="129"/>
      <c r="P5" s="136" t="s">
        <v>11</v>
      </c>
      <c r="Q5" s="101" t="s">
        <v>130</v>
      </c>
      <c r="R5" s="101" t="s">
        <v>806</v>
      </c>
      <c r="S5" s="101" t="s">
        <v>807</v>
      </c>
    </row>
    <row r="6" spans="3:19" ht="6.75" customHeight="1">
      <c r="C6" s="109"/>
      <c r="D6" s="109"/>
      <c r="E6" s="109"/>
      <c r="F6" s="114"/>
      <c r="G6" s="115"/>
      <c r="H6" s="116"/>
      <c r="I6" s="121"/>
      <c r="J6" s="124"/>
      <c r="K6" s="124"/>
      <c r="L6" s="130"/>
      <c r="M6" s="131"/>
      <c r="N6" s="131"/>
      <c r="O6" s="132"/>
      <c r="P6" s="137"/>
      <c r="Q6" s="102"/>
      <c r="R6" s="102"/>
      <c r="S6" s="102"/>
    </row>
    <row r="7" spans="3:19" ht="4.5" customHeight="1">
      <c r="C7" s="109"/>
      <c r="D7" s="109"/>
      <c r="E7" s="109"/>
      <c r="F7" s="117"/>
      <c r="G7" s="118"/>
      <c r="H7" s="119"/>
      <c r="I7" s="121"/>
      <c r="J7" s="124"/>
      <c r="K7" s="124"/>
      <c r="L7" s="133"/>
      <c r="M7" s="134"/>
      <c r="N7" s="134"/>
      <c r="O7" s="135"/>
      <c r="P7" s="137"/>
      <c r="Q7" s="102"/>
      <c r="R7" s="102"/>
      <c r="S7" s="102"/>
    </row>
    <row r="8" spans="3:19" ht="45" customHeight="1">
      <c r="C8" s="110"/>
      <c r="D8" s="110"/>
      <c r="E8" s="110"/>
      <c r="F8" s="22" t="s">
        <v>133</v>
      </c>
      <c r="G8" s="22" t="s">
        <v>30</v>
      </c>
      <c r="H8" s="22" t="s">
        <v>69</v>
      </c>
      <c r="I8" s="122"/>
      <c r="J8" s="125"/>
      <c r="K8" s="125"/>
      <c r="L8" s="37" t="s">
        <v>2</v>
      </c>
      <c r="M8" s="37" t="s">
        <v>18</v>
      </c>
      <c r="N8" s="37" t="s">
        <v>20</v>
      </c>
      <c r="O8" s="37" t="s">
        <v>22</v>
      </c>
      <c r="P8" s="138"/>
      <c r="Q8" s="103"/>
      <c r="R8" s="103"/>
      <c r="S8" s="103"/>
    </row>
    <row r="9" spans="3:19" ht="15.5">
      <c r="C9" s="23" t="s">
        <v>34</v>
      </c>
      <c r="D9" s="24">
        <f>HARIAN!D10</f>
        <v>6</v>
      </c>
      <c r="E9" s="24">
        <f>HARIAN!E10</f>
        <v>0</v>
      </c>
      <c r="F9" s="24">
        <f>HARIAN!F10</f>
        <v>0</v>
      </c>
      <c r="G9" s="24">
        <f>HARIAN!G10</f>
        <v>0</v>
      </c>
      <c r="H9" s="24">
        <f>HARIAN!H10</f>
        <v>0</v>
      </c>
      <c r="I9" s="24">
        <f>HARIAN!I10</f>
        <v>0</v>
      </c>
      <c r="J9" s="24">
        <f>HARIAN!J10</f>
        <v>1</v>
      </c>
      <c r="K9" s="24">
        <f>HARIAN!K10</f>
        <v>0</v>
      </c>
      <c r="L9" s="24">
        <f>HARIAN!L10</f>
        <v>1</v>
      </c>
      <c r="M9" s="24">
        <f>HARIAN!M10</f>
        <v>1</v>
      </c>
      <c r="N9" s="24">
        <f>HARIAN!N10</f>
        <v>0</v>
      </c>
      <c r="O9" s="24">
        <f>HARIAN!O10</f>
        <v>2</v>
      </c>
      <c r="P9" s="24">
        <f>HARIAN!P10</f>
        <v>1</v>
      </c>
      <c r="Q9" s="40">
        <f>HARIAN!Q10</f>
        <v>0.16666666666666666</v>
      </c>
      <c r="R9" s="40">
        <f>HARIAN!R10</f>
        <v>0.25</v>
      </c>
      <c r="S9" s="40">
        <f>HARIAN!S10</f>
        <v>1</v>
      </c>
    </row>
    <row r="10" spans="3:19" ht="15.5">
      <c r="C10" s="23" t="s">
        <v>38</v>
      </c>
      <c r="D10" s="24">
        <f>HARIAN!D11</f>
        <v>18</v>
      </c>
      <c r="E10" s="24">
        <f>HARIAN!E11</f>
        <v>0</v>
      </c>
      <c r="F10" s="24">
        <f>HARIAN!F11</f>
        <v>0</v>
      </c>
      <c r="G10" s="24">
        <f>HARIAN!G11</f>
        <v>0</v>
      </c>
      <c r="H10" s="24">
        <f>HARIAN!H11</f>
        <v>0</v>
      </c>
      <c r="I10" s="24">
        <f>HARIAN!I11</f>
        <v>0</v>
      </c>
      <c r="J10" s="24">
        <f>HARIAN!J11</f>
        <v>6</v>
      </c>
      <c r="K10" s="24">
        <f>HARIAN!K11</f>
        <v>0</v>
      </c>
      <c r="L10" s="24">
        <f>HARIAN!L11</f>
        <v>2</v>
      </c>
      <c r="M10" s="24">
        <f>HARIAN!M11</f>
        <v>0</v>
      </c>
      <c r="N10" s="24">
        <f>HARIAN!N11</f>
        <v>0</v>
      </c>
      <c r="O10" s="24">
        <f>HARIAN!O11</f>
        <v>1</v>
      </c>
      <c r="P10" s="24">
        <f>HARIAN!P11</f>
        <v>7</v>
      </c>
      <c r="Q10" s="40">
        <f>HARIAN!Q11</f>
        <v>0.3888888888888889</v>
      </c>
      <c r="R10" s="40">
        <f>HARIAN!R11</f>
        <v>0.875</v>
      </c>
      <c r="S10" s="40">
        <f>HARIAN!S11</f>
        <v>1</v>
      </c>
    </row>
    <row r="11" spans="3:19" ht="15.5">
      <c r="C11" s="23" t="s">
        <v>42</v>
      </c>
      <c r="D11" s="24">
        <f>HARIAN!D12</f>
        <v>13</v>
      </c>
      <c r="E11" s="24">
        <f>HARIAN!E12</f>
        <v>0</v>
      </c>
      <c r="F11" s="24">
        <f>HARIAN!F12</f>
        <v>0</v>
      </c>
      <c r="G11" s="24">
        <f>HARIAN!G12</f>
        <v>0</v>
      </c>
      <c r="H11" s="24">
        <f>HARIAN!H12</f>
        <v>0</v>
      </c>
      <c r="I11" s="24">
        <f>HARIAN!I12</f>
        <v>0</v>
      </c>
      <c r="J11" s="24">
        <f>HARIAN!J12</f>
        <v>1</v>
      </c>
      <c r="K11" s="24">
        <f>HARIAN!K12</f>
        <v>0</v>
      </c>
      <c r="L11" s="24">
        <f>HARIAN!L12</f>
        <v>1</v>
      </c>
      <c r="M11" s="24">
        <f>HARIAN!M12</f>
        <v>2</v>
      </c>
      <c r="N11" s="24">
        <f>HARIAN!N12</f>
        <v>0</v>
      </c>
      <c r="O11" s="24">
        <f>HARIAN!O12</f>
        <v>4</v>
      </c>
      <c r="P11" s="24">
        <f>HARIAN!P12</f>
        <v>4</v>
      </c>
      <c r="Q11" s="40">
        <f>HARIAN!Q12</f>
        <v>0.30769230769230771</v>
      </c>
      <c r="R11" s="40">
        <f>HARIAN!R12</f>
        <v>0.4</v>
      </c>
      <c r="S11" s="40">
        <f>HARIAN!S12</f>
        <v>1</v>
      </c>
    </row>
    <row r="12" spans="3:19" ht="15.5">
      <c r="C12" s="23" t="s">
        <v>45</v>
      </c>
      <c r="D12" s="24">
        <f>HARIAN!D13</f>
        <v>16</v>
      </c>
      <c r="E12" s="24">
        <f>HARIAN!E13</f>
        <v>0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0</v>
      </c>
      <c r="J12" s="24">
        <f>HARIAN!J13</f>
        <v>3</v>
      </c>
      <c r="K12" s="24">
        <f>HARIAN!K13</f>
        <v>1</v>
      </c>
      <c r="L12" s="24">
        <f>HARIAN!L13</f>
        <v>2</v>
      </c>
      <c r="M12" s="24">
        <f>HARIAN!M13</f>
        <v>4</v>
      </c>
      <c r="N12" s="24">
        <f>HARIAN!N13</f>
        <v>0</v>
      </c>
      <c r="O12" s="24">
        <f>HARIAN!O13</f>
        <v>4</v>
      </c>
      <c r="P12" s="24">
        <f>HARIAN!P13</f>
        <v>1</v>
      </c>
      <c r="Q12" s="40">
        <f>HARIAN!Q13</f>
        <v>6.6666666666666666E-2</v>
      </c>
      <c r="R12" s="40">
        <f>HARIAN!R13</f>
        <v>0.1111111111111111</v>
      </c>
      <c r="S12" s="40">
        <f>HARIAN!S13</f>
        <v>1</v>
      </c>
    </row>
    <row r="13" spans="3:19" ht="15.5">
      <c r="C13" s="23" t="s">
        <v>55</v>
      </c>
      <c r="D13" s="24">
        <f>HARIAN!D14</f>
        <v>21</v>
      </c>
      <c r="E13" s="24">
        <f>HARIAN!E14</f>
        <v>0</v>
      </c>
      <c r="F13" s="24">
        <f>HARIAN!F14</f>
        <v>0</v>
      </c>
      <c r="G13" s="24">
        <f>HARIAN!G14</f>
        <v>0</v>
      </c>
      <c r="H13" s="24">
        <f>HARIAN!H14</f>
        <v>0</v>
      </c>
      <c r="I13" s="24">
        <f>HARIAN!I14</f>
        <v>1</v>
      </c>
      <c r="J13" s="24">
        <f>HARIAN!J14</f>
        <v>10</v>
      </c>
      <c r="K13" s="24">
        <f>HARIAN!K14</f>
        <v>0</v>
      </c>
      <c r="L13" s="24">
        <f>HARIAN!L14</f>
        <v>1</v>
      </c>
      <c r="M13" s="24">
        <f>HARIAN!M14</f>
        <v>0</v>
      </c>
      <c r="N13" s="24">
        <f>HARIAN!N14</f>
        <v>1</v>
      </c>
      <c r="O13" s="24">
        <f>HARIAN!O14</f>
        <v>1</v>
      </c>
      <c r="P13" s="24">
        <f>HARIAN!P14</f>
        <v>6</v>
      </c>
      <c r="Q13" s="40">
        <f>HARIAN!Q14</f>
        <v>0.3</v>
      </c>
      <c r="R13" s="40">
        <f>HARIAN!R14</f>
        <v>0.75</v>
      </c>
      <c r="S13" s="40">
        <f>HARIAN!S14</f>
        <v>1</v>
      </c>
    </row>
    <row r="14" spans="3:19" ht="15.5">
      <c r="C14" s="25" t="s">
        <v>62</v>
      </c>
      <c r="D14" s="26">
        <f>SUM(D9:D13)</f>
        <v>74</v>
      </c>
      <c r="E14" s="26">
        <f>SUM(E9:E13)</f>
        <v>0</v>
      </c>
      <c r="F14" s="26">
        <f>SUM(F9:F13)</f>
        <v>0</v>
      </c>
      <c r="G14" s="26">
        <f t="shared" ref="G14:P14" si="0">SUM(G9:G13)</f>
        <v>0</v>
      </c>
      <c r="H14" s="26">
        <f t="shared" si="0"/>
        <v>0</v>
      </c>
      <c r="I14" s="26">
        <f t="shared" si="0"/>
        <v>1</v>
      </c>
      <c r="J14" s="26">
        <f t="shared" si="0"/>
        <v>21</v>
      </c>
      <c r="K14" s="26">
        <f t="shared" si="0"/>
        <v>1</v>
      </c>
      <c r="L14" s="26">
        <f t="shared" si="0"/>
        <v>7</v>
      </c>
      <c r="M14" s="26">
        <f t="shared" si="0"/>
        <v>7</v>
      </c>
      <c r="N14" s="26">
        <f t="shared" si="0"/>
        <v>1</v>
      </c>
      <c r="O14" s="26">
        <f t="shared" si="0"/>
        <v>12</v>
      </c>
      <c r="P14" s="26">
        <f t="shared" si="0"/>
        <v>19</v>
      </c>
      <c r="Q14" s="41">
        <f>HARIAN!Q15</f>
        <v>0.2638888888888889</v>
      </c>
      <c r="R14" s="41">
        <f>HARIAN!R15</f>
        <v>0.48717948717948717</v>
      </c>
      <c r="S14" s="41">
        <f>HARIAN!S15</f>
        <v>1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4" t="s">
        <v>72</v>
      </c>
      <c r="E16" s="105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9" t="s">
        <v>73</v>
      </c>
      <c r="E17" s="140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9" t="s">
        <v>74</v>
      </c>
      <c r="E18" s="140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9" t="s">
        <v>75</v>
      </c>
      <c r="E19" s="140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9" t="s">
        <v>76</v>
      </c>
      <c r="E20" s="140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1" t="s">
        <v>138</v>
      </c>
      <c r="E21" s="142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6" t="str">
        <f ca="1">C1</f>
        <v xml:space="preserve">PROVISIONING NEW SALES INDIBIZ TR3 JBN MTD H-1  2026-10-01 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83"/>
    </row>
    <row r="24" spans="2:21">
      <c r="B24" s="126" t="str">
        <f ca="1">C2</f>
        <v xml:space="preserve">PERIODE ORDER &amp; PS : 2026-09-01 to  2026-10-01 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83"/>
    </row>
    <row r="25" spans="2:21" ht="18.5">
      <c r="B25" s="143" t="str">
        <f>C3</f>
        <v>Last update proses : 02-10-2026 13:34:05 WIB (Source: ETL XPRO)</v>
      </c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35"/>
    </row>
    <row r="26" spans="2:21" ht="6.75" customHeight="1"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36"/>
    </row>
    <row r="27" spans="2:21" ht="9" customHeight="1"/>
    <row r="28" spans="2:21" ht="15" customHeight="1">
      <c r="B28" s="145" t="s">
        <v>1</v>
      </c>
      <c r="C28" s="145" t="s">
        <v>78</v>
      </c>
      <c r="D28" s="145" t="s">
        <v>129</v>
      </c>
      <c r="E28" s="146" t="s">
        <v>67</v>
      </c>
      <c r="F28" s="147" t="s">
        <v>12</v>
      </c>
      <c r="G28" s="147"/>
      <c r="H28" s="147"/>
      <c r="I28" s="147" t="s">
        <v>14</v>
      </c>
      <c r="J28" s="148" t="s">
        <v>8</v>
      </c>
      <c r="K28" s="148" t="s">
        <v>9</v>
      </c>
      <c r="L28" s="150" t="s">
        <v>10</v>
      </c>
      <c r="M28" s="150"/>
      <c r="N28" s="150"/>
      <c r="O28" s="150"/>
      <c r="P28" s="151" t="s">
        <v>11</v>
      </c>
      <c r="Q28" s="152" t="s">
        <v>130</v>
      </c>
      <c r="R28" s="101" t="s">
        <v>806</v>
      </c>
      <c r="S28" s="101" t="s">
        <v>807</v>
      </c>
    </row>
    <row r="29" spans="2:21" ht="15" customHeight="1">
      <c r="B29" s="145"/>
      <c r="C29" s="145"/>
      <c r="D29" s="145"/>
      <c r="E29" s="146"/>
      <c r="F29" s="147"/>
      <c r="G29" s="147"/>
      <c r="H29" s="147"/>
      <c r="I29" s="147"/>
      <c r="J29" s="148"/>
      <c r="K29" s="148"/>
      <c r="L29" s="150"/>
      <c r="M29" s="150"/>
      <c r="N29" s="150"/>
      <c r="O29" s="150"/>
      <c r="P29" s="151"/>
      <c r="Q29" s="152"/>
      <c r="R29" s="102"/>
      <c r="S29" s="102"/>
    </row>
    <row r="30" spans="2:21" ht="15" customHeight="1">
      <c r="B30" s="145"/>
      <c r="C30" s="145"/>
      <c r="D30" s="145"/>
      <c r="E30" s="146"/>
      <c r="F30" s="147"/>
      <c r="G30" s="147"/>
      <c r="H30" s="147"/>
      <c r="I30" s="147"/>
      <c r="J30" s="148"/>
      <c r="K30" s="148"/>
      <c r="L30" s="150"/>
      <c r="M30" s="150"/>
      <c r="N30" s="150"/>
      <c r="O30" s="150"/>
      <c r="P30" s="151"/>
      <c r="Q30" s="152"/>
      <c r="R30" s="102"/>
      <c r="S30" s="102"/>
    </row>
    <row r="31" spans="2:21" s="19" customFormat="1" ht="48" customHeight="1">
      <c r="B31" s="145"/>
      <c r="C31" s="145"/>
      <c r="D31" s="145"/>
      <c r="E31" s="146"/>
      <c r="F31" s="22" t="s">
        <v>133</v>
      </c>
      <c r="G31" s="22" t="s">
        <v>30</v>
      </c>
      <c r="H31" s="22" t="s">
        <v>69</v>
      </c>
      <c r="I31" s="147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52"/>
      <c r="R31" s="103"/>
      <c r="S31" s="103"/>
    </row>
    <row r="32" spans="2:21" ht="15.5">
      <c r="B32" s="153" t="s">
        <v>34</v>
      </c>
      <c r="C32" s="88" t="s">
        <v>79</v>
      </c>
      <c r="D32" s="65">
        <f>HARIAN!D33</f>
        <v>0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0</v>
      </c>
      <c r="Q32" s="40" t="e">
        <f>T32</f>
        <v>#DIV/0!</v>
      </c>
      <c r="R32" s="40" t="e">
        <f t="shared" ref="R32:R67" si="1">U32</f>
        <v>#DIV/0!</v>
      </c>
      <c r="S32" s="40" t="e">
        <f>VLOOKUP(C32,Sheet3!$A$19:$G$81,7,FALSE)</f>
        <v>#N/A</v>
      </c>
      <c r="T32" s="10" t="e">
        <f>P32/(D32-F32-K32-I32)</f>
        <v>#DIV/0!</v>
      </c>
      <c r="U32" s="10" t="e">
        <f>P32/(M32+N32+O32+P32)</f>
        <v>#DIV/0!</v>
      </c>
    </row>
    <row r="33" spans="2:21" ht="15.5">
      <c r="B33" s="153"/>
      <c r="C33" s="88" t="s">
        <v>85</v>
      </c>
      <c r="D33" s="65">
        <f>HARIAN!D34+HARIAN!D39</f>
        <v>0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0</v>
      </c>
      <c r="Q33" s="40" t="e">
        <f t="shared" ref="Q33:Q67" si="2">T33</f>
        <v>#DIV/0!</v>
      </c>
      <c r="R33" s="40" t="e">
        <f t="shared" si="1"/>
        <v>#DIV/0!</v>
      </c>
      <c r="S33" s="40">
        <f>VLOOKUP(C33,Sheet3!$A$19:$G$81,7,FALSE)</f>
        <v>1</v>
      </c>
      <c r="T33" s="10" t="e">
        <f t="shared" ref="T33:T67" si="3">P33/(D33-F33-K33-I33)</f>
        <v>#DIV/0!</v>
      </c>
      <c r="U33" s="10" t="e">
        <f t="shared" ref="U33:U67" si="4">P33/(M33+N33+O33+P33)</f>
        <v>#DIV/0!</v>
      </c>
    </row>
    <row r="34" spans="2:21" ht="15.5">
      <c r="B34" s="153"/>
      <c r="C34" s="88" t="s">
        <v>81</v>
      </c>
      <c r="D34" s="65">
        <f>HARIAN!D35</f>
        <v>0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0</v>
      </c>
      <c r="Q34" s="40" t="e">
        <f t="shared" si="2"/>
        <v>#DIV/0!</v>
      </c>
      <c r="R34" s="40" t="e">
        <f t="shared" si="1"/>
        <v>#DIV/0!</v>
      </c>
      <c r="S34" s="40" t="e">
        <f>VLOOKUP(C34,Sheet3!$A$19:$G$81,7,FALSE)</f>
        <v>#N/A</v>
      </c>
      <c r="T34" s="10" t="e">
        <f t="shared" si="3"/>
        <v>#DIV/0!</v>
      </c>
      <c r="U34" s="10" t="e">
        <f t="shared" si="4"/>
        <v>#DIV/0!</v>
      </c>
    </row>
    <row r="35" spans="2:21" ht="15.5">
      <c r="B35" s="153"/>
      <c r="C35" s="88" t="s">
        <v>82</v>
      </c>
      <c r="D35" s="65">
        <f>HARIAN!D36</f>
        <v>0</v>
      </c>
      <c r="E35" s="65">
        <f>HARIAN!E36</f>
        <v>0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0</v>
      </c>
      <c r="Q35" s="40" t="e">
        <f t="shared" si="2"/>
        <v>#DIV/0!</v>
      </c>
      <c r="R35" s="40" t="e">
        <f t="shared" si="1"/>
        <v>#DIV/0!</v>
      </c>
      <c r="S35" s="40" t="e">
        <f>VLOOKUP(C35,Sheet3!$A$19:$G$81,7,FALSE)</f>
        <v>#N/A</v>
      </c>
      <c r="T35" s="10" t="e">
        <f t="shared" si="3"/>
        <v>#DIV/0!</v>
      </c>
      <c r="U35" s="10" t="e">
        <f t="shared" si="4"/>
        <v>#DIV/0!</v>
      </c>
    </row>
    <row r="36" spans="2:21" ht="15.5">
      <c r="B36" s="153"/>
      <c r="C36" s="88" t="s">
        <v>83</v>
      </c>
      <c r="D36" s="65">
        <f>HARIAN!D37</f>
        <v>0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0</v>
      </c>
      <c r="Q36" s="40" t="e">
        <f t="shared" si="2"/>
        <v>#DIV/0!</v>
      </c>
      <c r="R36" s="40" t="e">
        <f t="shared" si="1"/>
        <v>#DIV/0!</v>
      </c>
      <c r="S36" s="40" t="e">
        <f>VLOOKUP(C36,Sheet3!$A$19:$G$81,7,FALSE)</f>
        <v>#N/A</v>
      </c>
      <c r="T36" s="10" t="e">
        <f t="shared" si="3"/>
        <v>#DIV/0!</v>
      </c>
      <c r="U36" s="10" t="e">
        <f t="shared" si="4"/>
        <v>#DIV/0!</v>
      </c>
    </row>
    <row r="37" spans="2:21" ht="15.5">
      <c r="B37" s="153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0</v>
      </c>
      <c r="Q37" s="40" t="e">
        <f t="shared" si="2"/>
        <v>#DIV/0!</v>
      </c>
      <c r="R37" s="40" t="e">
        <f t="shared" si="1"/>
        <v>#DIV/0!</v>
      </c>
      <c r="S37" s="40">
        <f>VLOOKUP(C37,Sheet3!$A$19:$G$81,7,FALSE)</f>
        <v>1</v>
      </c>
      <c r="T37" s="10" t="e">
        <f t="shared" si="3"/>
        <v>#DIV/0!</v>
      </c>
      <c r="U37" s="10" t="e">
        <f t="shared" si="4"/>
        <v>#DIV/0!</v>
      </c>
    </row>
    <row r="38" spans="2:21" ht="15.5">
      <c r="B38" s="153"/>
      <c r="C38" s="88" t="s">
        <v>86</v>
      </c>
      <c r="D38" s="65">
        <f>HARIAN!D40</f>
        <v>0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0</v>
      </c>
      <c r="P38" s="65">
        <f>HARIAN!P40</f>
        <v>0</v>
      </c>
      <c r="Q38" s="40" t="e">
        <f t="shared" si="2"/>
        <v>#DIV/0!</v>
      </c>
      <c r="R38" s="40" t="e">
        <f t="shared" si="1"/>
        <v>#DIV/0!</v>
      </c>
      <c r="S38" s="40">
        <f>VLOOKUP(C38,Sheet3!$A$19:$G$81,7,FALSE)</f>
        <v>1</v>
      </c>
      <c r="T38" s="10" t="e">
        <f t="shared" si="3"/>
        <v>#DIV/0!</v>
      </c>
      <c r="U38" s="10" t="e">
        <f t="shared" si="4"/>
        <v>#DIV/0!</v>
      </c>
    </row>
    <row r="39" spans="2:21" ht="15.5">
      <c r="B39" s="154" t="s">
        <v>38</v>
      </c>
      <c r="C39" s="89" t="s">
        <v>87</v>
      </c>
      <c r="D39" s="67">
        <f>HARIAN!D41</f>
        <v>0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 t="e">
        <f t="shared" si="2"/>
        <v>#DIV/0!</v>
      </c>
      <c r="R39" s="40" t="e">
        <f t="shared" si="1"/>
        <v>#DIV/0!</v>
      </c>
      <c r="S39" s="40">
        <f>VLOOKUP(C39,Sheet3!$A$19:$G$81,7,FALSE)</f>
        <v>1</v>
      </c>
      <c r="T39" s="10" t="e">
        <f t="shared" ref="T39" si="5">P39/(D39-F39-K39-I39)</f>
        <v>#DIV/0!</v>
      </c>
      <c r="U39" s="10" t="e">
        <f t="shared" ref="U39" si="6">P39/(M39+N39+O39+P39)</f>
        <v>#DIV/0!</v>
      </c>
    </row>
    <row r="40" spans="2:21" ht="15.5">
      <c r="B40" s="154"/>
      <c r="C40" s="89" t="s">
        <v>88</v>
      </c>
      <c r="D40" s="67">
        <f>HARIAN!D42+HARIAN!D52</f>
        <v>0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0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0</v>
      </c>
      <c r="Q40" s="40" t="e">
        <f t="shared" si="2"/>
        <v>#DIV/0!</v>
      </c>
      <c r="R40" s="40" t="e">
        <f t="shared" si="1"/>
        <v>#DIV/0!</v>
      </c>
      <c r="S40" s="40">
        <f>VLOOKUP(C40,Sheet3!$A$19:$G$81,7,FALSE)</f>
        <v>1</v>
      </c>
      <c r="T40" s="10" t="e">
        <f t="shared" si="3"/>
        <v>#DIV/0!</v>
      </c>
      <c r="U40" s="10" t="e">
        <f t="shared" si="4"/>
        <v>#DIV/0!</v>
      </c>
    </row>
    <row r="41" spans="2:21" ht="15.5">
      <c r="B41" s="154"/>
      <c r="C41" s="89" t="s">
        <v>89</v>
      </c>
      <c r="D41" s="67">
        <f>HARIAN!D43+HARIAN!D51</f>
        <v>0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0</v>
      </c>
      <c r="Q41" s="40" t="e">
        <f t="shared" si="2"/>
        <v>#DIV/0!</v>
      </c>
      <c r="R41" s="40" t="e">
        <f t="shared" si="1"/>
        <v>#DIV/0!</v>
      </c>
      <c r="S41" s="40">
        <f>VLOOKUP(C41,Sheet3!$A$19:$G$81,7,FALSE)</f>
        <v>1</v>
      </c>
      <c r="T41" s="10" t="e">
        <f t="shared" si="3"/>
        <v>#DIV/0!</v>
      </c>
      <c r="U41" s="10" t="e">
        <f t="shared" si="4"/>
        <v>#DIV/0!</v>
      </c>
    </row>
    <row r="42" spans="2:21" ht="15.5">
      <c r="B42" s="154"/>
      <c r="C42" s="89" t="s">
        <v>90</v>
      </c>
      <c r="D42" s="67">
        <f>HARIAN!D44</f>
        <v>0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0</v>
      </c>
      <c r="Q42" s="40" t="e">
        <f t="shared" si="2"/>
        <v>#DIV/0!</v>
      </c>
      <c r="R42" s="40" t="e">
        <f t="shared" si="1"/>
        <v>#DIV/0!</v>
      </c>
      <c r="S42" s="40">
        <f>VLOOKUP(C42,Sheet3!$A$19:$G$81,7,FALSE)</f>
        <v>1</v>
      </c>
      <c r="T42" s="10" t="e">
        <f t="shared" si="3"/>
        <v>#DIV/0!</v>
      </c>
      <c r="U42" s="10" t="e">
        <f t="shared" si="4"/>
        <v>#DIV/0!</v>
      </c>
    </row>
    <row r="43" spans="2:21" ht="15.5">
      <c r="B43" s="154"/>
      <c r="C43" s="89" t="s">
        <v>247</v>
      </c>
      <c r="D43" s="67">
        <f>HARIAN!D45</f>
        <v>0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0</v>
      </c>
      <c r="Q43" s="40" t="e">
        <f t="shared" si="2"/>
        <v>#DIV/0!</v>
      </c>
      <c r="R43" s="40" t="e">
        <f t="shared" si="1"/>
        <v>#DIV/0!</v>
      </c>
      <c r="S43" s="40">
        <f>VLOOKUP(C43,Sheet3!$A$19:$G$81,7,FALSE)</f>
        <v>1</v>
      </c>
      <c r="T43" s="10" t="e">
        <f t="shared" si="3"/>
        <v>#DIV/0!</v>
      </c>
      <c r="U43" s="10" t="e">
        <f t="shared" si="4"/>
        <v>#DIV/0!</v>
      </c>
    </row>
    <row r="44" spans="2:21" ht="15.5">
      <c r="B44" s="154"/>
      <c r="C44" s="89" t="s">
        <v>92</v>
      </c>
      <c r="D44" s="67">
        <f>HARIAN!D46</f>
        <v>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0</v>
      </c>
      <c r="Q44" s="40" t="e">
        <f t="shared" si="2"/>
        <v>#DIV/0!</v>
      </c>
      <c r="R44" s="40" t="e">
        <f t="shared" si="1"/>
        <v>#DIV/0!</v>
      </c>
      <c r="S44" s="40">
        <f>VLOOKUP(C44,Sheet3!$A$19:$G$81,7,FALSE)</f>
        <v>1</v>
      </c>
      <c r="T44" s="10" t="e">
        <f t="shared" si="3"/>
        <v>#DIV/0!</v>
      </c>
      <c r="U44" s="10" t="e">
        <f t="shared" si="4"/>
        <v>#DIV/0!</v>
      </c>
    </row>
    <row r="45" spans="2:21" ht="15.5">
      <c r="B45" s="154"/>
      <c r="C45" s="89" t="s">
        <v>93</v>
      </c>
      <c r="D45" s="67">
        <f>HARIAN!D47</f>
        <v>0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0</v>
      </c>
      <c r="Q45" s="40" t="e">
        <f t="shared" si="2"/>
        <v>#DIV/0!</v>
      </c>
      <c r="R45" s="40" t="e">
        <f t="shared" si="1"/>
        <v>#DIV/0!</v>
      </c>
      <c r="S45" s="40" t="e">
        <f>VLOOKUP(C45,Sheet3!$A$19:$G$81,7,FALSE)</f>
        <v>#N/A</v>
      </c>
      <c r="T45" s="10" t="e">
        <f t="shared" si="3"/>
        <v>#DIV/0!</v>
      </c>
      <c r="U45" s="10" t="e">
        <f t="shared" si="4"/>
        <v>#DIV/0!</v>
      </c>
    </row>
    <row r="46" spans="2:21" ht="15.5">
      <c r="B46" s="154"/>
      <c r="C46" s="89" t="s">
        <v>92</v>
      </c>
      <c r="D46" s="67">
        <f>HARIAN!D48</f>
        <v>0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0</v>
      </c>
      <c r="Q46" s="40" t="e">
        <f t="shared" si="2"/>
        <v>#DIV/0!</v>
      </c>
      <c r="R46" s="40" t="e">
        <f t="shared" si="1"/>
        <v>#DIV/0!</v>
      </c>
      <c r="S46" s="40">
        <f>VLOOKUP(C46,Sheet3!$A$19:$G$81,7,FALSE)</f>
        <v>1</v>
      </c>
      <c r="T46" s="10" t="e">
        <f t="shared" si="3"/>
        <v>#DIV/0!</v>
      </c>
      <c r="U46" s="10" t="e">
        <f t="shared" si="4"/>
        <v>#DIV/0!</v>
      </c>
    </row>
    <row r="47" spans="2:21" ht="15.5">
      <c r="B47" s="154"/>
      <c r="C47" s="89" t="s">
        <v>95</v>
      </c>
      <c r="D47" s="67">
        <f>HARIAN!D49+HARIAN!D50</f>
        <v>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0</v>
      </c>
      <c r="Q47" s="40" t="e">
        <f t="shared" si="2"/>
        <v>#DIV/0!</v>
      </c>
      <c r="R47" s="40" t="e">
        <f t="shared" si="1"/>
        <v>#DIV/0!</v>
      </c>
      <c r="S47" s="40">
        <f>VLOOKUP(C47,Sheet3!$A$19:$G$81,7,FALSE)</f>
        <v>1</v>
      </c>
      <c r="T47" s="10" t="e">
        <f t="shared" si="3"/>
        <v>#DIV/0!</v>
      </c>
      <c r="U47" s="10" t="e">
        <f t="shared" si="4"/>
        <v>#DIV/0!</v>
      </c>
    </row>
    <row r="48" spans="2:21" ht="15.5">
      <c r="B48" s="155" t="s">
        <v>42</v>
      </c>
      <c r="C48" s="90" t="s">
        <v>99</v>
      </c>
      <c r="D48" s="63">
        <f>HARIAN!D53+HARIAN!D62</f>
        <v>0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0</v>
      </c>
      <c r="Q48" s="40" t="e">
        <f t="shared" si="2"/>
        <v>#DIV/0!</v>
      </c>
      <c r="R48" s="40" t="e">
        <f t="shared" si="1"/>
        <v>#DIV/0!</v>
      </c>
      <c r="S48" s="40">
        <f>VLOOKUP(C48,Sheet3!$A$19:$G$81,7,FALSE)</f>
        <v>1</v>
      </c>
      <c r="T48" s="10" t="e">
        <f t="shared" si="3"/>
        <v>#DIV/0!</v>
      </c>
      <c r="U48" s="10" t="e">
        <f t="shared" si="4"/>
        <v>#DIV/0!</v>
      </c>
    </row>
    <row r="49" spans="2:21" ht="15.5">
      <c r="B49" s="155"/>
      <c r="C49" s="90" t="s">
        <v>102</v>
      </c>
      <c r="D49" s="63">
        <f>HARIAN!D54+HARIAN!D56</f>
        <v>0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0</v>
      </c>
      <c r="Q49" s="40" t="e">
        <f t="shared" si="2"/>
        <v>#DIV/0!</v>
      </c>
      <c r="R49" s="40" t="e">
        <f t="shared" si="1"/>
        <v>#DIV/0!</v>
      </c>
      <c r="S49" s="40">
        <f>VLOOKUP(C49,Sheet3!$A$19:$G$81,7,FALSE)</f>
        <v>1</v>
      </c>
      <c r="T49" s="10" t="e">
        <f t="shared" si="3"/>
        <v>#DIV/0!</v>
      </c>
      <c r="U49" s="10" t="e">
        <f t="shared" si="4"/>
        <v>#DIV/0!</v>
      </c>
    </row>
    <row r="50" spans="2:21" ht="15.5">
      <c r="B50" s="155"/>
      <c r="C50" s="90" t="s">
        <v>232</v>
      </c>
      <c r="D50" s="63">
        <f>HARIAN!D55</f>
        <v>0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0</v>
      </c>
      <c r="I50" s="63">
        <f>HARIAN!I55</f>
        <v>0</v>
      </c>
      <c r="J50" s="63">
        <f>HARIAN!J55</f>
        <v>0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0</v>
      </c>
      <c r="Q50" s="40" t="e">
        <f t="shared" si="2"/>
        <v>#DIV/0!</v>
      </c>
      <c r="R50" s="40" t="e">
        <f t="shared" si="1"/>
        <v>#DIV/0!</v>
      </c>
      <c r="S50" s="40">
        <f>VLOOKUP(C50,Sheet3!$A$19:$G$81,7,FALSE)</f>
        <v>1</v>
      </c>
      <c r="T50" s="10" t="e">
        <f t="shared" si="3"/>
        <v>#DIV/0!</v>
      </c>
      <c r="U50" s="10" t="e">
        <f t="shared" si="4"/>
        <v>#DIV/0!</v>
      </c>
    </row>
    <row r="51" spans="2:21" ht="15.5">
      <c r="B51" s="155"/>
      <c r="C51" s="90" t="s">
        <v>105</v>
      </c>
      <c r="D51" s="63">
        <f>HARIAN!D57+HARIAN!D59</f>
        <v>0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0</v>
      </c>
      <c r="Q51" s="40" t="e">
        <f t="shared" si="2"/>
        <v>#DIV/0!</v>
      </c>
      <c r="R51" s="40" t="e">
        <f t="shared" si="1"/>
        <v>#DIV/0!</v>
      </c>
      <c r="S51" s="40">
        <f>VLOOKUP(C51,Sheet3!$A$19:$G$81,7,FALSE)</f>
        <v>1</v>
      </c>
      <c r="T51" s="10" t="e">
        <f t="shared" si="3"/>
        <v>#DIV/0!</v>
      </c>
      <c r="U51" s="10" t="e">
        <f t="shared" si="4"/>
        <v>#DIV/0!</v>
      </c>
    </row>
    <row r="52" spans="2:21" ht="15.5">
      <c r="B52" s="155"/>
      <c r="C52" s="90" t="s">
        <v>106</v>
      </c>
      <c r="D52" s="63">
        <f>HARIAN!D60</f>
        <v>0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0</v>
      </c>
      <c r="Q52" s="40" t="e">
        <f t="shared" si="2"/>
        <v>#DIV/0!</v>
      </c>
      <c r="R52" s="40" t="e">
        <f t="shared" si="1"/>
        <v>#DIV/0!</v>
      </c>
      <c r="S52" s="40">
        <f>VLOOKUP(C52,Sheet3!$A$19:$G$81,7,FALSE)</f>
        <v>1</v>
      </c>
      <c r="T52" s="10" t="e">
        <f t="shared" si="3"/>
        <v>#DIV/0!</v>
      </c>
      <c r="U52" s="10" t="e">
        <f t="shared" si="4"/>
        <v>#DIV/0!</v>
      </c>
    </row>
    <row r="53" spans="2:21" ht="15.5">
      <c r="B53" s="155"/>
      <c r="C53" s="90" t="s">
        <v>107</v>
      </c>
      <c r="D53" s="63">
        <f>HARIAN!D61+HARIAN!D58</f>
        <v>0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0</v>
      </c>
      <c r="Q53" s="40" t="e">
        <f t="shared" si="2"/>
        <v>#DIV/0!</v>
      </c>
      <c r="R53" s="40" t="e">
        <f t="shared" si="1"/>
        <v>#DIV/0!</v>
      </c>
      <c r="S53" s="40">
        <f>VLOOKUP(C53,Sheet3!$A$19:$G$81,7,FALSE)</f>
        <v>1</v>
      </c>
      <c r="T53" s="10" t="e">
        <f t="shared" si="3"/>
        <v>#DIV/0!</v>
      </c>
      <c r="U53" s="10" t="e">
        <f t="shared" si="4"/>
        <v>#DIV/0!</v>
      </c>
    </row>
    <row r="54" spans="2:21" ht="15.5">
      <c r="B54" s="156" t="s">
        <v>70</v>
      </c>
      <c r="C54" s="91" t="s">
        <v>109</v>
      </c>
      <c r="D54" s="69">
        <f>HARIAN!D63</f>
        <v>0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 t="e">
        <f t="shared" si="2"/>
        <v>#DIV/0!</v>
      </c>
      <c r="R54" s="40" t="e">
        <f t="shared" si="1"/>
        <v>#DIV/0!</v>
      </c>
      <c r="S54" s="40">
        <f>VLOOKUP(C54,Sheet3!$A$19:$G$81,7,FALSE)</f>
        <v>1</v>
      </c>
      <c r="T54" s="10" t="e">
        <f t="shared" si="3"/>
        <v>#DIV/0!</v>
      </c>
      <c r="U54" s="10" t="e">
        <f t="shared" si="4"/>
        <v>#DIV/0!</v>
      </c>
    </row>
    <row r="55" spans="2:21" ht="15.5">
      <c r="B55" s="156"/>
      <c r="C55" s="91" t="s">
        <v>110</v>
      </c>
      <c r="D55" s="69">
        <f>HARIAN!D64</f>
        <v>0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0</v>
      </c>
      <c r="P55" s="69">
        <f>HARIAN!P64</f>
        <v>0</v>
      </c>
      <c r="Q55" s="40" t="e">
        <f t="shared" si="2"/>
        <v>#DIV/0!</v>
      </c>
      <c r="R55" s="40" t="e">
        <f t="shared" si="1"/>
        <v>#DIV/0!</v>
      </c>
      <c r="S55" s="40">
        <f>VLOOKUP(C55,Sheet3!$A$19:$G$81,7,FALSE)</f>
        <v>1</v>
      </c>
      <c r="T55" s="10" t="e">
        <f t="shared" si="3"/>
        <v>#DIV/0!</v>
      </c>
      <c r="U55" s="10" t="e">
        <f t="shared" si="4"/>
        <v>#DIV/0!</v>
      </c>
    </row>
    <row r="56" spans="2:21" ht="15.5">
      <c r="B56" s="156"/>
      <c r="C56" s="91" t="s">
        <v>111</v>
      </c>
      <c r="D56" s="69">
        <f>HARIAN!D65</f>
        <v>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 t="e">
        <f t="shared" si="2"/>
        <v>#DIV/0!</v>
      </c>
      <c r="R56" s="40" t="e">
        <f t="shared" si="1"/>
        <v>#DIV/0!</v>
      </c>
      <c r="S56" s="40">
        <f>VLOOKUP(C56,Sheet3!$A$19:$G$81,7,FALSE)</f>
        <v>1</v>
      </c>
      <c r="T56" s="10" t="e">
        <f t="shared" si="3"/>
        <v>#DIV/0!</v>
      </c>
      <c r="U56" s="10" t="e">
        <f t="shared" si="4"/>
        <v>#DIV/0!</v>
      </c>
    </row>
    <row r="57" spans="2:21" ht="15.5">
      <c r="B57" s="156"/>
      <c r="C57" s="91" t="s">
        <v>210</v>
      </c>
      <c r="D57" s="69">
        <f>HARIAN!D66</f>
        <v>0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0</v>
      </c>
      <c r="P57" s="69">
        <f>HARIAN!P66</f>
        <v>0</v>
      </c>
      <c r="Q57" s="40" t="e">
        <f t="shared" si="2"/>
        <v>#DIV/0!</v>
      </c>
      <c r="R57" s="40" t="e">
        <f t="shared" si="1"/>
        <v>#DIV/0!</v>
      </c>
      <c r="S57" s="40" t="e">
        <f>VLOOKUP(C57,Sheet3!$A$19:$G$81,7,FALSE)</f>
        <v>#N/A</v>
      </c>
      <c r="T57" s="10" t="e">
        <f t="shared" si="3"/>
        <v>#DIV/0!</v>
      </c>
      <c r="U57" s="10" t="e">
        <f t="shared" si="4"/>
        <v>#DIV/0!</v>
      </c>
    </row>
    <row r="58" spans="2:21" ht="15.5">
      <c r="B58" s="156"/>
      <c r="C58" s="91" t="s">
        <v>113</v>
      </c>
      <c r="D58" s="69">
        <f>HARIAN!D67</f>
        <v>0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0</v>
      </c>
      <c r="N58" s="69">
        <f>HARIAN!N67</f>
        <v>0</v>
      </c>
      <c r="O58" s="69">
        <f>HARIAN!O67</f>
        <v>0</v>
      </c>
      <c r="P58" s="69">
        <f>HARIAN!P67</f>
        <v>0</v>
      </c>
      <c r="Q58" s="40" t="e">
        <f t="shared" si="2"/>
        <v>#DIV/0!</v>
      </c>
      <c r="R58" s="40" t="e">
        <f t="shared" si="1"/>
        <v>#DIV/0!</v>
      </c>
      <c r="S58" s="40">
        <f>VLOOKUP(C58,Sheet3!$A$19:$G$81,7,FALSE)</f>
        <v>1</v>
      </c>
      <c r="T58" s="10" t="e">
        <f t="shared" si="3"/>
        <v>#DIV/0!</v>
      </c>
      <c r="U58" s="10" t="e">
        <f t="shared" si="4"/>
        <v>#DIV/0!</v>
      </c>
    </row>
    <row r="59" spans="2:21" ht="15.5">
      <c r="B59" s="156"/>
      <c r="C59" s="91" t="s">
        <v>114</v>
      </c>
      <c r="D59" s="69">
        <f>HARIAN!D68</f>
        <v>0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0</v>
      </c>
      <c r="Q59" s="40" t="e">
        <f t="shared" si="2"/>
        <v>#DIV/0!</v>
      </c>
      <c r="R59" s="40" t="e">
        <f t="shared" si="1"/>
        <v>#DIV/0!</v>
      </c>
      <c r="S59" s="40">
        <f>VLOOKUP(C59,Sheet3!$A$19:$G$81,7,FALSE)</f>
        <v>1</v>
      </c>
      <c r="T59" s="10" t="e">
        <f t="shared" si="3"/>
        <v>#DIV/0!</v>
      </c>
      <c r="U59" s="10" t="e">
        <f t="shared" si="4"/>
        <v>#DIV/0!</v>
      </c>
    </row>
    <row r="60" spans="2:21" ht="15.5">
      <c r="B60" s="156"/>
      <c r="C60" s="91" t="s">
        <v>755</v>
      </c>
      <c r="D60" s="69">
        <f>HARIAN!D69+HARIAN!D70</f>
        <v>0</v>
      </c>
      <c r="E60" s="69">
        <f>HARIAN!E69+HARIAN!E70</f>
        <v>0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0</v>
      </c>
      <c r="K60" s="69">
        <f>HARIAN!K69+HARIAN!K70</f>
        <v>0</v>
      </c>
      <c r="L60" s="69">
        <f>HARIAN!L69+HARIAN!L70</f>
        <v>0</v>
      </c>
      <c r="M60" s="69">
        <f>HARIAN!M69+HARIAN!M70</f>
        <v>0</v>
      </c>
      <c r="N60" s="69">
        <f>HARIAN!N69+HARIAN!N70</f>
        <v>0</v>
      </c>
      <c r="O60" s="69">
        <f>HARIAN!O69+HARIAN!O70</f>
        <v>0</v>
      </c>
      <c r="P60" s="69">
        <f>HARIAN!P69+HARIAN!P70</f>
        <v>0</v>
      </c>
      <c r="Q60" s="40" t="e">
        <f t="shared" si="2"/>
        <v>#DIV/0!</v>
      </c>
      <c r="R60" s="40" t="e">
        <f t="shared" si="1"/>
        <v>#DIV/0!</v>
      </c>
      <c r="S60" s="40">
        <f>VLOOKUP(C60,Sheet3!$A$19:$G$81,7,FALSE)</f>
        <v>1</v>
      </c>
      <c r="T60" s="10" t="e">
        <f t="shared" si="3"/>
        <v>#DIV/0!</v>
      </c>
      <c r="U60" s="10" t="e">
        <f t="shared" si="4"/>
        <v>#DIV/0!</v>
      </c>
    </row>
    <row r="61" spans="2:21" ht="15.5">
      <c r="B61" s="156"/>
      <c r="C61" s="91" t="s">
        <v>117</v>
      </c>
      <c r="D61" s="69">
        <f>HARIAN!D71</f>
        <v>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0</v>
      </c>
      <c r="N61" s="69">
        <f>HARIAN!N71</f>
        <v>0</v>
      </c>
      <c r="O61" s="69">
        <f>HARIAN!O71</f>
        <v>0</v>
      </c>
      <c r="P61" s="69">
        <f>HARIAN!P71</f>
        <v>0</v>
      </c>
      <c r="Q61" s="40" t="e">
        <f t="shared" si="2"/>
        <v>#DIV/0!</v>
      </c>
      <c r="R61" s="40" t="e">
        <f t="shared" si="1"/>
        <v>#DIV/0!</v>
      </c>
      <c r="S61" s="40" t="e">
        <f>VLOOKUP(C61,Sheet3!$A$19:$G$81,7,FALSE)</f>
        <v>#N/A</v>
      </c>
      <c r="T61" s="10" t="e">
        <f t="shared" si="3"/>
        <v>#DIV/0!</v>
      </c>
      <c r="U61" s="10" t="e">
        <f t="shared" si="4"/>
        <v>#DIV/0!</v>
      </c>
    </row>
    <row r="62" spans="2:21" ht="15.5">
      <c r="B62" s="156"/>
      <c r="C62" s="91" t="s">
        <v>118</v>
      </c>
      <c r="D62" s="69">
        <f>HARIAN!D72</f>
        <v>0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0</v>
      </c>
      <c r="O62" s="69">
        <f>HARIAN!O72</f>
        <v>0</v>
      </c>
      <c r="P62" s="69">
        <f>HARIAN!P72</f>
        <v>0</v>
      </c>
      <c r="Q62" s="40" t="e">
        <f t="shared" si="2"/>
        <v>#DIV/0!</v>
      </c>
      <c r="R62" s="40" t="e">
        <f t="shared" si="1"/>
        <v>#DIV/0!</v>
      </c>
      <c r="S62" s="40">
        <f>VLOOKUP(C62,Sheet3!$A$19:$G$81,7,FALSE)</f>
        <v>1</v>
      </c>
      <c r="T62" s="10" t="e">
        <f t="shared" si="3"/>
        <v>#DIV/0!</v>
      </c>
      <c r="U62" s="10" t="e">
        <f t="shared" si="4"/>
        <v>#DIV/0!</v>
      </c>
    </row>
    <row r="63" spans="2:21" ht="15.5">
      <c r="B63" s="156"/>
      <c r="C63" s="91" t="s">
        <v>120</v>
      </c>
      <c r="D63" s="69">
        <f>HARIAN!D73+HARIAN!D74</f>
        <v>0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 t="e">
        <f t="shared" si="2"/>
        <v>#DIV/0!</v>
      </c>
      <c r="R63" s="40" t="e">
        <f t="shared" si="1"/>
        <v>#DIV/0!</v>
      </c>
      <c r="S63" s="40" t="e">
        <f>VLOOKUP(C63,Sheet3!$A$19:$G$81,7,FALSE)</f>
        <v>#N/A</v>
      </c>
      <c r="T63" s="10" t="e">
        <f t="shared" si="3"/>
        <v>#DIV/0!</v>
      </c>
      <c r="U63" s="10" t="e">
        <f t="shared" si="4"/>
        <v>#DIV/0!</v>
      </c>
    </row>
    <row r="64" spans="2:21" ht="15.5">
      <c r="B64" s="157" t="s">
        <v>55</v>
      </c>
      <c r="C64" s="92" t="s">
        <v>227</v>
      </c>
      <c r="D64" s="71">
        <f>HARIAN!D75+HARIAN!D81</f>
        <v>0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0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 t="e">
        <f t="shared" si="2"/>
        <v>#DIV/0!</v>
      </c>
      <c r="R64" s="40" t="e">
        <f t="shared" si="1"/>
        <v>#DIV/0!</v>
      </c>
      <c r="S64" s="40">
        <f>VLOOKUP(C64,Sheet3!$A$19:$G$81,7,FALSE)</f>
        <v>1</v>
      </c>
      <c r="T64" s="10" t="e">
        <f t="shared" si="3"/>
        <v>#DIV/0!</v>
      </c>
      <c r="U64" s="10" t="e">
        <f t="shared" si="4"/>
        <v>#DIV/0!</v>
      </c>
    </row>
    <row r="65" spans="2:21" ht="15.5">
      <c r="B65" s="157"/>
      <c r="C65" s="92" t="s">
        <v>122</v>
      </c>
      <c r="D65" s="71">
        <f>HARIAN!D76+HARIAN!D79</f>
        <v>0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0</v>
      </c>
      <c r="J65" s="71">
        <f>HARIAN!J76+HARIAN!J79</f>
        <v>0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0</v>
      </c>
      <c r="O65" s="71">
        <f>HARIAN!O76+HARIAN!O79</f>
        <v>0</v>
      </c>
      <c r="P65" s="71">
        <f>HARIAN!P76+HARIAN!P79</f>
        <v>0</v>
      </c>
      <c r="Q65" s="40" t="e">
        <f t="shared" si="2"/>
        <v>#DIV/0!</v>
      </c>
      <c r="R65" s="40" t="e">
        <f t="shared" si="1"/>
        <v>#DIV/0!</v>
      </c>
      <c r="S65" s="40">
        <f>VLOOKUP(C65,Sheet3!$A$19:$G$81,7,FALSE)</f>
        <v>1</v>
      </c>
      <c r="T65" s="10" t="e">
        <f t="shared" si="3"/>
        <v>#DIV/0!</v>
      </c>
      <c r="U65" s="10" t="e">
        <f t="shared" si="4"/>
        <v>#DIV/0!</v>
      </c>
    </row>
    <row r="66" spans="2:21" ht="15.5">
      <c r="B66" s="157"/>
      <c r="C66" s="92" t="s">
        <v>637</v>
      </c>
      <c r="D66" s="71">
        <f>HARIAN!D77+HARIAN!D82</f>
        <v>0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0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0</v>
      </c>
      <c r="Q66" s="40" t="e">
        <f t="shared" si="2"/>
        <v>#DIV/0!</v>
      </c>
      <c r="R66" s="40" t="e">
        <f t="shared" si="1"/>
        <v>#DIV/0!</v>
      </c>
      <c r="S66" s="40">
        <f>VLOOKUP(C66,Sheet3!$A$19:$G$81,7,FALSE)</f>
        <v>1</v>
      </c>
      <c r="T66" s="10" t="e">
        <f t="shared" si="3"/>
        <v>#DIV/0!</v>
      </c>
      <c r="U66" s="10" t="e">
        <f t="shared" si="4"/>
        <v>#DIV/0!</v>
      </c>
    </row>
    <row r="67" spans="2:21" ht="15.5">
      <c r="B67" s="157"/>
      <c r="C67" s="92" t="s">
        <v>640</v>
      </c>
      <c r="D67" s="71">
        <f>HARIAN!D78+HARIAN!D80</f>
        <v>0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0</v>
      </c>
      <c r="J67" s="71">
        <f>HARIAN!J78+HARIAN!J80</f>
        <v>0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0</v>
      </c>
      <c r="Q67" s="40" t="e">
        <f t="shared" si="2"/>
        <v>#DIV/0!</v>
      </c>
      <c r="R67" s="40" t="e">
        <f t="shared" si="1"/>
        <v>#DIV/0!</v>
      </c>
      <c r="S67" s="40">
        <f>VLOOKUP(C67,Sheet3!$A$19:$G$81,7,FALSE)</f>
        <v>1</v>
      </c>
      <c r="T67" s="10" t="e">
        <f t="shared" si="3"/>
        <v>#DIV/0!</v>
      </c>
      <c r="U67" s="10" t="e">
        <f t="shared" si="4"/>
        <v>#DIV/0!</v>
      </c>
    </row>
    <row r="68" spans="2:21" ht="15.5">
      <c r="B68" s="149" t="s">
        <v>62</v>
      </c>
      <c r="C68" s="149"/>
      <c r="D68" s="26">
        <f t="shared" ref="D68:P68" si="7">SUM(D32:D67)</f>
        <v>0</v>
      </c>
      <c r="E68" s="26">
        <f t="shared" si="7"/>
        <v>0</v>
      </c>
      <c r="F68" s="26">
        <f t="shared" si="7"/>
        <v>0</v>
      </c>
      <c r="G68" s="26">
        <f t="shared" si="7"/>
        <v>0</v>
      </c>
      <c r="H68" s="26">
        <f t="shared" si="7"/>
        <v>0</v>
      </c>
      <c r="I68" s="26">
        <f t="shared" si="7"/>
        <v>0</v>
      </c>
      <c r="J68" s="26">
        <f t="shared" si="7"/>
        <v>0</v>
      </c>
      <c r="K68" s="26">
        <f t="shared" si="7"/>
        <v>0</v>
      </c>
      <c r="L68" s="26">
        <f t="shared" si="7"/>
        <v>0</v>
      </c>
      <c r="M68" s="26">
        <f t="shared" si="7"/>
        <v>0</v>
      </c>
      <c r="N68" s="26">
        <f t="shared" si="7"/>
        <v>0</v>
      </c>
      <c r="O68" s="26">
        <f t="shared" si="7"/>
        <v>0</v>
      </c>
      <c r="P68" s="26">
        <f t="shared" si="7"/>
        <v>0</v>
      </c>
      <c r="Q68" s="41">
        <f>Q14</f>
        <v>0.2638888888888889</v>
      </c>
      <c r="R68" s="41">
        <f>R14</f>
        <v>0.48717948717948717</v>
      </c>
      <c r="S68" s="41">
        <f>S14</f>
        <v>1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J14" sqref="J14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9" t="str">
        <f ca="1">LAPORAN!C2</f>
        <v xml:space="preserve">PERIODE ORDER &amp; PS : 2026-09-01 to  2026-10-01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</row>
    <row r="3" spans="3:14">
      <c r="C3" s="139" t="str">
        <f>LAPORAN!C3</f>
        <v>Last update proses : 02-10-2026 13:34:05 WIB (Source: ETL XPRO)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6</v>
      </c>
      <c r="E6" s="94">
        <f>LAPORAN!J9</f>
        <v>1</v>
      </c>
      <c r="F6" s="94">
        <f>LAPORAN!K9</f>
        <v>0</v>
      </c>
      <c r="G6" s="94">
        <f>LAPORAN!L9</f>
        <v>1</v>
      </c>
      <c r="H6" s="94">
        <f>LAPORAN!M9</f>
        <v>1</v>
      </c>
      <c r="I6" s="94">
        <f>LAPORAN!N9</f>
        <v>0</v>
      </c>
      <c r="J6" s="94">
        <f>LAPORAN!O9</f>
        <v>2</v>
      </c>
      <c r="K6" s="94">
        <f>LAPORAN!P9</f>
        <v>1</v>
      </c>
      <c r="L6" s="40">
        <f>LAPORAN!Q9</f>
        <v>0.16666666666666666</v>
      </c>
      <c r="M6" s="40">
        <f>LAPORAN!R9</f>
        <v>0.25</v>
      </c>
      <c r="N6" s="40">
        <f>LAPORAN!S9</f>
        <v>1</v>
      </c>
    </row>
    <row r="7" spans="3:14" ht="15.5">
      <c r="C7" s="76" t="str">
        <f>[1]LAPORAN!C10</f>
        <v>JATIM BARAT</v>
      </c>
      <c r="D7" s="4">
        <f>LAPORAN!D10</f>
        <v>18</v>
      </c>
      <c r="E7" s="94">
        <f>LAPORAN!J10</f>
        <v>6</v>
      </c>
      <c r="F7" s="94">
        <f>LAPORAN!K10</f>
        <v>0</v>
      </c>
      <c r="G7" s="94">
        <f>LAPORAN!L10</f>
        <v>2</v>
      </c>
      <c r="H7" s="94">
        <f>LAPORAN!M10</f>
        <v>0</v>
      </c>
      <c r="I7" s="94">
        <f>LAPORAN!N10</f>
        <v>0</v>
      </c>
      <c r="J7" s="94">
        <f>LAPORAN!O10</f>
        <v>1</v>
      </c>
      <c r="K7" s="94">
        <f>LAPORAN!P10</f>
        <v>7</v>
      </c>
      <c r="L7" s="40">
        <f>LAPORAN!Q10</f>
        <v>0.3888888888888889</v>
      </c>
      <c r="M7" s="40">
        <f>LAPORAN!R10</f>
        <v>0.875</v>
      </c>
      <c r="N7" s="40">
        <f>LAPORAN!S10</f>
        <v>1</v>
      </c>
    </row>
    <row r="8" spans="3:14" ht="15.5">
      <c r="C8" s="76" t="str">
        <f>[1]LAPORAN!C11</f>
        <v>JATIM TIMUR</v>
      </c>
      <c r="D8" s="4">
        <f>LAPORAN!D11</f>
        <v>13</v>
      </c>
      <c r="E8" s="94">
        <f>LAPORAN!J11</f>
        <v>1</v>
      </c>
      <c r="F8" s="94">
        <f>LAPORAN!K11</f>
        <v>0</v>
      </c>
      <c r="G8" s="94">
        <f>LAPORAN!L11</f>
        <v>1</v>
      </c>
      <c r="H8" s="94">
        <f>LAPORAN!M11</f>
        <v>2</v>
      </c>
      <c r="I8" s="94">
        <f>LAPORAN!N11</f>
        <v>0</v>
      </c>
      <c r="J8" s="94">
        <f>LAPORAN!O11</f>
        <v>4</v>
      </c>
      <c r="K8" s="94">
        <f>LAPORAN!P11</f>
        <v>4</v>
      </c>
      <c r="L8" s="40">
        <f>LAPORAN!Q11</f>
        <v>0.30769230769230771</v>
      </c>
      <c r="M8" s="40">
        <f>LAPORAN!R11</f>
        <v>0.4</v>
      </c>
      <c r="N8" s="40">
        <f>LAPORAN!S11</f>
        <v>1</v>
      </c>
    </row>
    <row r="9" spans="3:14" ht="15.5">
      <c r="C9" s="76" t="str">
        <f>[1]LAPORAN!C12</f>
        <v>NUSA TENGGARA</v>
      </c>
      <c r="D9" s="4">
        <f>LAPORAN!D12</f>
        <v>16</v>
      </c>
      <c r="E9" s="94">
        <f>LAPORAN!J12</f>
        <v>3</v>
      </c>
      <c r="F9" s="94">
        <f>LAPORAN!K12</f>
        <v>1</v>
      </c>
      <c r="G9" s="94">
        <f>LAPORAN!L12</f>
        <v>2</v>
      </c>
      <c r="H9" s="94">
        <f>LAPORAN!M12</f>
        <v>4</v>
      </c>
      <c r="I9" s="94">
        <f>LAPORAN!N12</f>
        <v>0</v>
      </c>
      <c r="J9" s="94">
        <f>LAPORAN!O12</f>
        <v>4</v>
      </c>
      <c r="K9" s="94">
        <f>LAPORAN!P12</f>
        <v>1</v>
      </c>
      <c r="L9" s="40">
        <f>LAPORAN!Q12</f>
        <v>6.6666666666666666E-2</v>
      </c>
      <c r="M9" s="40">
        <f>LAPORAN!R12</f>
        <v>0.1111111111111111</v>
      </c>
      <c r="N9" s="40">
        <f>LAPORAN!S12</f>
        <v>1</v>
      </c>
    </row>
    <row r="10" spans="3:14" ht="15.5">
      <c r="C10" s="76" t="str">
        <f>[1]LAPORAN!C13</f>
        <v>SURAMADU</v>
      </c>
      <c r="D10" s="4">
        <f>LAPORAN!D13</f>
        <v>21</v>
      </c>
      <c r="E10" s="94">
        <f>LAPORAN!J13</f>
        <v>10</v>
      </c>
      <c r="F10" s="94">
        <f>LAPORAN!K13</f>
        <v>0</v>
      </c>
      <c r="G10" s="94">
        <f>LAPORAN!L13</f>
        <v>1</v>
      </c>
      <c r="H10" s="94">
        <f>LAPORAN!M13</f>
        <v>0</v>
      </c>
      <c r="I10" s="94">
        <f>LAPORAN!N13</f>
        <v>1</v>
      </c>
      <c r="J10" s="94">
        <f>LAPORAN!O13</f>
        <v>1</v>
      </c>
      <c r="K10" s="94">
        <f>LAPORAN!P13</f>
        <v>6</v>
      </c>
      <c r="L10" s="40">
        <f>LAPORAN!Q13</f>
        <v>0.3</v>
      </c>
      <c r="M10" s="40">
        <f>LAPORAN!R13</f>
        <v>0.75</v>
      </c>
      <c r="N10" s="40">
        <f>LAPORAN!S13</f>
        <v>1</v>
      </c>
    </row>
    <row r="11" spans="3:14" ht="15.5">
      <c r="C11" s="95" t="str">
        <f>[1]LAPORAN!C14</f>
        <v>TOTAL</v>
      </c>
      <c r="D11" s="98">
        <f>LAPORAN!D14</f>
        <v>74</v>
      </c>
      <c r="E11" s="96">
        <f>LAPORAN!J14</f>
        <v>21</v>
      </c>
      <c r="F11" s="96">
        <f>LAPORAN!K14</f>
        <v>1</v>
      </c>
      <c r="G11" s="96">
        <f>LAPORAN!L14</f>
        <v>7</v>
      </c>
      <c r="H11" s="96">
        <f>LAPORAN!M14</f>
        <v>7</v>
      </c>
      <c r="I11" s="96">
        <f>LAPORAN!N14</f>
        <v>1</v>
      </c>
      <c r="J11" s="96">
        <f>LAPORAN!O14</f>
        <v>12</v>
      </c>
      <c r="K11" s="96">
        <f>LAPORAN!P14</f>
        <v>19</v>
      </c>
      <c r="L11" s="97">
        <f>LAPORAN!Q14</f>
        <v>0.2638888888888889</v>
      </c>
      <c r="M11" s="97">
        <f>LAPORAN!R14</f>
        <v>0.48717948717948717</v>
      </c>
      <c r="N11" s="97">
        <f>LAPORAN!S14</f>
        <v>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0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0</v>
      </c>
      <c r="AH7">
        <f>IFERROR(VLOOKUP(C7,'COPY DATA XPRO'!$C$7:$AI$58,32,FALSE),0)</f>
        <v>0</v>
      </c>
      <c r="AI7">
        <f>IFERROR(VLOOKUP(C7,'COPY DATA XPRO'!$C$7:$AI$58,33,FALSE),0)</f>
        <v>0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0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0</v>
      </c>
      <c r="AH9">
        <f>IFERROR(VLOOKUP(C9,'COPY DATA XPRO'!$C$7:$AI$58,32,FALSE),0)</f>
        <v>0</v>
      </c>
      <c r="AI9">
        <f>IFERROR(VLOOKUP(C9,'COPY DATA XPRO'!$C$7:$AI$58,33,FALSE),0)</f>
        <v>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0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0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0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0</v>
      </c>
      <c r="AH10">
        <f>IFERROR(VLOOKUP(C10,'COPY DATA XPRO'!$C$7:$AI$58,32,FALSE),0)</f>
        <v>0</v>
      </c>
      <c r="AI10">
        <f>IFERROR(VLOOKUP(C10,'COPY DATA XPRO'!$C$7:$AI$58,33,FALSE),0)</f>
        <v>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0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0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0</v>
      </c>
      <c r="AH11">
        <f>IFERROR(VLOOKUP(C11,'COPY DATA XPRO'!$C$7:$AI$58,32,FALSE),0)</f>
        <v>0</v>
      </c>
      <c r="AI11">
        <f>IFERROR(VLOOKUP(C11,'COPY DATA XPRO'!$C$7:$AI$58,33,FALSE),0)</f>
        <v>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0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0</v>
      </c>
      <c r="AH14">
        <f>IFERROR(VLOOKUP(C14,'COPY DATA XPRO'!$C$7:$AI$58,32,FALSE),0)</f>
        <v>0</v>
      </c>
      <c r="AI14">
        <f>IFERROR(VLOOKUP(C14,'COPY DATA XPRO'!$C$7:$AI$58,33,FALSE),0)</f>
        <v>0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0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0</v>
      </c>
      <c r="AH17">
        <f>IFERROR(VLOOKUP(C17,'COPY DATA XPRO'!$C$7:$AI$58,32,FALSE),0)</f>
        <v>0</v>
      </c>
      <c r="AI17">
        <f>IFERROR(VLOOKUP(C17,'COPY DATA XPRO'!$C$7:$AI$58,33,FALSE),0)</f>
        <v>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0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0</v>
      </c>
      <c r="AH18">
        <f>IFERROR(VLOOKUP(C18,'COPY DATA XPRO'!$C$7:$AI$58,32,FALSE),0)</f>
        <v>0</v>
      </c>
      <c r="AI18">
        <f>IFERROR(VLOOKUP(C18,'COPY DATA XPRO'!$C$7:$AI$58,33,FALSE),0)</f>
        <v>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0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0</v>
      </c>
      <c r="AH19">
        <f>IFERROR(VLOOKUP(C19,'COPY DATA XPRO'!$C$7:$AI$58,32,FALSE),0)</f>
        <v>0</v>
      </c>
      <c r="AI19">
        <f>IFERROR(VLOOKUP(C19,'COPY DATA XPRO'!$C$7:$AI$58,33,FALSE),0)</f>
        <v>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0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0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0</v>
      </c>
      <c r="AH21">
        <f>IFERROR(VLOOKUP(C21,'COPY DATA XPRO'!$C$7:$AI$58,32,FALSE),0)</f>
        <v>0</v>
      </c>
      <c r="AI21">
        <f>IFERROR(VLOOKUP(C21,'COPY DATA XPRO'!$C$7:$AI$58,33,FALSE),0)</f>
        <v>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0</v>
      </c>
      <c r="AH22">
        <f>IFERROR(VLOOKUP(C22,'COPY DATA XPRO'!$C$7:$AI$58,32,FALSE),0)</f>
        <v>0</v>
      </c>
      <c r="AI22">
        <f>IFERROR(VLOOKUP(C22,'COPY DATA XPRO'!$C$7:$AI$58,33,FALSE),0)</f>
        <v>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0</v>
      </c>
      <c r="AH23">
        <f>IFERROR(VLOOKUP(C23,'COPY DATA XPRO'!$C$7:$AI$58,32,FALSE),0)</f>
        <v>0</v>
      </c>
      <c r="AI23">
        <f>IFERROR(VLOOKUP(C23,'COPY DATA XPRO'!$C$7:$AI$58,33,FALSE),0)</f>
        <v>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0</v>
      </c>
      <c r="AH24">
        <f>IFERROR(VLOOKUP(C24,'COPY DATA XPRO'!$C$7:$AI$58,32,FALSE),0)</f>
        <v>0</v>
      </c>
      <c r="AI24">
        <f>IFERROR(VLOOKUP(C24,'COPY DATA XPRO'!$C$7:$AI$58,33,FALSE),0)</f>
        <v>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0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0</v>
      </c>
      <c r="AH25">
        <f>IFERROR(VLOOKUP(C25,'COPY DATA XPRO'!$C$7:$AI$58,32,FALSE),0)</f>
        <v>0</v>
      </c>
      <c r="AI25">
        <f>IFERROR(VLOOKUP(C25,'COPY DATA XPRO'!$C$7:$AI$58,33,FALSE),0)</f>
        <v>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0</v>
      </c>
      <c r="AH26">
        <f>IFERROR(VLOOKUP(C26,'COPY DATA XPRO'!$C$7:$AI$58,32,FALSE),0)</f>
        <v>0</v>
      </c>
      <c r="AI26">
        <f>IFERROR(VLOOKUP(C26,'COPY DATA XPRO'!$C$7:$AI$58,33,FALSE),0)</f>
        <v>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0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0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0</v>
      </c>
      <c r="AH27">
        <f>IFERROR(VLOOKUP(C27,'COPY DATA XPRO'!$C$7:$AI$58,32,FALSE),0)</f>
        <v>0</v>
      </c>
      <c r="AI27">
        <f>IFERROR(VLOOKUP(C27,'COPY DATA XPRO'!$C$7:$AI$58,33,FALSE),0)</f>
        <v>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0</v>
      </c>
      <c r="AH28">
        <f>IFERROR(VLOOKUP(C28,'COPY DATA XPRO'!$C$7:$AI$58,32,FALSE),0)</f>
        <v>0</v>
      </c>
      <c r="AI28">
        <f>IFERROR(VLOOKUP(C28,'COPY DATA XPRO'!$C$7:$AI$58,33,FALSE),0)</f>
        <v>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0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0</v>
      </c>
      <c r="AA29">
        <f>IFERROR(VLOOKUP(C29,'COPY DATA XPRO'!$C$7:$AI$58,25,FALSE),0)</f>
        <v>0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0</v>
      </c>
      <c r="AF29">
        <f>IFERROR(VLOOKUP(C29,'COPY DATA XPRO'!$C$7:$AI$58,30,FALSE),0)</f>
        <v>0</v>
      </c>
      <c r="AG29">
        <f>IFERROR(VLOOKUP(C29,'COPY DATA XPRO'!$C$7:$AI$58,31,FALSE),0)</f>
        <v>0</v>
      </c>
      <c r="AH29">
        <f>IFERROR(VLOOKUP(C29,'COPY DATA XPRO'!$C$7:$AI$58,32,FALSE),0)</f>
        <v>0</v>
      </c>
      <c r="AI29">
        <f>IFERROR(VLOOKUP(C29,'COPY DATA XPRO'!$C$7:$AI$58,33,FALSE),0)</f>
        <v>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0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0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0</v>
      </c>
      <c r="AH30">
        <f>IFERROR(VLOOKUP(C30,'COPY DATA XPRO'!$C$7:$AI$58,32,FALSE),0)</f>
        <v>0</v>
      </c>
      <c r="AI30">
        <f>IFERROR(VLOOKUP(C30,'COPY DATA XPRO'!$C$7:$AI$58,33,FALSE),0)</f>
        <v>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0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0</v>
      </c>
      <c r="AH31">
        <f>IFERROR(VLOOKUP(C31,'COPY DATA XPRO'!$C$7:$AI$58,32,FALSE),0)</f>
        <v>0</v>
      </c>
      <c r="AI31">
        <f>IFERROR(VLOOKUP(C31,'COPY DATA XPRO'!$C$7:$AI$58,33,FALSE),0)</f>
        <v>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0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0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0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0</v>
      </c>
      <c r="AH33">
        <f>IFERROR(VLOOKUP(C33,'COPY DATA XPRO'!$C$7:$AI$58,32,FALSE),0)</f>
        <v>0</v>
      </c>
      <c r="AI33">
        <f>IFERROR(VLOOKUP(C33,'COPY DATA XPRO'!$C$7:$AI$58,33,FALSE),0)</f>
        <v>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0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0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0</v>
      </c>
      <c r="AH34">
        <f>IFERROR(VLOOKUP(C34,'COPY DATA XPRO'!$C$7:$AI$58,32,FALSE),0)</f>
        <v>0</v>
      </c>
      <c r="AI34">
        <f>IFERROR(VLOOKUP(C34,'COPY DATA XPRO'!$C$7:$AI$58,33,FALSE),0)</f>
        <v>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0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0</v>
      </c>
      <c r="AH35">
        <f>IFERROR(VLOOKUP(C35,'COPY DATA XPRO'!$C$7:$AI$58,32,FALSE),0)</f>
        <v>0</v>
      </c>
      <c r="AI35">
        <f>IFERROR(VLOOKUP(C35,'COPY DATA XPRO'!$C$7:$AI$58,33,FALSE),0)</f>
        <v>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0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0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0</v>
      </c>
      <c r="AH36">
        <f>IFERROR(VLOOKUP(C36,'COPY DATA XPRO'!$C$7:$AI$58,32,FALSE),0)</f>
        <v>0</v>
      </c>
      <c r="AI36">
        <f>IFERROR(VLOOKUP(C36,'COPY DATA XPRO'!$C$7:$AI$58,33,FALSE),0)</f>
        <v>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0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0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0</v>
      </c>
      <c r="Z38">
        <f>IFERROR(VLOOKUP(C38,'COPY DATA XPRO'!$C$7:$AI$58,24,FALSE),0)</f>
        <v>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0</v>
      </c>
      <c r="AG38">
        <f>IFERROR(VLOOKUP(C38,'COPY DATA XPRO'!$C$7:$AI$58,31,FALSE),0)</f>
        <v>0</v>
      </c>
      <c r="AH38">
        <f>IFERROR(VLOOKUP(C38,'COPY DATA XPRO'!$C$7:$AI$58,32,FALSE),0)</f>
        <v>0</v>
      </c>
      <c r="AI38">
        <f>IFERROR(VLOOKUP(C38,'COPY DATA XPRO'!$C$7:$AI$58,33,FALSE),0)</f>
        <v>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0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0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0</v>
      </c>
      <c r="AH40">
        <f>IFERROR(VLOOKUP(C40,'COPY DATA XPRO'!$C$7:$AI$58,32,FALSE),0)</f>
        <v>0</v>
      </c>
      <c r="AI40">
        <f>IFERROR(VLOOKUP(C40,'COPY DATA XPRO'!$C$7:$AI$58,33,FALSE),0)</f>
        <v>0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0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0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0</v>
      </c>
      <c r="AH41">
        <f>IFERROR(VLOOKUP(C41,'COPY DATA XPRO'!$C$7:$AI$58,32,FALSE),0)</f>
        <v>0</v>
      </c>
      <c r="AI41">
        <f>IFERROR(VLOOKUP(C41,'COPY DATA XPRO'!$C$7:$AI$58,33,FALSE),0)</f>
        <v>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0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0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0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0</v>
      </c>
      <c r="AH43">
        <f>IFERROR(VLOOKUP(C43,'COPY DATA XPRO'!$C$7:$AI$58,32,FALSE),0)</f>
        <v>0</v>
      </c>
      <c r="AI43">
        <f>IFERROR(VLOOKUP(C43,'COPY DATA XPRO'!$C$7:$AI$58,33,FALSE),0)</f>
        <v>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0</v>
      </c>
      <c r="AH44">
        <f>IFERROR(VLOOKUP(C44,'COPY DATA XPRO'!$C$7:$AI$58,32,FALSE),0)</f>
        <v>0</v>
      </c>
      <c r="AI44">
        <f>IFERROR(VLOOKUP(C44,'COPY DATA XPRO'!$C$7:$AI$58,33,FALSE),0)</f>
        <v>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0</v>
      </c>
      <c r="P45">
        <f>IFERROR(VLOOKUP(C45,'COPY DATA XPRO'!$C$7:$AI$58,14,FALSE),0)</f>
        <v>0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0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0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0</v>
      </c>
      <c r="AG46">
        <f>IFERROR(VLOOKUP(C46,'COPY DATA XPRO'!$C$7:$AI$58,31,FALSE),0)</f>
        <v>0</v>
      </c>
      <c r="AH46">
        <f>IFERROR(VLOOKUP(C46,'COPY DATA XPRO'!$C$7:$AI$58,32,FALSE),0)</f>
        <v>0</v>
      </c>
      <c r="AI46">
        <f>IFERROR(VLOOKUP(C46,'COPY DATA XPRO'!$C$7:$AI$58,33,FALSE),0)</f>
        <v>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0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0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0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0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0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0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0</v>
      </c>
      <c r="AG50">
        <f>IFERROR(VLOOKUP(C50,'COPY DATA XPRO'!$C$7:$AI$58,31,FALSE),0)</f>
        <v>0</v>
      </c>
      <c r="AH50">
        <f>IFERROR(VLOOKUP(C50,'COPY DATA XPRO'!$C$7:$AI$58,32,FALSE),0)</f>
        <v>0</v>
      </c>
      <c r="AI50">
        <f>IFERROR(VLOOKUP(C50,'COPY DATA XPRO'!$C$7:$AI$58,33,FALSE),0)</f>
        <v>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0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0</v>
      </c>
      <c r="AH51">
        <f>IFERROR(VLOOKUP(C51,'COPY DATA XPRO'!$C$7:$AI$58,32,FALSE),0)</f>
        <v>0</v>
      </c>
      <c r="AI51">
        <f>IFERROR(VLOOKUP(C51,'COPY DATA XPRO'!$C$7:$AI$58,33,FALSE),0)</f>
        <v>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0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0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0</v>
      </c>
      <c r="AG52">
        <f>IFERROR(VLOOKUP(C52,'COPY DATA XPRO'!$C$7:$AI$58,31,FALSE),0)</f>
        <v>0</v>
      </c>
      <c r="AH52">
        <f>IFERROR(VLOOKUP(C52,'COPY DATA XPRO'!$C$7:$AI$58,32,FALSE),0)</f>
        <v>0</v>
      </c>
      <c r="AI52">
        <f>IFERROR(VLOOKUP(C52,'COPY DATA XPRO'!$C$7:$AI$58,33,FALSE),0)</f>
        <v>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0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0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0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0</v>
      </c>
      <c r="AG53">
        <f>IFERROR(VLOOKUP(C53,'COPY DATA XPRO'!$C$7:$AI$58,31,FALSE),0)</f>
        <v>0</v>
      </c>
      <c r="AH53">
        <f>IFERROR(VLOOKUP(C53,'COPY DATA XPRO'!$C$7:$AI$58,32,FALSE),0)</f>
        <v>0</v>
      </c>
      <c r="AI53">
        <f>IFERROR(VLOOKUP(C53,'COPY DATA XPRO'!$C$7:$AI$58,33,FALSE),0)</f>
        <v>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0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0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0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0</v>
      </c>
      <c r="AH54">
        <f>IFERROR(VLOOKUP(C54,'COPY DATA XPRO'!$C$7:$AI$58,32,FALSE),0)</f>
        <v>0</v>
      </c>
      <c r="AI54">
        <f>IFERROR(VLOOKUP(C54,'COPY DATA XPRO'!$C$7:$AI$58,33,FALSE),0)</f>
        <v>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0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0</v>
      </c>
      <c r="AH56">
        <f>IFERROR(VLOOKUP(C56,'COPY DATA XPRO'!$C$7:$AI$58,32,FALSE),0)</f>
        <v>0</v>
      </c>
      <c r="AI56">
        <f>IFERROR(VLOOKUP(C56,'COPY DATA XPRO'!$C$7:$AI$58,33,FALSE),0)</f>
        <v>0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60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60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60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60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9" zoomScale="60" zoomScaleNormal="60" workbookViewId="0">
      <selection activeCell="AL61" sqref="AL61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</row>
    <row r="8" spans="2:35">
      <c r="C8" t="s">
        <v>80</v>
      </c>
    </row>
    <row r="9" spans="2:35">
      <c r="C9" t="s">
        <v>81</v>
      </c>
    </row>
    <row r="10" spans="2:35">
      <c r="C10" t="s">
        <v>82</v>
      </c>
    </row>
    <row r="11" spans="2:35">
      <c r="C11" t="s">
        <v>83</v>
      </c>
    </row>
    <row r="12" spans="2:35">
      <c r="C12" t="s">
        <v>84</v>
      </c>
    </row>
    <row r="13" spans="2:35">
      <c r="C13" t="s">
        <v>85</v>
      </c>
    </row>
    <row r="14" spans="2:35">
      <c r="C14" t="s">
        <v>86</v>
      </c>
    </row>
    <row r="16" spans="2:35">
      <c r="B16" t="s">
        <v>38</v>
      </c>
      <c r="C16" s="100" t="s">
        <v>87</v>
      </c>
    </row>
    <row r="17" spans="2:3">
      <c r="C17" t="s">
        <v>88</v>
      </c>
    </row>
    <row r="18" spans="2:3">
      <c r="C18" t="s">
        <v>89</v>
      </c>
    </row>
    <row r="19" spans="2:3">
      <c r="C19" t="s">
        <v>90</v>
      </c>
    </row>
    <row r="20" spans="2:3">
      <c r="C20" t="s">
        <v>91</v>
      </c>
    </row>
    <row r="21" spans="2:3">
      <c r="C21" t="s">
        <v>92</v>
      </c>
    </row>
    <row r="22" spans="2:3">
      <c r="C22" t="s">
        <v>93</v>
      </c>
    </row>
    <row r="23" spans="2:3">
      <c r="C23" t="s">
        <v>94</v>
      </c>
    </row>
    <row r="24" spans="2:3">
      <c r="C24" t="s">
        <v>95</v>
      </c>
    </row>
    <row r="25" spans="2:3">
      <c r="C25" t="s">
        <v>96</v>
      </c>
    </row>
    <row r="26" spans="2:3">
      <c r="C26" t="s">
        <v>97</v>
      </c>
    </row>
    <row r="27" spans="2:3">
      <c r="C27" t="s">
        <v>98</v>
      </c>
    </row>
    <row r="28" spans="2:3">
      <c r="B28" t="s">
        <v>42</v>
      </c>
      <c r="C28" t="s">
        <v>99</v>
      </c>
    </row>
    <row r="29" spans="2:3">
      <c r="C29" t="s">
        <v>100</v>
      </c>
    </row>
    <row r="30" spans="2:3">
      <c r="C30" t="s">
        <v>101</v>
      </c>
    </row>
    <row r="31" spans="2:3">
      <c r="C31" t="s">
        <v>102</v>
      </c>
    </row>
    <row r="32" spans="2:3">
      <c r="C32" t="s">
        <v>103</v>
      </c>
    </row>
    <row r="33" spans="2:3">
      <c r="C33" t="s">
        <v>104</v>
      </c>
    </row>
    <row r="34" spans="2:3">
      <c r="C34" t="s">
        <v>105</v>
      </c>
    </row>
    <row r="35" spans="2:3">
      <c r="C35" t="s">
        <v>106</v>
      </c>
    </row>
    <row r="36" spans="2:3">
      <c r="C36" t="s">
        <v>107</v>
      </c>
    </row>
    <row r="37" spans="2:3">
      <c r="C37" t="s">
        <v>108</v>
      </c>
    </row>
    <row r="38" spans="2:3">
      <c r="B38" t="s">
        <v>70</v>
      </c>
      <c r="C38" t="s">
        <v>109</v>
      </c>
    </row>
    <row r="39" spans="2:3">
      <c r="C39" t="s">
        <v>110</v>
      </c>
    </row>
    <row r="40" spans="2:3">
      <c r="C40" t="s">
        <v>111</v>
      </c>
    </row>
    <row r="41" spans="2:3">
      <c r="C41" t="s">
        <v>112</v>
      </c>
    </row>
    <row r="42" spans="2:3">
      <c r="C42" t="s">
        <v>113</v>
      </c>
    </row>
    <row r="43" spans="2:3">
      <c r="C43" t="s">
        <v>114</v>
      </c>
    </row>
    <row r="44" spans="2:3">
      <c r="C44" t="s">
        <v>115</v>
      </c>
    </row>
    <row r="45" spans="2:3">
      <c r="C45" t="s">
        <v>116</v>
      </c>
    </row>
    <row r="46" spans="2:3">
      <c r="C46" t="s">
        <v>117</v>
      </c>
    </row>
    <row r="47" spans="2:3">
      <c r="C47" t="s">
        <v>118</v>
      </c>
    </row>
    <row r="48" spans="2:3">
      <c r="C48" t="s">
        <v>119</v>
      </c>
    </row>
    <row r="49" spans="2:35">
      <c r="C49" t="s">
        <v>120</v>
      </c>
    </row>
    <row r="50" spans="2:35">
      <c r="B50" t="s">
        <v>55</v>
      </c>
      <c r="C50" t="s">
        <v>121</v>
      </c>
    </row>
    <row r="51" spans="2:35">
      <c r="C51" t="s">
        <v>122</v>
      </c>
    </row>
    <row r="52" spans="2:35">
      <c r="C52" t="s">
        <v>123</v>
      </c>
    </row>
    <row r="53" spans="2:35">
      <c r="C53" t="s">
        <v>124</v>
      </c>
    </row>
    <row r="54" spans="2:35">
      <c r="C54" t="s">
        <v>125</v>
      </c>
    </row>
    <row r="55" spans="2:35">
      <c r="C55" t="s">
        <v>126</v>
      </c>
    </row>
    <row r="56" spans="2:35">
      <c r="C56" t="s">
        <v>127</v>
      </c>
    </row>
    <row r="57" spans="2:35">
      <c r="C57" t="s">
        <v>128</v>
      </c>
    </row>
    <row r="59" spans="2:35">
      <c r="C59" s="160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60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60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60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6</v>
      </c>
      <c r="F63" s="12">
        <v>0</v>
      </c>
      <c r="G63" s="12">
        <v>0</v>
      </c>
      <c r="H63" s="12">
        <v>0</v>
      </c>
      <c r="I63" s="12">
        <v>0</v>
      </c>
      <c r="J63" s="12">
        <v>1</v>
      </c>
      <c r="K63" s="12">
        <v>0</v>
      </c>
      <c r="L63" s="12">
        <v>1</v>
      </c>
      <c r="M63" s="12">
        <v>0</v>
      </c>
      <c r="N63" s="12">
        <v>1</v>
      </c>
      <c r="O63" s="12">
        <v>0</v>
      </c>
      <c r="P63" s="12">
        <v>1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2</v>
      </c>
      <c r="Z63" s="12">
        <v>1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</v>
      </c>
      <c r="AG63" s="12">
        <v>50</v>
      </c>
      <c r="AH63" s="12">
        <v>0</v>
      </c>
      <c r="AI63" s="12">
        <v>0</v>
      </c>
    </row>
    <row r="64" spans="2:35" ht="21.5" thickBot="1">
      <c r="C64" s="11" t="s">
        <v>38</v>
      </c>
      <c r="D64" s="12">
        <v>0</v>
      </c>
      <c r="E64" s="12">
        <v>18</v>
      </c>
      <c r="F64" s="12">
        <v>0</v>
      </c>
      <c r="G64" s="12">
        <v>0</v>
      </c>
      <c r="H64" s="12">
        <v>0</v>
      </c>
      <c r="I64" s="12">
        <v>0</v>
      </c>
      <c r="J64" s="12">
        <v>6</v>
      </c>
      <c r="K64" s="12">
        <v>0</v>
      </c>
      <c r="L64" s="12">
        <v>2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1</v>
      </c>
      <c r="Z64" s="12">
        <v>7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4">
        <v>44.44</v>
      </c>
      <c r="AH64" s="14">
        <v>38.89</v>
      </c>
      <c r="AI64" s="14">
        <v>87.5</v>
      </c>
    </row>
    <row r="65" spans="3:35" ht="21.5" thickBot="1">
      <c r="C65" s="11" t="s">
        <v>42</v>
      </c>
      <c r="D65" s="12">
        <v>0</v>
      </c>
      <c r="E65" s="12">
        <v>13</v>
      </c>
      <c r="F65" s="12">
        <v>0</v>
      </c>
      <c r="G65" s="12">
        <v>0</v>
      </c>
      <c r="H65" s="12">
        <v>0</v>
      </c>
      <c r="I65" s="12">
        <v>0</v>
      </c>
      <c r="J65" s="12">
        <v>1</v>
      </c>
      <c r="K65" s="12">
        <v>0</v>
      </c>
      <c r="L65" s="12">
        <v>1</v>
      </c>
      <c r="M65" s="12">
        <v>2</v>
      </c>
      <c r="N65" s="12">
        <v>0</v>
      </c>
      <c r="O65" s="12">
        <v>0</v>
      </c>
      <c r="P65" s="12">
        <v>2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4</v>
      </c>
      <c r="Z65" s="12">
        <v>4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4">
        <v>76.92</v>
      </c>
      <c r="AH65" s="14">
        <v>30.77</v>
      </c>
      <c r="AI65" s="14">
        <v>40</v>
      </c>
    </row>
    <row r="66" spans="3:35" ht="21.5" thickBot="1">
      <c r="C66" s="11" t="s">
        <v>45</v>
      </c>
      <c r="D66" s="12">
        <v>0</v>
      </c>
      <c r="E66" s="12">
        <v>16</v>
      </c>
      <c r="F66" s="12">
        <v>0</v>
      </c>
      <c r="G66" s="12">
        <v>0</v>
      </c>
      <c r="H66" s="12">
        <v>0</v>
      </c>
      <c r="I66" s="12">
        <v>0</v>
      </c>
      <c r="J66" s="12">
        <v>3</v>
      </c>
      <c r="K66" s="12">
        <v>1</v>
      </c>
      <c r="L66" s="12">
        <v>2</v>
      </c>
      <c r="M66" s="12">
        <v>3</v>
      </c>
      <c r="N66" s="12">
        <v>1</v>
      </c>
      <c r="O66" s="12">
        <v>0</v>
      </c>
      <c r="P66" s="12">
        <v>4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4</v>
      </c>
      <c r="Z66" s="12">
        <v>1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4">
        <v>56.25</v>
      </c>
      <c r="AH66" s="14">
        <v>6.67</v>
      </c>
      <c r="AI66" s="14">
        <v>11.11</v>
      </c>
    </row>
    <row r="67" spans="3:35" ht="21.5" thickBot="1">
      <c r="C67" s="11" t="s">
        <v>49</v>
      </c>
      <c r="D67" s="12">
        <v>0</v>
      </c>
      <c r="E67" s="12">
        <v>12</v>
      </c>
      <c r="F67" s="12">
        <v>0</v>
      </c>
      <c r="G67" s="12">
        <v>0</v>
      </c>
      <c r="H67" s="12">
        <v>2</v>
      </c>
      <c r="I67" s="12">
        <v>0</v>
      </c>
      <c r="J67" s="12">
        <v>4</v>
      </c>
      <c r="K67" s="12">
        <v>0</v>
      </c>
      <c r="L67" s="12">
        <v>0</v>
      </c>
      <c r="M67" s="12">
        <v>3</v>
      </c>
      <c r="N67" s="12">
        <v>0</v>
      </c>
      <c r="O67" s="12">
        <v>0</v>
      </c>
      <c r="P67" s="12">
        <v>3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1</v>
      </c>
      <c r="Z67" s="12">
        <v>2</v>
      </c>
      <c r="AA67" s="12">
        <v>0</v>
      </c>
      <c r="AB67" s="12">
        <v>0</v>
      </c>
      <c r="AC67" s="12">
        <v>0</v>
      </c>
      <c r="AD67" s="12">
        <v>0</v>
      </c>
      <c r="AE67" s="12">
        <v>0</v>
      </c>
      <c r="AF67" s="12">
        <v>0</v>
      </c>
      <c r="AG67" s="14">
        <v>50</v>
      </c>
      <c r="AH67" s="14">
        <v>16.670000000000002</v>
      </c>
      <c r="AI67" s="14">
        <v>33.33</v>
      </c>
    </row>
    <row r="68" spans="3:35" ht="21.5" thickBot="1">
      <c r="C68" s="11" t="s">
        <v>51</v>
      </c>
      <c r="D68" s="12">
        <v>0</v>
      </c>
      <c r="E68" s="12">
        <v>11</v>
      </c>
      <c r="F68" s="12">
        <v>1</v>
      </c>
      <c r="G68" s="12">
        <v>0</v>
      </c>
      <c r="H68" s="12">
        <v>0</v>
      </c>
      <c r="I68" s="12">
        <v>0</v>
      </c>
      <c r="J68" s="12">
        <v>5</v>
      </c>
      <c r="K68" s="12">
        <v>0</v>
      </c>
      <c r="L68" s="12">
        <v>1</v>
      </c>
      <c r="M68" s="12">
        <v>1</v>
      </c>
      <c r="N68" s="12">
        <v>0</v>
      </c>
      <c r="O68" s="12">
        <v>0</v>
      </c>
      <c r="P68" s="12">
        <v>1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1</v>
      </c>
      <c r="Z68" s="12">
        <v>1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4">
        <v>27.27</v>
      </c>
      <c r="AH68" s="14">
        <v>9.09</v>
      </c>
      <c r="AI68" s="14">
        <v>33.33</v>
      </c>
    </row>
    <row r="69" spans="3:35" ht="21.5" thickBot="1">
      <c r="C69" s="11" t="s">
        <v>55</v>
      </c>
      <c r="D69" s="12">
        <v>0</v>
      </c>
      <c r="E69" s="12">
        <v>21</v>
      </c>
      <c r="F69" s="12">
        <v>0</v>
      </c>
      <c r="G69" s="12">
        <v>0</v>
      </c>
      <c r="H69" s="12">
        <v>0</v>
      </c>
      <c r="I69" s="12">
        <v>0</v>
      </c>
      <c r="J69" s="12">
        <v>10</v>
      </c>
      <c r="K69" s="12">
        <v>0</v>
      </c>
      <c r="L69" s="12">
        <v>1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1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1</v>
      </c>
      <c r="Y69" s="12">
        <v>1</v>
      </c>
      <c r="Z69" s="12">
        <v>6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1</v>
      </c>
      <c r="AG69" s="14">
        <v>38.1</v>
      </c>
      <c r="AH69" s="14">
        <v>30</v>
      </c>
      <c r="AI69" s="14">
        <v>75</v>
      </c>
    </row>
    <row r="70" spans="3:35" ht="21.5" thickBot="1">
      <c r="C70" s="11" t="s">
        <v>59</v>
      </c>
      <c r="D70" s="12">
        <v>0</v>
      </c>
      <c r="E70" s="12">
        <v>10</v>
      </c>
      <c r="F70" s="12">
        <v>0</v>
      </c>
      <c r="G70" s="12">
        <v>0</v>
      </c>
      <c r="H70" s="12">
        <v>1</v>
      </c>
      <c r="I70" s="12">
        <v>0</v>
      </c>
      <c r="J70" s="12">
        <v>3</v>
      </c>
      <c r="K70" s="12">
        <v>0</v>
      </c>
      <c r="L70" s="12">
        <v>2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1</v>
      </c>
      <c r="Z70" s="12">
        <v>2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</v>
      </c>
      <c r="AG70" s="14">
        <v>30</v>
      </c>
      <c r="AH70" s="14">
        <v>20</v>
      </c>
      <c r="AI70" s="14">
        <v>66.67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10" workbookViewId="0">
      <selection activeCell="H18" sqref="H18"/>
    </sheetView>
  </sheetViews>
  <sheetFormatPr defaultColWidth="9" defaultRowHeight="14.5"/>
  <cols>
    <col min="1" max="2" width="15.26953125" bestFit="1" customWidth="1"/>
    <col min="3" max="3" width="6.7265625" bestFit="1" customWidth="1"/>
    <col min="4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528</v>
      </c>
      <c r="D4" t="s">
        <v>154</v>
      </c>
    </row>
    <row r="5" spans="1:7">
      <c r="A5" s="7" t="s">
        <v>34</v>
      </c>
      <c r="B5" s="194">
        <v>1</v>
      </c>
      <c r="C5" s="194">
        <v>5</v>
      </c>
      <c r="D5" s="194">
        <v>6</v>
      </c>
      <c r="G5" s="8">
        <f>B5/(B5+0)</f>
        <v>1</v>
      </c>
    </row>
    <row r="6" spans="1:7">
      <c r="A6" s="7" t="s">
        <v>38</v>
      </c>
      <c r="B6" s="194">
        <v>9</v>
      </c>
      <c r="C6" s="194">
        <v>9</v>
      </c>
      <c r="D6" s="194">
        <v>18</v>
      </c>
      <c r="G6" s="8">
        <f t="shared" ref="G6:G10" si="0">B6/(B6+0)</f>
        <v>1</v>
      </c>
    </row>
    <row r="7" spans="1:7">
      <c r="A7" s="7" t="s">
        <v>42</v>
      </c>
      <c r="B7" s="194">
        <v>5</v>
      </c>
      <c r="C7" s="194">
        <v>8</v>
      </c>
      <c r="D7" s="194">
        <v>13</v>
      </c>
      <c r="G7" s="8">
        <f t="shared" si="0"/>
        <v>1</v>
      </c>
    </row>
    <row r="8" spans="1:7">
      <c r="A8" s="7" t="s">
        <v>45</v>
      </c>
      <c r="B8" s="194">
        <v>2</v>
      </c>
      <c r="C8" s="194">
        <v>14</v>
      </c>
      <c r="D8" s="194">
        <v>16</v>
      </c>
      <c r="G8" s="8">
        <f t="shared" si="0"/>
        <v>1</v>
      </c>
    </row>
    <row r="9" spans="1:7">
      <c r="A9" s="7" t="s">
        <v>55</v>
      </c>
      <c r="B9" s="194">
        <v>7</v>
      </c>
      <c r="C9" s="194">
        <v>14</v>
      </c>
      <c r="D9" s="194">
        <v>21</v>
      </c>
      <c r="G9" s="8">
        <f t="shared" si="0"/>
        <v>1</v>
      </c>
    </row>
    <row r="10" spans="1:7">
      <c r="A10" s="7" t="s">
        <v>154</v>
      </c>
      <c r="B10" s="194">
        <v>24</v>
      </c>
      <c r="C10" s="194">
        <v>50</v>
      </c>
      <c r="D10" s="194">
        <v>74</v>
      </c>
      <c r="G10" s="8">
        <f t="shared" si="0"/>
        <v>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528</v>
      </c>
      <c r="D18" t="s">
        <v>154</v>
      </c>
    </row>
    <row r="19" spans="1:7">
      <c r="A19" s="7" t="s">
        <v>34</v>
      </c>
      <c r="B19" s="194">
        <v>1</v>
      </c>
      <c r="C19" s="194">
        <v>5</v>
      </c>
      <c r="D19" s="194">
        <v>6</v>
      </c>
      <c r="G19" s="8">
        <v>1</v>
      </c>
    </row>
    <row r="20" spans="1:7">
      <c r="A20" s="9" t="s">
        <v>86</v>
      </c>
      <c r="B20" s="194">
        <v>1</v>
      </c>
      <c r="C20" s="194">
        <v>2</v>
      </c>
      <c r="D20" s="194">
        <v>3</v>
      </c>
      <c r="G20" s="8">
        <v>1</v>
      </c>
    </row>
    <row r="21" spans="1:7">
      <c r="A21" s="9" t="s">
        <v>84</v>
      </c>
      <c r="B21" s="194"/>
      <c r="C21" s="194">
        <v>1</v>
      </c>
      <c r="D21" s="194">
        <v>1</v>
      </c>
      <c r="G21" s="8">
        <v>1</v>
      </c>
    </row>
    <row r="22" spans="1:7">
      <c r="A22" s="9" t="s">
        <v>85</v>
      </c>
      <c r="B22" s="194"/>
      <c r="C22" s="194">
        <v>2</v>
      </c>
      <c r="D22" s="194">
        <v>2</v>
      </c>
      <c r="G22" s="8">
        <v>1</v>
      </c>
    </row>
    <row r="23" spans="1:7">
      <c r="A23" s="7" t="s">
        <v>38</v>
      </c>
      <c r="B23" s="194">
        <v>9</v>
      </c>
      <c r="C23" s="194">
        <v>9</v>
      </c>
      <c r="D23" s="194">
        <v>18</v>
      </c>
      <c r="G23" s="8">
        <v>1</v>
      </c>
    </row>
    <row r="24" spans="1:7">
      <c r="A24" s="9" t="s">
        <v>87</v>
      </c>
      <c r="B24" s="194">
        <v>2</v>
      </c>
      <c r="C24" s="194"/>
      <c r="D24" s="194">
        <v>2</v>
      </c>
      <c r="G24" s="8">
        <v>1</v>
      </c>
    </row>
    <row r="25" spans="1:7">
      <c r="A25" s="9" t="s">
        <v>89</v>
      </c>
      <c r="B25" s="194">
        <v>2</v>
      </c>
      <c r="C25" s="194">
        <v>4</v>
      </c>
      <c r="D25" s="194">
        <v>6</v>
      </c>
      <c r="G25" s="8">
        <v>1</v>
      </c>
    </row>
    <row r="26" spans="1:7">
      <c r="A26" s="9" t="s">
        <v>90</v>
      </c>
      <c r="B26" s="194">
        <v>1</v>
      </c>
      <c r="C26" s="194">
        <v>3</v>
      </c>
      <c r="D26" s="194">
        <v>4</v>
      </c>
      <c r="G26" s="8">
        <v>1</v>
      </c>
    </row>
    <row r="27" spans="1:7">
      <c r="A27" s="9" t="s">
        <v>92</v>
      </c>
      <c r="B27" s="194">
        <v>1</v>
      </c>
      <c r="C27" s="194"/>
      <c r="D27" s="194">
        <v>1</v>
      </c>
      <c r="G27" s="8">
        <v>1</v>
      </c>
    </row>
    <row r="28" spans="1:7">
      <c r="A28" s="9" t="s">
        <v>88</v>
      </c>
      <c r="B28" s="194"/>
      <c r="C28" s="194">
        <v>2</v>
      </c>
      <c r="D28" s="194">
        <v>2</v>
      </c>
      <c r="G28" s="8">
        <v>1</v>
      </c>
    </row>
    <row r="29" spans="1:7">
      <c r="A29" s="9" t="s">
        <v>95</v>
      </c>
      <c r="B29" s="194">
        <v>1</v>
      </c>
      <c r="C29" s="194"/>
      <c r="D29" s="194">
        <v>1</v>
      </c>
      <c r="G29" s="8">
        <v>1</v>
      </c>
    </row>
    <row r="30" spans="1:7">
      <c r="A30" s="9" t="s">
        <v>247</v>
      </c>
      <c r="B30" s="194">
        <v>2</v>
      </c>
      <c r="C30" s="194"/>
      <c r="D30" s="194">
        <v>2</v>
      </c>
      <c r="G30" s="8">
        <v>1</v>
      </c>
    </row>
    <row r="31" spans="1:7">
      <c r="A31" s="7" t="s">
        <v>42</v>
      </c>
      <c r="B31" s="194">
        <v>5</v>
      </c>
      <c r="C31" s="194">
        <v>8</v>
      </c>
      <c r="D31" s="194">
        <v>13</v>
      </c>
      <c r="G31" s="8">
        <v>1</v>
      </c>
    </row>
    <row r="32" spans="1:7">
      <c r="A32" s="9" t="s">
        <v>107</v>
      </c>
      <c r="B32" s="194">
        <v>1</v>
      </c>
      <c r="C32" s="194"/>
      <c r="D32" s="194">
        <v>1</v>
      </c>
      <c r="G32" s="8">
        <v>1</v>
      </c>
    </row>
    <row r="33" spans="1:7">
      <c r="A33" s="9" t="s">
        <v>106</v>
      </c>
      <c r="B33" s="194"/>
      <c r="C33" s="194">
        <v>1</v>
      </c>
      <c r="D33" s="194">
        <v>1</v>
      </c>
      <c r="G33" s="8">
        <v>1</v>
      </c>
    </row>
    <row r="34" spans="1:7">
      <c r="A34" s="9" t="s">
        <v>102</v>
      </c>
      <c r="B34" s="194">
        <v>1</v>
      </c>
      <c r="C34" s="194">
        <v>1</v>
      </c>
      <c r="D34" s="194">
        <v>2</v>
      </c>
      <c r="G34" s="8">
        <v>1</v>
      </c>
    </row>
    <row r="35" spans="1:7">
      <c r="A35" s="9" t="s">
        <v>105</v>
      </c>
      <c r="B35" s="194">
        <v>1</v>
      </c>
      <c r="C35" s="194">
        <v>1</v>
      </c>
      <c r="D35" s="194">
        <v>2</v>
      </c>
      <c r="G35" s="8">
        <v>1</v>
      </c>
    </row>
    <row r="36" spans="1:7">
      <c r="A36" s="9" t="s">
        <v>99</v>
      </c>
      <c r="B36" s="194">
        <v>1</v>
      </c>
      <c r="C36" s="194">
        <v>1</v>
      </c>
      <c r="D36" s="194">
        <v>2</v>
      </c>
      <c r="G36" s="8">
        <v>1</v>
      </c>
    </row>
    <row r="37" spans="1:7">
      <c r="A37" s="9" t="s">
        <v>232</v>
      </c>
      <c r="B37" s="194">
        <v>1</v>
      </c>
      <c r="C37" s="194">
        <v>4</v>
      </c>
      <c r="D37" s="194">
        <v>5</v>
      </c>
      <c r="G37" s="8">
        <v>1</v>
      </c>
    </row>
    <row r="38" spans="1:7">
      <c r="A38" s="7" t="s">
        <v>45</v>
      </c>
      <c r="B38" s="194">
        <v>2</v>
      </c>
      <c r="C38" s="194">
        <v>14</v>
      </c>
      <c r="D38" s="194">
        <v>16</v>
      </c>
      <c r="G38" s="8">
        <v>1</v>
      </c>
    </row>
    <row r="39" spans="1:7">
      <c r="A39" s="9" t="s">
        <v>118</v>
      </c>
      <c r="B39" s="194"/>
      <c r="C39" s="194">
        <v>2</v>
      </c>
      <c r="D39" s="194">
        <v>2</v>
      </c>
      <c r="G39" s="8">
        <v>1</v>
      </c>
    </row>
    <row r="40" spans="1:7">
      <c r="A40" s="9" t="s">
        <v>110</v>
      </c>
      <c r="B40" s="194"/>
      <c r="C40" s="194">
        <v>2</v>
      </c>
      <c r="D40" s="194">
        <v>2</v>
      </c>
      <c r="G40" s="8">
        <v>1</v>
      </c>
    </row>
    <row r="41" spans="1:7">
      <c r="A41" s="9" t="s">
        <v>111</v>
      </c>
      <c r="B41" s="194"/>
      <c r="C41" s="194">
        <v>2</v>
      </c>
      <c r="D41" s="194">
        <v>2</v>
      </c>
      <c r="G41" s="8">
        <v>1</v>
      </c>
    </row>
    <row r="42" spans="1:7">
      <c r="A42" s="9" t="s">
        <v>109</v>
      </c>
      <c r="B42" s="194"/>
      <c r="C42" s="194">
        <v>1</v>
      </c>
      <c r="D42" s="194">
        <v>1</v>
      </c>
      <c r="G42" s="8">
        <v>1</v>
      </c>
    </row>
    <row r="43" spans="1:7">
      <c r="A43" s="9" t="s">
        <v>113</v>
      </c>
      <c r="B43" s="194"/>
      <c r="C43" s="194">
        <v>4</v>
      </c>
      <c r="D43" s="194">
        <v>4</v>
      </c>
      <c r="G43" s="8">
        <v>1</v>
      </c>
    </row>
    <row r="44" spans="1:7">
      <c r="A44" s="9" t="s">
        <v>114</v>
      </c>
      <c r="B44" s="194"/>
      <c r="C44" s="194">
        <v>1</v>
      </c>
      <c r="D44" s="194">
        <v>1</v>
      </c>
      <c r="G44" s="8">
        <v>1</v>
      </c>
    </row>
    <row r="45" spans="1:7">
      <c r="A45" s="9" t="s">
        <v>755</v>
      </c>
      <c r="B45" s="194">
        <v>2</v>
      </c>
      <c r="C45" s="194">
        <v>2</v>
      </c>
      <c r="D45" s="194">
        <v>4</v>
      </c>
      <c r="G45" s="8">
        <v>1</v>
      </c>
    </row>
    <row r="46" spans="1:7">
      <c r="A46" s="7" t="s">
        <v>55</v>
      </c>
      <c r="B46" s="194">
        <v>7</v>
      </c>
      <c r="C46" s="194">
        <v>14</v>
      </c>
      <c r="D46" s="194">
        <v>21</v>
      </c>
      <c r="G46" s="8">
        <v>1</v>
      </c>
    </row>
    <row r="47" spans="1:7">
      <c r="A47" s="9" t="s">
        <v>122</v>
      </c>
      <c r="B47" s="194">
        <v>2</v>
      </c>
      <c r="C47" s="194">
        <v>2</v>
      </c>
      <c r="D47" s="194">
        <v>4</v>
      </c>
      <c r="G47" s="8">
        <v>1</v>
      </c>
    </row>
    <row r="48" spans="1:7">
      <c r="A48" s="9" t="s">
        <v>227</v>
      </c>
      <c r="B48" s="194">
        <v>1</v>
      </c>
      <c r="C48" s="194">
        <v>2</v>
      </c>
      <c r="D48" s="194">
        <v>3</v>
      </c>
      <c r="G48" s="8">
        <v>1</v>
      </c>
    </row>
    <row r="49" spans="1:7">
      <c r="A49" s="9" t="s">
        <v>640</v>
      </c>
      <c r="B49" s="194">
        <v>2</v>
      </c>
      <c r="C49" s="194">
        <v>8</v>
      </c>
      <c r="D49" s="194">
        <v>10</v>
      </c>
      <c r="G49" s="8">
        <v>1</v>
      </c>
    </row>
    <row r="50" spans="1:7">
      <c r="A50" s="9" t="s">
        <v>637</v>
      </c>
      <c r="B50" s="194">
        <v>2</v>
      </c>
      <c r="C50" s="194">
        <v>2</v>
      </c>
      <c r="D50" s="194">
        <v>4</v>
      </c>
      <c r="G50" s="8">
        <v>1</v>
      </c>
    </row>
    <row r="51" spans="1:7">
      <c r="A51" s="7" t="s">
        <v>154</v>
      </c>
      <c r="B51" s="194">
        <v>24</v>
      </c>
      <c r="C51" s="194">
        <v>50</v>
      </c>
      <c r="D51" s="194">
        <v>74</v>
      </c>
      <c r="G51" s="8">
        <v>1</v>
      </c>
    </row>
    <row r="52" spans="1:7">
      <c r="G52" s="8" t="e">
        <f t="shared" ref="G20:G59" si="1">B52/(B52+C52)</f>
        <v>#DIV/0!</v>
      </c>
    </row>
    <row r="53" spans="1:7">
      <c r="G53" s="8" t="e">
        <f t="shared" si="1"/>
        <v>#DIV/0!</v>
      </c>
    </row>
    <row r="54" spans="1:7">
      <c r="G54" s="8" t="e">
        <f t="shared" si="1"/>
        <v>#DIV/0!</v>
      </c>
    </row>
    <row r="55" spans="1:7">
      <c r="G55" s="8" t="e">
        <f t="shared" si="1"/>
        <v>#DIV/0!</v>
      </c>
    </row>
    <row r="56" spans="1:7">
      <c r="G56" s="8" t="e">
        <f t="shared" si="1"/>
        <v>#DIV/0!</v>
      </c>
    </row>
    <row r="57" spans="1:7">
      <c r="G57" s="8" t="e">
        <f t="shared" si="1"/>
        <v>#DIV/0!</v>
      </c>
    </row>
    <row r="58" spans="1:7">
      <c r="G58" s="8" t="e">
        <f t="shared" si="1"/>
        <v>#DIV/0!</v>
      </c>
    </row>
    <row r="59" spans="1:7">
      <c r="G59" s="8" t="e">
        <f t="shared" si="1"/>
        <v>#DIV/0!</v>
      </c>
    </row>
    <row r="60" spans="1:7">
      <c r="G60" s="8" t="e">
        <f t="shared" ref="G60:G78" si="2">B60/(B60+C60)</f>
        <v>#DIV/0!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BI5978"/>
  <sheetViews>
    <sheetView zoomScale="104" workbookViewId="0">
      <selection activeCell="D1" sqref="D1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844</v>
      </c>
      <c r="BD1" s="193" t="s">
        <v>845</v>
      </c>
      <c r="BE1" s="193" t="s">
        <v>846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 hidden="1">
      <c r="A2">
        <v>1</v>
      </c>
      <c r="B2">
        <v>1002618762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272</v>
      </c>
      <c r="I2" t="s">
        <v>212</v>
      </c>
      <c r="J2" t="s">
        <v>213</v>
      </c>
      <c r="K2" t="s">
        <v>149</v>
      </c>
      <c r="L2" t="s">
        <v>214</v>
      </c>
      <c r="M2" t="s">
        <v>238</v>
      </c>
      <c r="N2" t="s">
        <v>215</v>
      </c>
      <c r="O2" s="57">
        <v>46296.742812500001</v>
      </c>
      <c r="P2" s="57">
        <v>46296.744513888887</v>
      </c>
      <c r="Q2">
        <v>69402658</v>
      </c>
      <c r="S2">
        <v>172603792347</v>
      </c>
      <c r="T2" t="s">
        <v>954</v>
      </c>
      <c r="U2" t="s">
        <v>955</v>
      </c>
      <c r="V2" t="s">
        <v>956</v>
      </c>
      <c r="Z2">
        <v>116.32773052901</v>
      </c>
      <c r="AA2">
        <v>-8.7849984904067604</v>
      </c>
      <c r="AB2" t="s">
        <v>957</v>
      </c>
      <c r="AC2" t="s">
        <v>216</v>
      </c>
      <c r="AL2" t="s">
        <v>217</v>
      </c>
      <c r="AM2" t="s">
        <v>958</v>
      </c>
      <c r="AN2" t="s">
        <v>6</v>
      </c>
      <c r="AO2" s="57">
        <v>46032.746898148151</v>
      </c>
      <c r="AP2" s="57">
        <v>46298.458333333336</v>
      </c>
      <c r="AR2" t="s">
        <v>239</v>
      </c>
      <c r="AS2" t="s">
        <v>812</v>
      </c>
      <c r="AT2" t="s">
        <v>230</v>
      </c>
      <c r="AV2" t="s">
        <v>238</v>
      </c>
      <c r="AW2" t="s">
        <v>802</v>
      </c>
      <c r="AX2" t="s">
        <v>222</v>
      </c>
      <c r="BA2" s="57">
        <v>46298.458333333336</v>
      </c>
      <c r="BB2" t="s">
        <v>958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 hidden="1">
      <c r="A3">
        <v>2</v>
      </c>
      <c r="B3">
        <v>1002617134</v>
      </c>
      <c r="C3">
        <v>3</v>
      </c>
      <c r="D3" t="s">
        <v>45</v>
      </c>
      <c r="E3">
        <v>5</v>
      </c>
      <c r="F3" t="s">
        <v>210</v>
      </c>
      <c r="G3" t="s">
        <v>116</v>
      </c>
      <c r="H3" t="s">
        <v>356</v>
      </c>
      <c r="I3" t="s">
        <v>212</v>
      </c>
      <c r="J3" t="s">
        <v>213</v>
      </c>
      <c r="K3" t="s">
        <v>149</v>
      </c>
      <c r="L3" t="s">
        <v>214</v>
      </c>
      <c r="M3" t="s">
        <v>76</v>
      </c>
      <c r="N3" t="s">
        <v>215</v>
      </c>
      <c r="O3" s="57">
        <v>46296.40179398148</v>
      </c>
      <c r="P3" s="57">
        <v>46296.862164351849</v>
      </c>
      <c r="Q3">
        <v>69402106</v>
      </c>
      <c r="S3">
        <v>172619203309</v>
      </c>
      <c r="T3" t="s">
        <v>959</v>
      </c>
      <c r="U3" t="s">
        <v>960</v>
      </c>
      <c r="V3" t="s">
        <v>961</v>
      </c>
      <c r="Z3">
        <v>116.47214300930401</v>
      </c>
      <c r="AA3">
        <v>-8.8049368383438704</v>
      </c>
      <c r="AB3" t="s">
        <v>962</v>
      </c>
      <c r="AC3" t="s">
        <v>216</v>
      </c>
      <c r="AL3" t="s">
        <v>217</v>
      </c>
      <c r="AM3" t="s">
        <v>963</v>
      </c>
      <c r="AN3" t="s">
        <v>6</v>
      </c>
      <c r="AO3" s="57">
        <v>46032.413738425923</v>
      </c>
      <c r="AP3" s="57">
        <v>46298.458333333336</v>
      </c>
      <c r="AR3" t="s">
        <v>218</v>
      </c>
      <c r="AS3" t="s">
        <v>827</v>
      </c>
      <c r="AT3" t="s">
        <v>230</v>
      </c>
      <c r="AU3">
        <v>20261001</v>
      </c>
      <c r="AV3" t="s">
        <v>221</v>
      </c>
      <c r="AW3" t="s">
        <v>880</v>
      </c>
      <c r="AX3" t="s">
        <v>222</v>
      </c>
      <c r="BA3" s="57">
        <v>46298.458333333336</v>
      </c>
      <c r="BB3" t="s">
        <v>963</v>
      </c>
      <c r="BC3">
        <v>2026</v>
      </c>
      <c r="BD3">
        <v>10</v>
      </c>
      <c r="BE3">
        <v>1</v>
      </c>
      <c r="BF3" s="6">
        <f t="shared" si="0"/>
        <v>46296</v>
      </c>
      <c r="BG3">
        <f t="shared" si="1"/>
        <v>-2.4583333333357587</v>
      </c>
      <c r="BH3" t="str">
        <f t="shared" si="2"/>
        <v>COMPLY</v>
      </c>
      <c r="BI3" t="str">
        <f>VLOOKUP(H3,Sheet2!$A$1:$B$270,2,FALSE)</f>
        <v>SELONG</v>
      </c>
    </row>
    <row r="4" spans="1:61" hidden="1">
      <c r="A4">
        <v>3</v>
      </c>
      <c r="B4">
        <v>1002617999</v>
      </c>
      <c r="C4">
        <v>3</v>
      </c>
      <c r="D4" t="s">
        <v>45</v>
      </c>
      <c r="E4">
        <v>5</v>
      </c>
      <c r="F4" t="s">
        <v>210</v>
      </c>
      <c r="G4" t="s">
        <v>116</v>
      </c>
      <c r="H4" t="s">
        <v>356</v>
      </c>
      <c r="I4" t="s">
        <v>212</v>
      </c>
      <c r="J4" t="s">
        <v>213</v>
      </c>
      <c r="K4" t="s">
        <v>149</v>
      </c>
      <c r="L4" t="s">
        <v>214</v>
      </c>
      <c r="M4" t="s">
        <v>238</v>
      </c>
      <c r="N4" t="s">
        <v>215</v>
      </c>
      <c r="O4" s="57">
        <v>46296.584490740737</v>
      </c>
      <c r="P4" s="57">
        <v>46296.586192129631</v>
      </c>
      <c r="Q4">
        <v>69402420</v>
      </c>
      <c r="S4">
        <v>172619203547</v>
      </c>
      <c r="T4" t="s">
        <v>964</v>
      </c>
      <c r="U4" t="s">
        <v>932</v>
      </c>
      <c r="V4" t="s">
        <v>965</v>
      </c>
      <c r="Z4">
        <v>116.508950963616</v>
      </c>
      <c r="AA4">
        <v>-8.7742104745551899</v>
      </c>
      <c r="AB4" t="s">
        <v>966</v>
      </c>
      <c r="AC4" t="s">
        <v>216</v>
      </c>
      <c r="AL4" t="s">
        <v>217</v>
      </c>
      <c r="AM4" t="s">
        <v>967</v>
      </c>
      <c r="AN4" t="s">
        <v>6</v>
      </c>
      <c r="AO4" s="57">
        <v>46032.590474537035</v>
      </c>
      <c r="AP4" s="57">
        <v>46298.458333333336</v>
      </c>
      <c r="AR4" t="s">
        <v>239</v>
      </c>
      <c r="AS4" t="s">
        <v>827</v>
      </c>
      <c r="AT4" t="s">
        <v>230</v>
      </c>
      <c r="AV4" t="s">
        <v>238</v>
      </c>
      <c r="AW4" t="s">
        <v>933</v>
      </c>
      <c r="AX4" t="s">
        <v>222</v>
      </c>
      <c r="BA4" s="57">
        <v>46298.458333333336</v>
      </c>
      <c r="BB4" t="s">
        <v>967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SELONG</v>
      </c>
    </row>
    <row r="5" spans="1:61" hidden="1">
      <c r="A5">
        <v>4</v>
      </c>
      <c r="B5">
        <v>1002618749</v>
      </c>
      <c r="C5">
        <v>3</v>
      </c>
      <c r="D5" t="s">
        <v>45</v>
      </c>
      <c r="E5">
        <v>5</v>
      </c>
      <c r="F5" t="s">
        <v>210</v>
      </c>
      <c r="G5" t="s">
        <v>116</v>
      </c>
      <c r="H5" t="s">
        <v>267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46296.73773148148</v>
      </c>
      <c r="P5" s="57">
        <v>46297.46565972222</v>
      </c>
      <c r="Q5">
        <v>69399006</v>
      </c>
      <c r="S5">
        <v>172604214410</v>
      </c>
      <c r="T5" t="s">
        <v>915</v>
      </c>
      <c r="U5" t="s">
        <v>968</v>
      </c>
      <c r="V5" t="s">
        <v>969</v>
      </c>
      <c r="Z5">
        <v>116.284406241482</v>
      </c>
      <c r="AA5">
        <v>-8.2657515630690597</v>
      </c>
      <c r="AB5" t="s">
        <v>916</v>
      </c>
      <c r="AC5" t="s">
        <v>216</v>
      </c>
      <c r="AL5" t="s">
        <v>217</v>
      </c>
      <c r="AM5" t="s">
        <v>970</v>
      </c>
      <c r="AN5" t="s">
        <v>6</v>
      </c>
      <c r="AO5" s="57">
        <v>46032.746898148151</v>
      </c>
      <c r="AR5" t="s">
        <v>218</v>
      </c>
      <c r="AS5" t="s">
        <v>814</v>
      </c>
      <c r="AT5" t="s">
        <v>342</v>
      </c>
      <c r="AU5">
        <v>20261002</v>
      </c>
      <c r="AV5" t="s">
        <v>221</v>
      </c>
      <c r="AW5" t="s">
        <v>559</v>
      </c>
      <c r="AX5" t="s">
        <v>222</v>
      </c>
      <c r="BA5" s="57">
        <v>46296.291666666664</v>
      </c>
      <c r="BB5" t="s">
        <v>970</v>
      </c>
      <c r="BC5">
        <v>2026</v>
      </c>
      <c r="BD5">
        <v>10</v>
      </c>
      <c r="BE5">
        <v>2</v>
      </c>
      <c r="BF5" s="6">
        <f t="shared" si="0"/>
        <v>46297</v>
      </c>
      <c r="BG5">
        <f t="shared" si="1"/>
        <v>0.70833333333575865</v>
      </c>
      <c r="BH5" t="str">
        <f t="shared" si="2"/>
        <v>COMPLY</v>
      </c>
      <c r="BI5" t="str">
        <f>VLOOKUP(H5,Sheet2!$A$1:$B$270,2,FALSE)</f>
        <v>SELONG</v>
      </c>
    </row>
    <row r="6" spans="1:61" hidden="1">
      <c r="A6">
        <v>5</v>
      </c>
      <c r="B6">
        <v>1002618712</v>
      </c>
      <c r="C6">
        <v>3</v>
      </c>
      <c r="D6" t="s">
        <v>45</v>
      </c>
      <c r="E6">
        <v>5</v>
      </c>
      <c r="F6" t="s">
        <v>210</v>
      </c>
      <c r="G6" t="s">
        <v>110</v>
      </c>
      <c r="H6" t="s">
        <v>443</v>
      </c>
      <c r="I6" t="s">
        <v>212</v>
      </c>
      <c r="J6" t="s">
        <v>213</v>
      </c>
      <c r="K6" t="s">
        <v>149</v>
      </c>
      <c r="M6" t="s">
        <v>224</v>
      </c>
      <c r="N6" t="s">
        <v>215</v>
      </c>
      <c r="O6" s="57">
        <v>46296.722210648149</v>
      </c>
      <c r="P6" s="57">
        <v>46297.558194444442</v>
      </c>
      <c r="Q6">
        <v>69399079</v>
      </c>
      <c r="S6">
        <v>172610305882</v>
      </c>
      <c r="T6" t="s">
        <v>917</v>
      </c>
      <c r="U6" t="s">
        <v>908</v>
      </c>
      <c r="V6" t="s">
        <v>971</v>
      </c>
      <c r="Z6">
        <v>119.010786571083</v>
      </c>
      <c r="AA6">
        <v>-8.5810439764457396</v>
      </c>
      <c r="AB6" t="s">
        <v>918</v>
      </c>
      <c r="AC6" t="s">
        <v>216</v>
      </c>
      <c r="AL6" t="s">
        <v>217</v>
      </c>
      <c r="AM6" t="s">
        <v>972</v>
      </c>
      <c r="AN6" t="s">
        <v>6</v>
      </c>
      <c r="AO6" s="57">
        <v>46032.726099537038</v>
      </c>
      <c r="AR6" t="s">
        <v>18</v>
      </c>
      <c r="AS6" t="s">
        <v>815</v>
      </c>
      <c r="AT6" t="s">
        <v>342</v>
      </c>
      <c r="AV6" t="s">
        <v>226</v>
      </c>
      <c r="AW6" t="s">
        <v>540</v>
      </c>
      <c r="AX6" t="s">
        <v>222</v>
      </c>
      <c r="BA6" s="57">
        <v>46296.291666666664</v>
      </c>
      <c r="BB6" t="s">
        <v>972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BIMA</v>
      </c>
    </row>
    <row r="7" spans="1:61" hidden="1">
      <c r="A7">
        <v>6</v>
      </c>
      <c r="B7">
        <v>1002616820</v>
      </c>
      <c r="C7">
        <v>3</v>
      </c>
      <c r="D7" t="s">
        <v>45</v>
      </c>
      <c r="E7">
        <v>5</v>
      </c>
      <c r="F7" t="s">
        <v>210</v>
      </c>
      <c r="G7" t="s">
        <v>110</v>
      </c>
      <c r="H7" t="s">
        <v>467</v>
      </c>
      <c r="I7" t="s">
        <v>212</v>
      </c>
      <c r="J7" t="s">
        <v>213</v>
      </c>
      <c r="K7" t="s">
        <v>149</v>
      </c>
      <c r="L7" t="s">
        <v>214</v>
      </c>
      <c r="M7" t="s">
        <v>255</v>
      </c>
      <c r="N7" t="s">
        <v>215</v>
      </c>
      <c r="O7" s="57">
        <v>46296.30809027778</v>
      </c>
      <c r="P7" s="57">
        <v>46297.531469907408</v>
      </c>
      <c r="Q7">
        <v>69401995</v>
      </c>
      <c r="S7">
        <v>172617203143</v>
      </c>
      <c r="T7" t="s">
        <v>973</v>
      </c>
      <c r="U7" t="s">
        <v>974</v>
      </c>
      <c r="V7" t="s">
        <v>975</v>
      </c>
      <c r="Z7">
        <v>118.587181</v>
      </c>
      <c r="AA7">
        <v>-8.5123169999999995</v>
      </c>
      <c r="AB7" t="s">
        <v>976</v>
      </c>
      <c r="AC7" t="s">
        <v>235</v>
      </c>
      <c r="AL7" t="s">
        <v>217</v>
      </c>
      <c r="AM7" t="s">
        <v>977</v>
      </c>
      <c r="AN7" t="s">
        <v>6</v>
      </c>
      <c r="AO7" s="57">
        <v>46032.319768518515</v>
      </c>
      <c r="AP7" s="57">
        <v>46297.333333333336</v>
      </c>
      <c r="AR7" t="s">
        <v>256</v>
      </c>
      <c r="AS7" t="s">
        <v>815</v>
      </c>
      <c r="AT7" t="s">
        <v>220</v>
      </c>
      <c r="AV7" t="s">
        <v>257</v>
      </c>
      <c r="AW7" t="s">
        <v>876</v>
      </c>
      <c r="AX7" t="s">
        <v>222</v>
      </c>
      <c r="BA7" s="57">
        <v>46297.333333333336</v>
      </c>
      <c r="BB7" t="s">
        <v>977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BIMA</v>
      </c>
    </row>
    <row r="8" spans="1:61" hidden="1">
      <c r="A8">
        <v>7</v>
      </c>
      <c r="B8">
        <v>1002616833</v>
      </c>
      <c r="C8">
        <v>3</v>
      </c>
      <c r="D8" t="s">
        <v>45</v>
      </c>
      <c r="E8">
        <v>5</v>
      </c>
      <c r="F8" t="s">
        <v>210</v>
      </c>
      <c r="G8" t="s">
        <v>118</v>
      </c>
      <c r="H8" t="s">
        <v>211</v>
      </c>
      <c r="I8" t="s">
        <v>212</v>
      </c>
      <c r="J8" t="s">
        <v>213</v>
      </c>
      <c r="K8" t="s">
        <v>149</v>
      </c>
      <c r="L8" t="s">
        <v>214</v>
      </c>
      <c r="M8" t="s">
        <v>224</v>
      </c>
      <c r="N8" t="s">
        <v>215</v>
      </c>
      <c r="O8" s="57">
        <v>46296.328946759262</v>
      </c>
      <c r="P8" s="57">
        <v>46296.672118055554</v>
      </c>
      <c r="Q8">
        <v>69402001</v>
      </c>
      <c r="S8">
        <v>172606792351</v>
      </c>
      <c r="T8" t="s">
        <v>914</v>
      </c>
      <c r="U8" t="s">
        <v>978</v>
      </c>
      <c r="V8" t="s">
        <v>979</v>
      </c>
      <c r="Z8">
        <v>117.602678015828</v>
      </c>
      <c r="AA8">
        <v>-8.6273268453709395</v>
      </c>
      <c r="AB8" t="s">
        <v>980</v>
      </c>
      <c r="AC8" t="s">
        <v>216</v>
      </c>
      <c r="AL8" t="s">
        <v>217</v>
      </c>
      <c r="AM8" t="s">
        <v>981</v>
      </c>
      <c r="AN8" t="s">
        <v>6</v>
      </c>
      <c r="AO8" s="57">
        <v>46032.330370370371</v>
      </c>
      <c r="AP8" s="57">
        <v>46297.333333333336</v>
      </c>
      <c r="AR8" t="s">
        <v>18</v>
      </c>
      <c r="AS8" t="s">
        <v>219</v>
      </c>
      <c r="AT8" t="s">
        <v>342</v>
      </c>
      <c r="AV8" t="s">
        <v>226</v>
      </c>
      <c r="AW8" t="s">
        <v>982</v>
      </c>
      <c r="AX8" t="s">
        <v>222</v>
      </c>
      <c r="BA8" s="57">
        <v>46297.333333333336</v>
      </c>
      <c r="BB8" t="s">
        <v>981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SUMBAWA</v>
      </c>
    </row>
    <row r="9" spans="1:61" hidden="1">
      <c r="A9">
        <v>8</v>
      </c>
      <c r="B9">
        <v>1002617985</v>
      </c>
      <c r="C9">
        <v>3</v>
      </c>
      <c r="D9" t="s">
        <v>45</v>
      </c>
      <c r="E9">
        <v>5</v>
      </c>
      <c r="F9" t="s">
        <v>210</v>
      </c>
      <c r="G9" t="s">
        <v>118</v>
      </c>
      <c r="H9" t="s">
        <v>476</v>
      </c>
      <c r="I9" t="s">
        <v>212</v>
      </c>
      <c r="J9" t="s">
        <v>213</v>
      </c>
      <c r="K9" t="s">
        <v>149</v>
      </c>
      <c r="L9" t="s">
        <v>214</v>
      </c>
      <c r="M9" t="s">
        <v>224</v>
      </c>
      <c r="N9" t="s">
        <v>215</v>
      </c>
      <c r="O9" s="57">
        <v>46296.582407407404</v>
      </c>
      <c r="P9" s="57">
        <v>46297.557997685188</v>
      </c>
      <c r="Q9">
        <v>69402415</v>
      </c>
      <c r="S9">
        <v>172607203876</v>
      </c>
      <c r="T9" t="s">
        <v>983</v>
      </c>
      <c r="U9" t="s">
        <v>984</v>
      </c>
      <c r="V9" t="s">
        <v>985</v>
      </c>
      <c r="Z9">
        <v>116.84393909611801</v>
      </c>
      <c r="AA9">
        <v>-8.5645946796152597</v>
      </c>
      <c r="AB9" t="s">
        <v>986</v>
      </c>
      <c r="AC9" t="s">
        <v>235</v>
      </c>
      <c r="AL9" t="s">
        <v>217</v>
      </c>
      <c r="AM9" t="s">
        <v>987</v>
      </c>
      <c r="AN9" t="s">
        <v>6</v>
      </c>
      <c r="AO9" s="57">
        <v>46032.590474537035</v>
      </c>
      <c r="AP9" s="57">
        <v>46297.458333333336</v>
      </c>
      <c r="AR9" t="s">
        <v>18</v>
      </c>
      <c r="AS9" t="s">
        <v>813</v>
      </c>
      <c r="AT9" t="s">
        <v>230</v>
      </c>
      <c r="AV9" t="s">
        <v>226</v>
      </c>
      <c r="AW9" t="s">
        <v>933</v>
      </c>
      <c r="AX9" t="s">
        <v>222</v>
      </c>
      <c r="BA9" s="57">
        <v>46297.458333333336</v>
      </c>
      <c r="BB9" t="s">
        <v>987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SUMBAWA</v>
      </c>
    </row>
    <row r="10" spans="1:61" hidden="1">
      <c r="A10">
        <v>9</v>
      </c>
      <c r="B10">
        <v>1002618464</v>
      </c>
      <c r="C10">
        <v>3</v>
      </c>
      <c r="D10" t="s">
        <v>38</v>
      </c>
      <c r="E10">
        <v>5</v>
      </c>
      <c r="F10" t="s">
        <v>247</v>
      </c>
      <c r="G10" t="s">
        <v>91</v>
      </c>
      <c r="H10" t="s">
        <v>386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46296.661574074074</v>
      </c>
      <c r="P10" s="57">
        <v>46297.5468287037</v>
      </c>
      <c r="Q10">
        <v>69402562</v>
      </c>
      <c r="S10">
        <v>152703903703</v>
      </c>
      <c r="T10" t="s">
        <v>988</v>
      </c>
      <c r="U10" t="s">
        <v>989</v>
      </c>
      <c r="V10" t="s">
        <v>990</v>
      </c>
      <c r="Z10">
        <v>112.61766799999999</v>
      </c>
      <c r="AA10">
        <v>-7.9542149999999996</v>
      </c>
      <c r="AB10" t="s">
        <v>991</v>
      </c>
      <c r="AC10" t="s">
        <v>235</v>
      </c>
      <c r="AL10" t="s">
        <v>217</v>
      </c>
      <c r="AM10" t="s">
        <v>992</v>
      </c>
      <c r="AN10" t="s">
        <v>6</v>
      </c>
      <c r="AO10" s="57">
        <v>46032.694421296299</v>
      </c>
      <c r="AP10" s="57">
        <v>46297.625</v>
      </c>
      <c r="AR10" t="s">
        <v>218</v>
      </c>
      <c r="AS10" t="s">
        <v>549</v>
      </c>
      <c r="AT10" t="s">
        <v>230</v>
      </c>
      <c r="AU10">
        <v>20261002</v>
      </c>
      <c r="AV10" t="s">
        <v>221</v>
      </c>
      <c r="AW10" t="s">
        <v>881</v>
      </c>
      <c r="AX10" t="s">
        <v>222</v>
      </c>
      <c r="BA10" s="57">
        <v>46297.625</v>
      </c>
      <c r="BB10" t="s">
        <v>992</v>
      </c>
      <c r="BC10">
        <v>2026</v>
      </c>
      <c r="BD10">
        <v>10</v>
      </c>
      <c r="BE10">
        <v>2</v>
      </c>
      <c r="BF10" s="6">
        <f t="shared" si="0"/>
        <v>46297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MALANG</v>
      </c>
    </row>
    <row r="11" spans="1:61" hidden="1">
      <c r="A11">
        <v>10</v>
      </c>
      <c r="B11">
        <v>1002616858</v>
      </c>
      <c r="C11">
        <v>3</v>
      </c>
      <c r="D11" t="s">
        <v>38</v>
      </c>
      <c r="E11">
        <v>5</v>
      </c>
      <c r="F11" t="s">
        <v>247</v>
      </c>
      <c r="G11" t="s">
        <v>91</v>
      </c>
      <c r="H11" t="s">
        <v>386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46296.345613425925</v>
      </c>
      <c r="P11" s="57">
        <v>46296.652743055558</v>
      </c>
      <c r="Q11">
        <v>69402006</v>
      </c>
      <c r="S11">
        <v>152703256261</v>
      </c>
      <c r="T11" t="s">
        <v>993</v>
      </c>
      <c r="U11" t="s">
        <v>994</v>
      </c>
      <c r="V11" t="s">
        <v>995</v>
      </c>
      <c r="Z11">
        <v>112.583508686236</v>
      </c>
      <c r="AA11">
        <v>-7.9376766752176602</v>
      </c>
      <c r="AB11" t="s">
        <v>996</v>
      </c>
      <c r="AC11" t="s">
        <v>235</v>
      </c>
      <c r="AL11" t="s">
        <v>217</v>
      </c>
      <c r="AM11" t="s">
        <v>977</v>
      </c>
      <c r="AN11" t="s">
        <v>6</v>
      </c>
      <c r="AO11" s="57">
        <v>46032.351168981484</v>
      </c>
      <c r="AP11" s="57">
        <v>46297.333333333336</v>
      </c>
      <c r="AR11" t="s">
        <v>218</v>
      </c>
      <c r="AS11" t="s">
        <v>549</v>
      </c>
      <c r="AT11" t="s">
        <v>230</v>
      </c>
      <c r="AU11">
        <v>20261001</v>
      </c>
      <c r="AV11" t="s">
        <v>221</v>
      </c>
      <c r="AW11" t="s">
        <v>881</v>
      </c>
      <c r="AX11" t="s">
        <v>222</v>
      </c>
      <c r="BA11" s="57">
        <v>46297.333333333336</v>
      </c>
      <c r="BB11" t="s">
        <v>977</v>
      </c>
      <c r="BC11">
        <v>2026</v>
      </c>
      <c r="BD11">
        <v>10</v>
      </c>
      <c r="BE11">
        <v>1</v>
      </c>
      <c r="BF11" s="6">
        <f t="shared" si="0"/>
        <v>46296</v>
      </c>
      <c r="BG11">
        <f t="shared" si="1"/>
        <v>-1.3333333333357587</v>
      </c>
      <c r="BH11" t="str">
        <f t="shared" si="2"/>
        <v>COMPLY</v>
      </c>
      <c r="BI11" t="str">
        <f>VLOOKUP(H11,Sheet2!$A$1:$B$270,2,FALSE)</f>
        <v>MALANG</v>
      </c>
    </row>
    <row r="12" spans="1:61" hidden="1">
      <c r="A12">
        <v>11</v>
      </c>
      <c r="B12">
        <v>1002617199</v>
      </c>
      <c r="C12">
        <v>3</v>
      </c>
      <c r="D12" t="s">
        <v>38</v>
      </c>
      <c r="E12">
        <v>5</v>
      </c>
      <c r="F12" t="s">
        <v>247</v>
      </c>
      <c r="G12" t="s">
        <v>87</v>
      </c>
      <c r="H12" t="s">
        <v>423</v>
      </c>
      <c r="I12" t="s">
        <v>212</v>
      </c>
      <c r="J12" t="s">
        <v>213</v>
      </c>
      <c r="K12" t="s">
        <v>149</v>
      </c>
      <c r="M12" t="s">
        <v>76</v>
      </c>
      <c r="N12" t="s">
        <v>215</v>
      </c>
      <c r="O12" s="57">
        <v>46296.412326388891</v>
      </c>
      <c r="P12" s="57">
        <v>46296.629166666666</v>
      </c>
      <c r="Q12">
        <v>69402128</v>
      </c>
      <c r="S12">
        <v>152717206397</v>
      </c>
      <c r="T12" t="s">
        <v>997</v>
      </c>
      <c r="U12" t="s">
        <v>998</v>
      </c>
      <c r="V12" t="s">
        <v>999</v>
      </c>
      <c r="Z12">
        <v>112.7620486</v>
      </c>
      <c r="AA12">
        <v>-8.0064463999999997</v>
      </c>
      <c r="AB12" t="s">
        <v>1000</v>
      </c>
      <c r="AC12" t="s">
        <v>283</v>
      </c>
      <c r="AL12" t="s">
        <v>217</v>
      </c>
      <c r="AM12" t="s">
        <v>1001</v>
      </c>
      <c r="AN12" t="s">
        <v>6</v>
      </c>
      <c r="AO12" s="57">
        <v>46032.413738425923</v>
      </c>
      <c r="AP12" s="57">
        <v>46297.333333333336</v>
      </c>
      <c r="AR12" t="s">
        <v>218</v>
      </c>
      <c r="AS12" t="s">
        <v>566</v>
      </c>
      <c r="AT12" t="s">
        <v>230</v>
      </c>
      <c r="AU12">
        <v>20261001</v>
      </c>
      <c r="AV12" t="s">
        <v>221</v>
      </c>
      <c r="AW12" t="s">
        <v>540</v>
      </c>
      <c r="AX12" t="s">
        <v>222</v>
      </c>
      <c r="BA12" s="57">
        <v>46297.333333333336</v>
      </c>
      <c r="BB12" t="s">
        <v>1001</v>
      </c>
      <c r="BC12">
        <v>2026</v>
      </c>
      <c r="BD12">
        <v>10</v>
      </c>
      <c r="BE12">
        <v>1</v>
      </c>
      <c r="BF12" s="6">
        <f t="shared" si="0"/>
        <v>46296</v>
      </c>
      <c r="BG12">
        <f t="shared" si="1"/>
        <v>-1.3333333333357587</v>
      </c>
      <c r="BH12" t="str">
        <f t="shared" si="2"/>
        <v>COMPLY</v>
      </c>
      <c r="BI12" t="str">
        <f>VLOOKUP(H12,Sheet2!$A$1:$B$270,2,FALSE)</f>
        <v>BATU</v>
      </c>
    </row>
    <row r="13" spans="1:61" hidden="1">
      <c r="A13">
        <v>12</v>
      </c>
      <c r="B13">
        <v>1002618310</v>
      </c>
      <c r="C13">
        <v>3</v>
      </c>
      <c r="D13" t="s">
        <v>38</v>
      </c>
      <c r="E13">
        <v>5</v>
      </c>
      <c r="F13" t="s">
        <v>247</v>
      </c>
      <c r="G13" t="s">
        <v>87</v>
      </c>
      <c r="H13" t="s">
        <v>248</v>
      </c>
      <c r="I13" t="s">
        <v>212</v>
      </c>
      <c r="J13" t="s">
        <v>213</v>
      </c>
      <c r="K13" t="s">
        <v>149</v>
      </c>
      <c r="M13" t="s">
        <v>76</v>
      </c>
      <c r="N13" t="s">
        <v>215</v>
      </c>
      <c r="O13" s="57">
        <v>46296.640486111108</v>
      </c>
      <c r="P13" s="57">
        <v>46296.736701388887</v>
      </c>
      <c r="Q13">
        <v>69399650</v>
      </c>
      <c r="S13">
        <v>152702232862</v>
      </c>
      <c r="T13" t="s">
        <v>924</v>
      </c>
      <c r="U13" t="s">
        <v>1002</v>
      </c>
      <c r="V13" t="s">
        <v>1003</v>
      </c>
      <c r="Z13">
        <v>112.6462487</v>
      </c>
      <c r="AA13">
        <v>-7.9537868999999999</v>
      </c>
      <c r="AB13" t="s">
        <v>925</v>
      </c>
      <c r="AC13" t="s">
        <v>229</v>
      </c>
      <c r="AL13" t="s">
        <v>217</v>
      </c>
      <c r="AM13" t="s">
        <v>1004</v>
      </c>
      <c r="AN13" t="s">
        <v>6</v>
      </c>
      <c r="AO13" s="57">
        <v>46032.642337962963</v>
      </c>
      <c r="AR13" t="s">
        <v>218</v>
      </c>
      <c r="AS13" t="s">
        <v>850</v>
      </c>
      <c r="AT13" t="s">
        <v>230</v>
      </c>
      <c r="AU13">
        <v>20261001</v>
      </c>
      <c r="AV13" t="s">
        <v>221</v>
      </c>
      <c r="AW13" t="s">
        <v>541</v>
      </c>
      <c r="AX13" t="s">
        <v>222</v>
      </c>
      <c r="BA13" s="57">
        <v>46296.291666666664</v>
      </c>
      <c r="BB13" t="s">
        <v>1004</v>
      </c>
      <c r="BC13">
        <v>2026</v>
      </c>
      <c r="BD13">
        <v>10</v>
      </c>
      <c r="BE13">
        <v>1</v>
      </c>
      <c r="BF13" s="6">
        <f t="shared" si="0"/>
        <v>46296</v>
      </c>
      <c r="BG13">
        <f t="shared" si="1"/>
        <v>-0.29166666666424135</v>
      </c>
      <c r="BH13" t="str">
        <f t="shared" si="2"/>
        <v>COMPLY</v>
      </c>
      <c r="BI13" t="str">
        <f>VLOOKUP(H13,Sheet2!$A$1:$B$270,2,FALSE)</f>
        <v>BATU</v>
      </c>
    </row>
    <row r="14" spans="1:61" hidden="1">
      <c r="A14">
        <v>13</v>
      </c>
      <c r="B14">
        <v>1002618740</v>
      </c>
      <c r="C14">
        <v>3</v>
      </c>
      <c r="D14" t="s">
        <v>38</v>
      </c>
      <c r="E14">
        <v>5</v>
      </c>
      <c r="F14" t="s">
        <v>90</v>
      </c>
      <c r="G14" t="s">
        <v>88</v>
      </c>
      <c r="H14" t="s">
        <v>453</v>
      </c>
      <c r="I14" t="s">
        <v>212</v>
      </c>
      <c r="J14" t="s">
        <v>213</v>
      </c>
      <c r="K14" t="s">
        <v>149</v>
      </c>
      <c r="L14" t="s">
        <v>214</v>
      </c>
      <c r="M14" t="s">
        <v>255</v>
      </c>
      <c r="N14" t="s">
        <v>215</v>
      </c>
      <c r="O14" s="57">
        <v>46296.732349537036</v>
      </c>
      <c r="P14" s="57">
        <v>46297.514513888891</v>
      </c>
      <c r="Q14">
        <v>69402633</v>
      </c>
      <c r="S14">
        <v>152737202990</v>
      </c>
      <c r="T14" t="s">
        <v>1005</v>
      </c>
      <c r="U14" t="s">
        <v>1006</v>
      </c>
      <c r="V14" t="s">
        <v>1007</v>
      </c>
      <c r="Z14">
        <v>112.282687</v>
      </c>
      <c r="AA14">
        <v>-8.1238980000000005</v>
      </c>
      <c r="AB14" t="s">
        <v>1008</v>
      </c>
      <c r="AC14" t="s">
        <v>235</v>
      </c>
      <c r="AL14" t="s">
        <v>217</v>
      </c>
      <c r="AM14" t="s">
        <v>1009</v>
      </c>
      <c r="AN14" t="s">
        <v>6</v>
      </c>
      <c r="AO14" s="57">
        <v>46032.736354166664</v>
      </c>
      <c r="AP14" s="57">
        <v>46297.625</v>
      </c>
      <c r="AR14" t="s">
        <v>256</v>
      </c>
      <c r="AS14" t="s">
        <v>550</v>
      </c>
      <c r="AT14" t="s">
        <v>342</v>
      </c>
      <c r="AV14" t="s">
        <v>257</v>
      </c>
      <c r="AW14" t="s">
        <v>909</v>
      </c>
      <c r="AX14" t="s">
        <v>222</v>
      </c>
      <c r="BA14" s="57">
        <v>46297.625</v>
      </c>
      <c r="BB14" t="s">
        <v>1009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BLITAR</v>
      </c>
    </row>
    <row r="15" spans="1:61" hidden="1">
      <c r="A15">
        <v>14</v>
      </c>
      <c r="B15">
        <v>1002617286</v>
      </c>
      <c r="C15">
        <v>3</v>
      </c>
      <c r="D15" t="s">
        <v>38</v>
      </c>
      <c r="E15">
        <v>5</v>
      </c>
      <c r="F15" t="s">
        <v>90</v>
      </c>
      <c r="G15" t="s">
        <v>98</v>
      </c>
      <c r="H15" t="s">
        <v>294</v>
      </c>
      <c r="I15" t="s">
        <v>212</v>
      </c>
      <c r="J15" t="s">
        <v>213</v>
      </c>
      <c r="K15" t="s">
        <v>149</v>
      </c>
      <c r="L15" t="s">
        <v>214</v>
      </c>
      <c r="M15" t="s">
        <v>279</v>
      </c>
      <c r="N15" t="s">
        <v>215</v>
      </c>
      <c r="O15" s="57">
        <v>46296.426168981481</v>
      </c>
      <c r="P15" s="57">
        <v>46296.457627314812</v>
      </c>
      <c r="Q15">
        <v>69402140</v>
      </c>
      <c r="S15">
        <v>152606246682</v>
      </c>
      <c r="T15" t="s">
        <v>1010</v>
      </c>
      <c r="U15" t="s">
        <v>941</v>
      </c>
      <c r="V15" t="s">
        <v>1011</v>
      </c>
      <c r="Z15">
        <v>111.90527480095599</v>
      </c>
      <c r="AA15">
        <v>-8.0650980588810999</v>
      </c>
      <c r="AB15" t="s">
        <v>1012</v>
      </c>
      <c r="AC15" t="s">
        <v>216</v>
      </c>
      <c r="AL15" t="s">
        <v>217</v>
      </c>
      <c r="AM15" t="s">
        <v>1013</v>
      </c>
      <c r="AN15" t="s">
        <v>6</v>
      </c>
      <c r="AO15" s="57">
        <v>46032.434247685182</v>
      </c>
      <c r="AP15" s="57">
        <v>46297.333333333336</v>
      </c>
      <c r="AR15" t="s">
        <v>239</v>
      </c>
      <c r="AS15" t="s">
        <v>98</v>
      </c>
      <c r="AT15" t="s">
        <v>220</v>
      </c>
      <c r="AV15" t="s">
        <v>1014</v>
      </c>
      <c r="AW15" t="s">
        <v>874</v>
      </c>
      <c r="AX15" t="s">
        <v>222</v>
      </c>
      <c r="BA15" s="57">
        <v>46297.333333333336</v>
      </c>
      <c r="BB15" t="s">
        <v>1013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BLITAR</v>
      </c>
    </row>
    <row r="16" spans="1:61" hidden="1">
      <c r="A16">
        <v>15</v>
      </c>
      <c r="B16">
        <v>1002617592</v>
      </c>
      <c r="C16">
        <v>3</v>
      </c>
      <c r="D16" t="s">
        <v>59</v>
      </c>
      <c r="E16">
        <v>4</v>
      </c>
      <c r="F16" t="s">
        <v>241</v>
      </c>
      <c r="G16" t="s">
        <v>241</v>
      </c>
      <c r="H16" t="s">
        <v>287</v>
      </c>
      <c r="I16" t="s">
        <v>212</v>
      </c>
      <c r="J16" t="s">
        <v>213</v>
      </c>
      <c r="K16" t="s">
        <v>149</v>
      </c>
      <c r="L16" t="s">
        <v>214</v>
      </c>
      <c r="M16" t="s">
        <v>238</v>
      </c>
      <c r="N16" t="s">
        <v>215</v>
      </c>
      <c r="O16" s="57">
        <v>46296.476782407408</v>
      </c>
      <c r="P16" s="57">
        <v>46296.477858796294</v>
      </c>
      <c r="Q16">
        <v>69402247</v>
      </c>
      <c r="S16">
        <v>146137148301</v>
      </c>
      <c r="T16" t="s">
        <v>1015</v>
      </c>
      <c r="U16" t="s">
        <v>1016</v>
      </c>
      <c r="V16" t="s">
        <v>1017</v>
      </c>
      <c r="Z16">
        <v>110.25965598392</v>
      </c>
      <c r="AA16">
        <v>-7.3734311367481498</v>
      </c>
      <c r="AB16" t="s">
        <v>1018</v>
      </c>
      <c r="AC16" t="s">
        <v>235</v>
      </c>
      <c r="AL16" t="s">
        <v>217</v>
      </c>
      <c r="AM16" t="s">
        <v>1019</v>
      </c>
      <c r="AN16" t="s">
        <v>6</v>
      </c>
      <c r="AO16" s="57">
        <v>46032.486342592594</v>
      </c>
      <c r="AP16" s="57">
        <v>46298.625</v>
      </c>
      <c r="AR16" t="s">
        <v>239</v>
      </c>
      <c r="AS16" t="s">
        <v>219</v>
      </c>
      <c r="AT16" t="s">
        <v>230</v>
      </c>
      <c r="AV16" t="s">
        <v>238</v>
      </c>
      <c r="AW16" t="s">
        <v>880</v>
      </c>
      <c r="AX16" t="s">
        <v>222</v>
      </c>
      <c r="BA16" s="57">
        <v>46298.625</v>
      </c>
      <c r="BB16" t="s">
        <v>1019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e">
        <f>VLOOKUP(H16,Sheet2!$A$1:$B$270,2,FALSE)</f>
        <v>#N/A</v>
      </c>
    </row>
    <row r="17" spans="1:61" hidden="1">
      <c r="A17">
        <v>16</v>
      </c>
      <c r="B17">
        <v>1002618470</v>
      </c>
      <c r="C17">
        <v>3</v>
      </c>
      <c r="D17" t="s">
        <v>38</v>
      </c>
      <c r="E17">
        <v>5</v>
      </c>
      <c r="F17" t="s">
        <v>90</v>
      </c>
      <c r="G17" t="s">
        <v>90</v>
      </c>
      <c r="H17" t="s">
        <v>344</v>
      </c>
      <c r="I17" t="s">
        <v>212</v>
      </c>
      <c r="J17" t="s">
        <v>213</v>
      </c>
      <c r="K17" t="s">
        <v>149</v>
      </c>
      <c r="L17" t="s">
        <v>214</v>
      </c>
      <c r="M17" t="s">
        <v>238</v>
      </c>
      <c r="N17" t="s">
        <v>215</v>
      </c>
      <c r="O17" s="57">
        <v>46296.663645833331</v>
      </c>
      <c r="P17" s="57">
        <v>46296.665347222224</v>
      </c>
      <c r="Q17">
        <v>69402566</v>
      </c>
      <c r="S17">
        <v>152639219602</v>
      </c>
      <c r="T17" t="s">
        <v>1020</v>
      </c>
      <c r="U17" t="s">
        <v>1021</v>
      </c>
      <c r="V17" t="s">
        <v>1022</v>
      </c>
      <c r="Z17">
        <v>112.193374894559</v>
      </c>
      <c r="AA17">
        <v>-7.7675328725875801</v>
      </c>
      <c r="AB17" t="s">
        <v>1023</v>
      </c>
      <c r="AC17" t="s">
        <v>216</v>
      </c>
      <c r="AL17" t="s">
        <v>217</v>
      </c>
      <c r="AM17" t="s">
        <v>1024</v>
      </c>
      <c r="AN17" t="s">
        <v>6</v>
      </c>
      <c r="AO17" s="57">
        <v>46032.694421296299</v>
      </c>
      <c r="AP17" s="57">
        <v>46297.625</v>
      </c>
      <c r="AR17" t="s">
        <v>239</v>
      </c>
      <c r="AS17" t="s">
        <v>303</v>
      </c>
      <c r="AT17" t="s">
        <v>230</v>
      </c>
      <c r="AV17" t="s">
        <v>238</v>
      </c>
      <c r="AW17" t="s">
        <v>882</v>
      </c>
      <c r="AX17" t="s">
        <v>222</v>
      </c>
      <c r="BA17" s="57">
        <v>46297.625</v>
      </c>
      <c r="BB17" t="s">
        <v>1024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KEDIRI</v>
      </c>
    </row>
    <row r="18" spans="1:61" hidden="1">
      <c r="A18">
        <v>17</v>
      </c>
      <c r="B18">
        <v>1002617351</v>
      </c>
      <c r="C18">
        <v>3</v>
      </c>
      <c r="D18" t="s">
        <v>38</v>
      </c>
      <c r="E18">
        <v>5</v>
      </c>
      <c r="F18" t="s">
        <v>90</v>
      </c>
      <c r="G18" t="s">
        <v>90</v>
      </c>
      <c r="H18" t="s">
        <v>447</v>
      </c>
      <c r="I18" t="s">
        <v>212</v>
      </c>
      <c r="J18" t="s">
        <v>213</v>
      </c>
      <c r="K18" t="s">
        <v>149</v>
      </c>
      <c r="L18" t="s">
        <v>214</v>
      </c>
      <c r="M18" t="s">
        <v>898</v>
      </c>
      <c r="N18" t="s">
        <v>215</v>
      </c>
      <c r="O18" s="57">
        <v>46296.437268518515</v>
      </c>
      <c r="P18" s="57">
        <v>46297.485138888886</v>
      </c>
      <c r="Q18">
        <v>69402173</v>
      </c>
      <c r="S18">
        <v>152640226074</v>
      </c>
      <c r="T18" t="s">
        <v>1025</v>
      </c>
      <c r="U18" t="s">
        <v>1026</v>
      </c>
      <c r="V18" t="s">
        <v>1027</v>
      </c>
      <c r="Z18">
        <v>112.003439962863</v>
      </c>
      <c r="AA18">
        <v>-7.8105309457460201</v>
      </c>
      <c r="AB18" t="s">
        <v>1028</v>
      </c>
      <c r="AC18" t="s">
        <v>216</v>
      </c>
      <c r="AL18" t="s">
        <v>217</v>
      </c>
      <c r="AM18" t="s">
        <v>1029</v>
      </c>
      <c r="AN18" t="s">
        <v>6</v>
      </c>
      <c r="AO18" s="57">
        <v>46032.444687499999</v>
      </c>
      <c r="AP18" s="57">
        <v>46297.458333333336</v>
      </c>
      <c r="AR18" t="s">
        <v>889</v>
      </c>
      <c r="AS18" t="s">
        <v>548</v>
      </c>
      <c r="AT18" t="s">
        <v>230</v>
      </c>
      <c r="AV18" t="s">
        <v>899</v>
      </c>
      <c r="AW18" t="s">
        <v>888</v>
      </c>
      <c r="AX18" t="s">
        <v>222</v>
      </c>
      <c r="BA18" s="57">
        <v>46297.458333333336</v>
      </c>
      <c r="BB18" t="s">
        <v>1029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KEDIRI</v>
      </c>
    </row>
    <row r="19" spans="1:61" hidden="1">
      <c r="A19">
        <v>18</v>
      </c>
      <c r="B19">
        <v>1002617644</v>
      </c>
      <c r="C19">
        <v>3</v>
      </c>
      <c r="D19" t="s">
        <v>38</v>
      </c>
      <c r="E19">
        <v>5</v>
      </c>
      <c r="F19" t="s">
        <v>90</v>
      </c>
      <c r="G19" t="s">
        <v>90</v>
      </c>
      <c r="H19" t="s">
        <v>447</v>
      </c>
      <c r="I19" t="s">
        <v>212</v>
      </c>
      <c r="J19" t="s">
        <v>213</v>
      </c>
      <c r="K19" t="s">
        <v>149</v>
      </c>
      <c r="L19" t="s">
        <v>214</v>
      </c>
      <c r="M19" t="s">
        <v>76</v>
      </c>
      <c r="N19" t="s">
        <v>215</v>
      </c>
      <c r="O19" s="57">
        <v>46296.488587962966</v>
      </c>
      <c r="P19" s="57">
        <v>46296.727766203701</v>
      </c>
      <c r="Q19">
        <v>69402279</v>
      </c>
      <c r="S19">
        <v>152640226086</v>
      </c>
      <c r="T19" t="s">
        <v>1030</v>
      </c>
      <c r="U19" t="s">
        <v>1031</v>
      </c>
      <c r="V19" t="s">
        <v>1032</v>
      </c>
      <c r="Z19">
        <v>111.96737229999999</v>
      </c>
      <c r="AA19">
        <v>-7.7787601000000004</v>
      </c>
      <c r="AB19" t="s">
        <v>1033</v>
      </c>
      <c r="AC19" t="s">
        <v>235</v>
      </c>
      <c r="AL19" t="s">
        <v>217</v>
      </c>
      <c r="AM19" t="s">
        <v>1034</v>
      </c>
      <c r="AN19" t="s">
        <v>6</v>
      </c>
      <c r="AO19" s="57">
        <v>46032.517557870371</v>
      </c>
      <c r="AP19" s="57">
        <v>46297.333333333336</v>
      </c>
      <c r="AR19" t="s">
        <v>218</v>
      </c>
      <c r="AS19" t="s">
        <v>548</v>
      </c>
      <c r="AT19" t="s">
        <v>230</v>
      </c>
      <c r="AU19">
        <v>20261001</v>
      </c>
      <c r="AV19" t="s">
        <v>221</v>
      </c>
      <c r="AW19" t="s">
        <v>880</v>
      </c>
      <c r="AX19" t="s">
        <v>222</v>
      </c>
      <c r="BA19" s="57">
        <v>46297.333333333336</v>
      </c>
      <c r="BB19" t="s">
        <v>1034</v>
      </c>
      <c r="BC19">
        <v>2026</v>
      </c>
      <c r="BD19">
        <v>10</v>
      </c>
      <c r="BE19">
        <v>1</v>
      </c>
      <c r="BF19" s="6">
        <f t="shared" si="0"/>
        <v>46296</v>
      </c>
      <c r="BG19">
        <f t="shared" si="1"/>
        <v>-1.3333333333357587</v>
      </c>
      <c r="BH19" t="str">
        <f t="shared" si="2"/>
        <v>COMPLY</v>
      </c>
      <c r="BI19" t="str">
        <f>VLOOKUP(H19,Sheet2!$A$1:$B$270,2,FALSE)</f>
        <v>KEDIRI</v>
      </c>
    </row>
    <row r="20" spans="1:61" hidden="1">
      <c r="A20">
        <v>19</v>
      </c>
      <c r="B20">
        <v>1002618759</v>
      </c>
      <c r="C20">
        <v>3</v>
      </c>
      <c r="D20" t="s">
        <v>38</v>
      </c>
      <c r="E20">
        <v>5</v>
      </c>
      <c r="F20" t="s">
        <v>90</v>
      </c>
      <c r="G20" t="s">
        <v>90</v>
      </c>
      <c r="H20" t="s">
        <v>447</v>
      </c>
      <c r="I20" t="s">
        <v>212</v>
      </c>
      <c r="J20" t="s">
        <v>213</v>
      </c>
      <c r="K20" t="s">
        <v>149</v>
      </c>
      <c r="L20" t="s">
        <v>214</v>
      </c>
      <c r="M20" t="s">
        <v>238</v>
      </c>
      <c r="N20" t="s">
        <v>215</v>
      </c>
      <c r="O20" s="57">
        <v>46296.742754629631</v>
      </c>
      <c r="P20" s="57">
        <v>46296.744456018518</v>
      </c>
      <c r="Q20">
        <v>69402638</v>
      </c>
      <c r="S20">
        <v>152640226092</v>
      </c>
      <c r="T20" t="s">
        <v>900</v>
      </c>
      <c r="U20" t="s">
        <v>1035</v>
      </c>
      <c r="V20" t="s">
        <v>1036</v>
      </c>
      <c r="Z20">
        <v>111.953227</v>
      </c>
      <c r="AA20">
        <v>-7.7798449999999999</v>
      </c>
      <c r="AB20" t="s">
        <v>1037</v>
      </c>
      <c r="AC20" t="s">
        <v>235</v>
      </c>
      <c r="AL20" t="s">
        <v>217</v>
      </c>
      <c r="AM20" t="s">
        <v>1038</v>
      </c>
      <c r="AN20" t="s">
        <v>6</v>
      </c>
      <c r="AO20" s="57">
        <v>46032.746898148151</v>
      </c>
      <c r="AP20" s="57">
        <v>46297.625</v>
      </c>
      <c r="AR20" t="s">
        <v>239</v>
      </c>
      <c r="AS20" t="s">
        <v>548</v>
      </c>
      <c r="AT20" t="s">
        <v>230</v>
      </c>
      <c r="AV20" t="s">
        <v>238</v>
      </c>
      <c r="AW20" t="s">
        <v>884</v>
      </c>
      <c r="AX20" t="s">
        <v>222</v>
      </c>
      <c r="BA20" s="57">
        <v>46297.625</v>
      </c>
      <c r="BB20" t="s">
        <v>1038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KEDIRI</v>
      </c>
    </row>
    <row r="21" spans="1:61" hidden="1">
      <c r="A21">
        <v>20</v>
      </c>
      <c r="B21">
        <v>1002617598</v>
      </c>
      <c r="C21">
        <v>3</v>
      </c>
      <c r="D21" t="s">
        <v>38</v>
      </c>
      <c r="E21">
        <v>5</v>
      </c>
      <c r="F21" t="s">
        <v>92</v>
      </c>
      <c r="G21" t="s">
        <v>94</v>
      </c>
      <c r="H21" t="s">
        <v>426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46296.478229166663</v>
      </c>
      <c r="P21" s="57">
        <v>46296.650775462964</v>
      </c>
      <c r="Q21">
        <v>69402248</v>
      </c>
      <c r="S21">
        <v>152636207600</v>
      </c>
      <c r="T21" t="s">
        <v>1039</v>
      </c>
      <c r="U21" t="s">
        <v>1040</v>
      </c>
      <c r="V21" t="s">
        <v>1041</v>
      </c>
      <c r="Z21">
        <v>111.556056590195</v>
      </c>
      <c r="AA21">
        <v>-7.4355288236971404</v>
      </c>
      <c r="AB21" t="s">
        <v>1042</v>
      </c>
      <c r="AC21" t="s">
        <v>235</v>
      </c>
      <c r="AL21" t="s">
        <v>217</v>
      </c>
      <c r="AM21" t="s">
        <v>1043</v>
      </c>
      <c r="AN21" t="s">
        <v>6</v>
      </c>
      <c r="AO21" s="57">
        <v>46032.486342592594</v>
      </c>
      <c r="AP21" s="57">
        <v>46297.333333333336</v>
      </c>
      <c r="AR21" t="s">
        <v>218</v>
      </c>
      <c r="AS21" t="s">
        <v>219</v>
      </c>
      <c r="AT21" t="s">
        <v>230</v>
      </c>
      <c r="AU21">
        <v>20261001</v>
      </c>
      <c r="AV21" t="s">
        <v>221</v>
      </c>
      <c r="AW21" t="s">
        <v>884</v>
      </c>
      <c r="AX21" t="s">
        <v>222</v>
      </c>
      <c r="BA21" s="57">
        <v>46297.333333333336</v>
      </c>
      <c r="BB21" t="s">
        <v>1043</v>
      </c>
      <c r="BC21">
        <v>2026</v>
      </c>
      <c r="BD21">
        <v>10</v>
      </c>
      <c r="BE21">
        <v>1</v>
      </c>
      <c r="BF21" s="6">
        <f t="shared" si="0"/>
        <v>46296</v>
      </c>
      <c r="BG21">
        <f t="shared" si="1"/>
        <v>-1.3333333333357587</v>
      </c>
      <c r="BH21" t="str">
        <f t="shared" si="2"/>
        <v>COMPLY</v>
      </c>
      <c r="BI21" t="str">
        <f>VLOOKUP(H21,Sheet2!$A$1:$B$270,2,FALSE)</f>
        <v>MADIUN</v>
      </c>
    </row>
    <row r="22" spans="1:61" hidden="1">
      <c r="A22">
        <v>21</v>
      </c>
      <c r="B22">
        <v>1002618105</v>
      </c>
      <c r="C22">
        <v>3</v>
      </c>
      <c r="D22" t="s">
        <v>38</v>
      </c>
      <c r="E22">
        <v>5</v>
      </c>
      <c r="F22" t="s">
        <v>92</v>
      </c>
      <c r="G22" t="s">
        <v>95</v>
      </c>
      <c r="H22" t="s">
        <v>243</v>
      </c>
      <c r="I22" t="s">
        <v>212</v>
      </c>
      <c r="J22" t="s">
        <v>213</v>
      </c>
      <c r="K22" t="s">
        <v>149</v>
      </c>
      <c r="M22" t="s">
        <v>76</v>
      </c>
      <c r="N22" t="s">
        <v>215</v>
      </c>
      <c r="O22" s="57">
        <v>46296.603483796294</v>
      </c>
      <c r="P22" s="57">
        <v>46296.9221875</v>
      </c>
      <c r="Q22">
        <v>69401937</v>
      </c>
      <c r="S22">
        <v>152604231180</v>
      </c>
      <c r="T22" t="s">
        <v>943</v>
      </c>
      <c r="U22" t="s">
        <v>1044</v>
      </c>
      <c r="V22" t="s">
        <v>1045</v>
      </c>
      <c r="Z22">
        <v>111.510003</v>
      </c>
      <c r="AA22">
        <v>-7.9310419999999997</v>
      </c>
      <c r="AB22" t="s">
        <v>944</v>
      </c>
      <c r="AC22" t="s">
        <v>216</v>
      </c>
      <c r="AL22" t="s">
        <v>217</v>
      </c>
      <c r="AM22" t="s">
        <v>1046</v>
      </c>
      <c r="AN22" t="s">
        <v>6</v>
      </c>
      <c r="AO22" s="57">
        <v>46032.611296296294</v>
      </c>
      <c r="AR22" t="s">
        <v>218</v>
      </c>
      <c r="AS22" t="s">
        <v>857</v>
      </c>
      <c r="AT22" t="s">
        <v>230</v>
      </c>
      <c r="AU22">
        <v>20261001</v>
      </c>
      <c r="AV22" t="s">
        <v>221</v>
      </c>
      <c r="AW22" t="s">
        <v>540</v>
      </c>
      <c r="AX22" t="s">
        <v>222</v>
      </c>
      <c r="BA22" s="57">
        <v>46296.291666666664</v>
      </c>
      <c r="BB22" t="s">
        <v>1046</v>
      </c>
      <c r="BC22">
        <v>2026</v>
      </c>
      <c r="BD22">
        <v>10</v>
      </c>
      <c r="BE22">
        <v>1</v>
      </c>
      <c r="BF22" s="6">
        <f t="shared" si="0"/>
        <v>46296</v>
      </c>
      <c r="BG22">
        <f t="shared" si="1"/>
        <v>-0.29166666666424135</v>
      </c>
      <c r="BH22" t="str">
        <f t="shared" si="2"/>
        <v>COMPLY</v>
      </c>
      <c r="BI22" t="str">
        <f>VLOOKUP(H22,Sheet2!$A$1:$B$270,2,FALSE)</f>
        <v>PONOROGO</v>
      </c>
    </row>
    <row r="23" spans="1:61" hidden="1">
      <c r="A23">
        <v>22</v>
      </c>
      <c r="B23">
        <v>1002617775</v>
      </c>
      <c r="C23">
        <v>3</v>
      </c>
      <c r="D23" t="s">
        <v>59</v>
      </c>
      <c r="E23">
        <v>4</v>
      </c>
      <c r="F23" t="s">
        <v>544</v>
      </c>
      <c r="G23" t="s">
        <v>564</v>
      </c>
      <c r="H23" t="s">
        <v>804</v>
      </c>
      <c r="I23" t="s">
        <v>212</v>
      </c>
      <c r="J23" t="s">
        <v>213</v>
      </c>
      <c r="K23" t="s">
        <v>149</v>
      </c>
      <c r="M23" t="s">
        <v>76</v>
      </c>
      <c r="N23" t="s">
        <v>215</v>
      </c>
      <c r="O23" s="57">
        <v>46296.539918981478</v>
      </c>
      <c r="P23" s="57">
        <v>46296.659224537034</v>
      </c>
      <c r="Q23">
        <v>69400815</v>
      </c>
      <c r="S23">
        <v>143113104149</v>
      </c>
      <c r="T23" t="s">
        <v>896</v>
      </c>
      <c r="U23" t="s">
        <v>1047</v>
      </c>
      <c r="V23" t="s">
        <v>1048</v>
      </c>
      <c r="Z23">
        <v>110.3636611</v>
      </c>
      <c r="AA23">
        <v>-7.7659193999999996</v>
      </c>
      <c r="AB23" t="s">
        <v>897</v>
      </c>
      <c r="AC23" t="s">
        <v>567</v>
      </c>
      <c r="AL23" t="s">
        <v>217</v>
      </c>
      <c r="AM23" t="s">
        <v>1049</v>
      </c>
      <c r="AN23" t="s">
        <v>6</v>
      </c>
      <c r="AO23" s="57">
        <v>46032.559305555558</v>
      </c>
      <c r="AR23" t="s">
        <v>218</v>
      </c>
      <c r="AS23" t="s">
        <v>219</v>
      </c>
      <c r="AT23" t="s">
        <v>230</v>
      </c>
      <c r="AU23">
        <v>20261001</v>
      </c>
      <c r="AV23" t="s">
        <v>221</v>
      </c>
      <c r="AW23" t="s">
        <v>539</v>
      </c>
      <c r="AX23" t="s">
        <v>222</v>
      </c>
      <c r="BA23" s="57">
        <v>46296.291666666664</v>
      </c>
      <c r="BB23" t="s">
        <v>1049</v>
      </c>
      <c r="BC23">
        <v>2026</v>
      </c>
      <c r="BD23">
        <v>10</v>
      </c>
      <c r="BE23">
        <v>1</v>
      </c>
      <c r="BF23" s="6">
        <f t="shared" si="0"/>
        <v>46296</v>
      </c>
      <c r="BG23">
        <f t="shared" si="1"/>
        <v>-0.29166666666424135</v>
      </c>
      <c r="BH23" t="str">
        <f t="shared" si="2"/>
        <v>COMPLY</v>
      </c>
      <c r="BI23" t="e">
        <f>VLOOKUP(H23,Sheet2!$A$1:$B$270,2,FALSE)</f>
        <v>#N/A</v>
      </c>
    </row>
    <row r="24" spans="1:61" hidden="1">
      <c r="A24">
        <v>23</v>
      </c>
      <c r="B24">
        <v>1002618747</v>
      </c>
      <c r="C24">
        <v>3</v>
      </c>
      <c r="D24" t="s">
        <v>59</v>
      </c>
      <c r="E24">
        <v>4</v>
      </c>
      <c r="F24" t="s">
        <v>544</v>
      </c>
      <c r="G24" t="s">
        <v>798</v>
      </c>
      <c r="H24" t="s">
        <v>801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46296.735115740739</v>
      </c>
      <c r="P24" s="57">
        <v>46297.495671296296</v>
      </c>
      <c r="Q24">
        <v>69402653</v>
      </c>
      <c r="S24">
        <v>146129129175</v>
      </c>
      <c r="T24" t="s">
        <v>1050</v>
      </c>
      <c r="U24" t="s">
        <v>1051</v>
      </c>
      <c r="V24" t="s">
        <v>1052</v>
      </c>
      <c r="Z24">
        <v>110.388488</v>
      </c>
      <c r="AA24">
        <v>-7.8944103999999999</v>
      </c>
      <c r="AB24" t="s">
        <v>1053</v>
      </c>
      <c r="AC24" t="s">
        <v>235</v>
      </c>
      <c r="AL24" t="s">
        <v>217</v>
      </c>
      <c r="AM24" t="s">
        <v>1054</v>
      </c>
      <c r="AN24" t="s">
        <v>6</v>
      </c>
      <c r="AO24" s="57">
        <v>46032.736354166664</v>
      </c>
      <c r="AP24" s="57">
        <v>46298.333333333336</v>
      </c>
      <c r="AR24" t="s">
        <v>218</v>
      </c>
      <c r="AS24" t="s">
        <v>219</v>
      </c>
      <c r="AT24" t="s">
        <v>230</v>
      </c>
      <c r="AU24">
        <v>20261002</v>
      </c>
      <c r="AV24" t="s">
        <v>221</v>
      </c>
      <c r="AW24" t="s">
        <v>886</v>
      </c>
      <c r="AX24" t="s">
        <v>222</v>
      </c>
      <c r="BA24" s="57">
        <v>46298.333333333336</v>
      </c>
      <c r="BB24" t="s">
        <v>1054</v>
      </c>
      <c r="BC24">
        <v>2026</v>
      </c>
      <c r="BD24">
        <v>10</v>
      </c>
      <c r="BE24">
        <v>2</v>
      </c>
      <c r="BF24" s="6">
        <f t="shared" si="0"/>
        <v>46297</v>
      </c>
      <c r="BG24">
        <f t="shared" si="1"/>
        <v>-1.3333333333357587</v>
      </c>
      <c r="BH24" t="str">
        <f t="shared" si="2"/>
        <v>COMPLY</v>
      </c>
      <c r="BI24" t="e">
        <f>VLOOKUP(H24,Sheet2!$A$1:$B$270,2,FALSE)</f>
        <v>#N/A</v>
      </c>
    </row>
    <row r="25" spans="1:61" hidden="1">
      <c r="A25">
        <v>24</v>
      </c>
      <c r="B25">
        <v>1002617109</v>
      </c>
      <c r="C25">
        <v>3</v>
      </c>
      <c r="D25" t="s">
        <v>59</v>
      </c>
      <c r="E25">
        <v>4</v>
      </c>
      <c r="F25" t="s">
        <v>544</v>
      </c>
      <c r="G25" t="s">
        <v>825</v>
      </c>
      <c r="H25" t="s">
        <v>826</v>
      </c>
      <c r="I25" t="s">
        <v>212</v>
      </c>
      <c r="J25" t="s">
        <v>213</v>
      </c>
      <c r="K25" t="s">
        <v>149</v>
      </c>
      <c r="L25" t="s">
        <v>214</v>
      </c>
      <c r="M25" t="s">
        <v>255</v>
      </c>
      <c r="N25" t="s">
        <v>215</v>
      </c>
      <c r="O25" s="57">
        <v>46296.399062500001</v>
      </c>
      <c r="P25" s="57">
        <v>46297.553124999999</v>
      </c>
      <c r="Q25">
        <v>69402094</v>
      </c>
      <c r="S25">
        <v>146136130327</v>
      </c>
      <c r="T25" t="s">
        <v>1055</v>
      </c>
      <c r="U25" t="s">
        <v>1056</v>
      </c>
      <c r="V25" t="s">
        <v>1057</v>
      </c>
      <c r="Z25">
        <v>110.2913688</v>
      </c>
      <c r="AA25">
        <v>-7.7564986999999999</v>
      </c>
      <c r="AB25" t="s">
        <v>1058</v>
      </c>
      <c r="AC25" t="s">
        <v>235</v>
      </c>
      <c r="AL25" t="s">
        <v>217</v>
      </c>
      <c r="AM25" t="s">
        <v>1059</v>
      </c>
      <c r="AN25" t="s">
        <v>6</v>
      </c>
      <c r="AO25" s="57">
        <v>46032.413738425923</v>
      </c>
      <c r="AP25" s="57">
        <v>46297.333333333336</v>
      </c>
      <c r="AR25" t="s">
        <v>256</v>
      </c>
      <c r="AS25" t="s">
        <v>219</v>
      </c>
      <c r="AT25" t="s">
        <v>230</v>
      </c>
      <c r="AV25" t="s">
        <v>257</v>
      </c>
      <c r="AW25" t="s">
        <v>880</v>
      </c>
      <c r="AX25" t="s">
        <v>222</v>
      </c>
      <c r="BA25" s="57">
        <v>46297.333333333336</v>
      </c>
      <c r="BB25" t="s">
        <v>1059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e">
        <f>VLOOKUP(H25,Sheet2!$A$1:$B$270,2,FALSE)</f>
        <v>#N/A</v>
      </c>
    </row>
    <row r="26" spans="1:61" hidden="1">
      <c r="A26">
        <v>25</v>
      </c>
      <c r="B26">
        <v>1002617805</v>
      </c>
      <c r="C26">
        <v>3</v>
      </c>
      <c r="D26" t="s">
        <v>55</v>
      </c>
      <c r="E26">
        <v>5</v>
      </c>
      <c r="F26" t="s">
        <v>227</v>
      </c>
      <c r="G26" t="s">
        <v>127</v>
      </c>
      <c r="H26" t="s">
        <v>228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46296.549062500002</v>
      </c>
      <c r="P26" s="57">
        <v>46296.781111111108</v>
      </c>
      <c r="Q26">
        <v>69402337</v>
      </c>
      <c r="S26">
        <v>152426927954</v>
      </c>
      <c r="T26" t="s">
        <v>1060</v>
      </c>
      <c r="U26" t="s">
        <v>1061</v>
      </c>
      <c r="V26" t="s">
        <v>1062</v>
      </c>
      <c r="Z26">
        <v>113.49644410000001</v>
      </c>
      <c r="AA26">
        <v>-7.1762366000000002</v>
      </c>
      <c r="AB26" t="s">
        <v>1063</v>
      </c>
      <c r="AC26" t="s">
        <v>216</v>
      </c>
      <c r="AL26" t="s">
        <v>217</v>
      </c>
      <c r="AM26" t="s">
        <v>1064</v>
      </c>
      <c r="AN26" t="s">
        <v>6</v>
      </c>
      <c r="AO26" s="57">
        <v>46032.559305555558</v>
      </c>
      <c r="AP26" s="57">
        <v>46297.458333333336</v>
      </c>
      <c r="AR26" t="s">
        <v>218</v>
      </c>
      <c r="AS26" t="s">
        <v>127</v>
      </c>
      <c r="AT26" t="s">
        <v>220</v>
      </c>
      <c r="AU26">
        <v>20261001</v>
      </c>
      <c r="AV26" t="s">
        <v>221</v>
      </c>
      <c r="AW26" t="s">
        <v>879</v>
      </c>
      <c r="AX26" t="s">
        <v>222</v>
      </c>
      <c r="BA26" s="57">
        <v>46297.458333333336</v>
      </c>
      <c r="BB26" t="s">
        <v>1064</v>
      </c>
      <c r="BC26">
        <v>2026</v>
      </c>
      <c r="BD26">
        <v>10</v>
      </c>
      <c r="BE26">
        <v>1</v>
      </c>
      <c r="BF26" s="6">
        <f t="shared" si="0"/>
        <v>46296</v>
      </c>
      <c r="BG26">
        <f t="shared" si="1"/>
        <v>-1.4583333333357587</v>
      </c>
      <c r="BH26" t="str">
        <f t="shared" si="2"/>
        <v>COMPLY</v>
      </c>
      <c r="BI26" t="str">
        <f>VLOOKUP(H26,Sheet2!$A$1:$B$270,2,FALSE)</f>
        <v>MADURA</v>
      </c>
    </row>
    <row r="27" spans="1:61" hidden="1">
      <c r="A27">
        <v>26</v>
      </c>
      <c r="B27">
        <v>1002618796</v>
      </c>
      <c r="C27">
        <v>3</v>
      </c>
      <c r="D27" t="s">
        <v>55</v>
      </c>
      <c r="E27">
        <v>5</v>
      </c>
      <c r="F27" t="s">
        <v>227</v>
      </c>
      <c r="G27" t="s">
        <v>127</v>
      </c>
      <c r="H27" t="s">
        <v>228</v>
      </c>
      <c r="I27" t="s">
        <v>212</v>
      </c>
      <c r="J27" t="s">
        <v>213</v>
      </c>
      <c r="K27" t="s">
        <v>149</v>
      </c>
      <c r="L27" t="s">
        <v>214</v>
      </c>
      <c r="M27" t="s">
        <v>238</v>
      </c>
      <c r="N27" t="s">
        <v>215</v>
      </c>
      <c r="O27" s="57">
        <v>46296.77684027778</v>
      </c>
      <c r="P27" s="57">
        <v>46296.777789351851</v>
      </c>
      <c r="Q27">
        <v>69402671</v>
      </c>
      <c r="S27">
        <v>152426929004</v>
      </c>
      <c r="T27" t="s">
        <v>919</v>
      </c>
      <c r="U27" t="s">
        <v>1065</v>
      </c>
      <c r="V27" t="s">
        <v>1066</v>
      </c>
      <c r="Z27">
        <v>113.49806908518001</v>
      </c>
      <c r="AA27">
        <v>-7.2094180077046204</v>
      </c>
      <c r="AB27" t="s">
        <v>1067</v>
      </c>
      <c r="AC27" t="s">
        <v>216</v>
      </c>
      <c r="AL27" t="s">
        <v>217</v>
      </c>
      <c r="AM27" t="s">
        <v>1068</v>
      </c>
      <c r="AN27" t="s">
        <v>6</v>
      </c>
      <c r="AO27" s="57">
        <v>46032.777997685182</v>
      </c>
      <c r="AP27" s="57">
        <v>46297.625</v>
      </c>
      <c r="AR27" t="s">
        <v>239</v>
      </c>
      <c r="AS27" t="s">
        <v>127</v>
      </c>
      <c r="AT27" t="s">
        <v>220</v>
      </c>
      <c r="AV27" t="s">
        <v>238</v>
      </c>
      <c r="AW27" t="s">
        <v>835</v>
      </c>
      <c r="AX27" t="s">
        <v>222</v>
      </c>
      <c r="BA27" s="57">
        <v>46297.625</v>
      </c>
      <c r="BB27" t="s">
        <v>1068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MADURA</v>
      </c>
    </row>
    <row r="28" spans="1:61" hidden="1">
      <c r="A28">
        <v>27</v>
      </c>
      <c r="B28">
        <v>1002617619</v>
      </c>
      <c r="C28">
        <v>3</v>
      </c>
      <c r="D28" t="s">
        <v>55</v>
      </c>
      <c r="E28">
        <v>5</v>
      </c>
      <c r="F28" t="s">
        <v>227</v>
      </c>
      <c r="G28" t="s">
        <v>127</v>
      </c>
      <c r="H28" t="s">
        <v>354</v>
      </c>
      <c r="I28" t="s">
        <v>212</v>
      </c>
      <c r="J28" t="s">
        <v>213</v>
      </c>
      <c r="K28" t="s">
        <v>149</v>
      </c>
      <c r="M28" t="s">
        <v>279</v>
      </c>
      <c r="N28" t="s">
        <v>215</v>
      </c>
      <c r="O28" s="57">
        <v>46296.483969907407</v>
      </c>
      <c r="P28" s="57">
        <v>46297.406145833331</v>
      </c>
      <c r="Q28">
        <v>69402269</v>
      </c>
      <c r="S28">
        <v>152454200101</v>
      </c>
      <c r="T28" t="s">
        <v>1069</v>
      </c>
      <c r="U28" t="s">
        <v>1070</v>
      </c>
      <c r="V28" t="s">
        <v>1071</v>
      </c>
      <c r="Z28">
        <v>115.2862231</v>
      </c>
      <c r="AA28">
        <v>-6.8636872000000002</v>
      </c>
      <c r="AB28" t="s">
        <v>1072</v>
      </c>
      <c r="AC28" t="s">
        <v>229</v>
      </c>
      <c r="AL28" t="s">
        <v>217</v>
      </c>
      <c r="AM28" t="s">
        <v>1073</v>
      </c>
      <c r="AN28" t="s">
        <v>6</v>
      </c>
      <c r="AO28" s="57">
        <v>46032.486342592594</v>
      </c>
      <c r="AP28" s="57">
        <v>46297.458333333336</v>
      </c>
      <c r="AR28" t="s">
        <v>239</v>
      </c>
      <c r="AS28" t="s">
        <v>219</v>
      </c>
      <c r="AT28" t="s">
        <v>230</v>
      </c>
      <c r="AV28" t="s">
        <v>799</v>
      </c>
      <c r="AW28" t="s">
        <v>540</v>
      </c>
      <c r="AX28" t="s">
        <v>222</v>
      </c>
      <c r="BA28" s="57">
        <v>46297.458333333336</v>
      </c>
      <c r="BB28" t="s">
        <v>1073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MADURA</v>
      </c>
    </row>
    <row r="29" spans="1:61" hidden="1">
      <c r="A29">
        <v>28</v>
      </c>
      <c r="B29">
        <v>1002617733</v>
      </c>
      <c r="C29">
        <v>3</v>
      </c>
      <c r="D29" t="s">
        <v>55</v>
      </c>
      <c r="E29">
        <v>5</v>
      </c>
      <c r="F29" t="s">
        <v>260</v>
      </c>
      <c r="G29" t="s">
        <v>123</v>
      </c>
      <c r="H29" t="s">
        <v>286</v>
      </c>
      <c r="I29" t="s">
        <v>212</v>
      </c>
      <c r="J29" t="s">
        <v>213</v>
      </c>
      <c r="K29" t="s">
        <v>149</v>
      </c>
      <c r="L29" t="s">
        <v>214</v>
      </c>
      <c r="M29" t="s">
        <v>279</v>
      </c>
      <c r="N29" t="s">
        <v>215</v>
      </c>
      <c r="O29" s="57">
        <v>46296.521979166668</v>
      </c>
      <c r="P29" s="57">
        <v>46297.405428240738</v>
      </c>
      <c r="Q29">
        <v>69402300</v>
      </c>
      <c r="S29">
        <v>152401227868</v>
      </c>
      <c r="T29" t="s">
        <v>1074</v>
      </c>
      <c r="U29" t="s">
        <v>1075</v>
      </c>
      <c r="V29" t="s">
        <v>1076</v>
      </c>
      <c r="Z29">
        <v>112.702551</v>
      </c>
      <c r="AA29">
        <v>-7.229495</v>
      </c>
      <c r="AB29" t="s">
        <v>1077</v>
      </c>
      <c r="AC29" t="s">
        <v>235</v>
      </c>
      <c r="AL29" t="s">
        <v>217</v>
      </c>
      <c r="AM29" t="s">
        <v>1078</v>
      </c>
      <c r="AN29" t="s">
        <v>6</v>
      </c>
      <c r="AO29" s="57">
        <v>46032.559305555558</v>
      </c>
      <c r="AP29" s="57">
        <v>46297.458333333336</v>
      </c>
      <c r="AR29" t="s">
        <v>239</v>
      </c>
      <c r="AS29" t="s">
        <v>270</v>
      </c>
      <c r="AT29" t="s">
        <v>230</v>
      </c>
      <c r="AV29" t="s">
        <v>799</v>
      </c>
      <c r="AW29" t="s">
        <v>880</v>
      </c>
      <c r="AX29" t="s">
        <v>222</v>
      </c>
      <c r="BA29" s="57">
        <v>46297.458333333336</v>
      </c>
      <c r="BB29" t="s">
        <v>1078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SURABAYA UTARA</v>
      </c>
    </row>
    <row r="30" spans="1:61" hidden="1">
      <c r="A30">
        <v>29</v>
      </c>
      <c r="B30">
        <v>1002618449</v>
      </c>
      <c r="C30">
        <v>3</v>
      </c>
      <c r="D30" t="s">
        <v>55</v>
      </c>
      <c r="E30">
        <v>5</v>
      </c>
      <c r="F30" t="s">
        <v>260</v>
      </c>
      <c r="G30" t="s">
        <v>123</v>
      </c>
      <c r="H30" t="s">
        <v>286</v>
      </c>
      <c r="I30" t="s">
        <v>212</v>
      </c>
      <c r="J30" t="s">
        <v>213</v>
      </c>
      <c r="K30" t="s">
        <v>149</v>
      </c>
      <c r="L30" t="s">
        <v>214</v>
      </c>
      <c r="M30" t="s">
        <v>238</v>
      </c>
      <c r="N30" t="s">
        <v>215</v>
      </c>
      <c r="O30" s="57">
        <v>46296.660115740742</v>
      </c>
      <c r="P30" s="57">
        <v>46296.661122685182</v>
      </c>
      <c r="Q30">
        <v>69402539</v>
      </c>
      <c r="S30">
        <v>152401227873</v>
      </c>
      <c r="T30" t="s">
        <v>1079</v>
      </c>
      <c r="U30" t="s">
        <v>830</v>
      </c>
      <c r="V30" t="s">
        <v>1080</v>
      </c>
      <c r="Z30">
        <v>112.7438654</v>
      </c>
      <c r="AA30">
        <v>-7.2420342</v>
      </c>
      <c r="AB30" t="s">
        <v>1081</v>
      </c>
      <c r="AC30" t="s">
        <v>235</v>
      </c>
      <c r="AL30" t="s">
        <v>217</v>
      </c>
      <c r="AM30" t="s">
        <v>1082</v>
      </c>
      <c r="AN30" t="s">
        <v>6</v>
      </c>
      <c r="AO30" s="57">
        <v>46032.694421296299</v>
      </c>
      <c r="AP30" s="57">
        <v>46297.625</v>
      </c>
      <c r="AR30" t="s">
        <v>239</v>
      </c>
      <c r="AS30" t="s">
        <v>270</v>
      </c>
      <c r="AT30" t="s">
        <v>230</v>
      </c>
      <c r="AV30" t="s">
        <v>238</v>
      </c>
      <c r="AW30" t="s">
        <v>882</v>
      </c>
      <c r="AX30" t="s">
        <v>222</v>
      </c>
      <c r="BA30" s="57">
        <v>46297.625</v>
      </c>
      <c r="BB30" t="s">
        <v>1082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SURABAYA UTARA</v>
      </c>
    </row>
    <row r="31" spans="1:61" hidden="1">
      <c r="A31">
        <v>30</v>
      </c>
      <c r="B31">
        <v>1002618774</v>
      </c>
      <c r="C31">
        <v>3</v>
      </c>
      <c r="D31" t="s">
        <v>55</v>
      </c>
      <c r="E31">
        <v>5</v>
      </c>
      <c r="F31" t="s">
        <v>260</v>
      </c>
      <c r="G31" t="s">
        <v>123</v>
      </c>
      <c r="H31" t="s">
        <v>266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46296.751157407409</v>
      </c>
      <c r="P31" s="57">
        <v>46297.547523148147</v>
      </c>
      <c r="Q31">
        <v>69402640</v>
      </c>
      <c r="S31">
        <v>152407282544</v>
      </c>
      <c r="T31" t="s">
        <v>1083</v>
      </c>
      <c r="U31" t="s">
        <v>1084</v>
      </c>
      <c r="V31" t="s">
        <v>1085</v>
      </c>
      <c r="Z31">
        <v>112.7890769</v>
      </c>
      <c r="AA31">
        <v>-7.2549155000000001</v>
      </c>
      <c r="AB31" t="s">
        <v>1086</v>
      </c>
      <c r="AC31" t="s">
        <v>216</v>
      </c>
      <c r="AL31" t="s">
        <v>217</v>
      </c>
      <c r="AM31" t="s">
        <v>1087</v>
      </c>
      <c r="AN31" t="s">
        <v>6</v>
      </c>
      <c r="AO31" s="57">
        <v>46032.757141203707</v>
      </c>
      <c r="AP31" s="57">
        <v>46297.625</v>
      </c>
      <c r="AR31" t="s">
        <v>218</v>
      </c>
      <c r="AS31" t="s">
        <v>123</v>
      </c>
      <c r="AT31" t="s">
        <v>230</v>
      </c>
      <c r="AU31">
        <v>20261002</v>
      </c>
      <c r="AV31" t="s">
        <v>221</v>
      </c>
      <c r="AW31" t="s">
        <v>882</v>
      </c>
      <c r="AX31" t="s">
        <v>222</v>
      </c>
      <c r="BA31" s="57">
        <v>46297.625</v>
      </c>
      <c r="BB31" t="s">
        <v>1087</v>
      </c>
      <c r="BC31">
        <v>2026</v>
      </c>
      <c r="BD31">
        <v>10</v>
      </c>
      <c r="BE31">
        <v>2</v>
      </c>
      <c r="BF31" s="6">
        <f t="shared" si="0"/>
        <v>46297</v>
      </c>
      <c r="BG31">
        <f t="shared" si="1"/>
        <v>-0.625</v>
      </c>
      <c r="BH31" t="str">
        <f t="shared" si="2"/>
        <v>COMPLY</v>
      </c>
      <c r="BI31" t="str">
        <f>VLOOKUP(H31,Sheet2!$A$1:$B$270,2,FALSE)</f>
        <v>SURABAYA UTARA</v>
      </c>
    </row>
    <row r="32" spans="1:61" hidden="1">
      <c r="A32">
        <v>31</v>
      </c>
      <c r="B32">
        <v>1002617724</v>
      </c>
      <c r="C32">
        <v>3</v>
      </c>
      <c r="D32" t="s">
        <v>55</v>
      </c>
      <c r="E32">
        <v>5</v>
      </c>
      <c r="F32" t="s">
        <v>305</v>
      </c>
      <c r="G32" t="s">
        <v>124</v>
      </c>
      <c r="H32" t="s">
        <v>327</v>
      </c>
      <c r="I32" t="s">
        <v>212</v>
      </c>
      <c r="J32" t="s">
        <v>213</v>
      </c>
      <c r="K32" t="s">
        <v>149</v>
      </c>
      <c r="L32" t="s">
        <v>214</v>
      </c>
      <c r="M32" t="s">
        <v>76</v>
      </c>
      <c r="N32" t="s">
        <v>215</v>
      </c>
      <c r="O32" s="57">
        <v>46296.517824074072</v>
      </c>
      <c r="P32" s="57">
        <v>46296.739386574074</v>
      </c>
      <c r="Q32">
        <v>69402297</v>
      </c>
      <c r="S32">
        <v>152306253477</v>
      </c>
      <c r="T32" t="s">
        <v>1088</v>
      </c>
      <c r="U32" t="s">
        <v>1089</v>
      </c>
      <c r="V32" t="s">
        <v>1090</v>
      </c>
      <c r="Z32">
        <v>112.71421218835999</v>
      </c>
      <c r="AA32">
        <v>-7.3092286293536404</v>
      </c>
      <c r="AB32" t="s">
        <v>1091</v>
      </c>
      <c r="AC32" t="s">
        <v>854</v>
      </c>
      <c r="AL32" t="s">
        <v>217</v>
      </c>
      <c r="AM32" t="s">
        <v>1092</v>
      </c>
      <c r="AN32" t="s">
        <v>6</v>
      </c>
      <c r="AO32" s="57">
        <v>46032.559305555558</v>
      </c>
      <c r="AP32" s="57">
        <v>46297.458333333336</v>
      </c>
      <c r="AR32" t="s">
        <v>218</v>
      </c>
      <c r="AS32" t="s">
        <v>816</v>
      </c>
      <c r="AT32" t="s">
        <v>230</v>
      </c>
      <c r="AU32">
        <v>20261001</v>
      </c>
      <c r="AV32" t="s">
        <v>221</v>
      </c>
      <c r="AW32" t="s">
        <v>885</v>
      </c>
      <c r="AX32" t="s">
        <v>222</v>
      </c>
      <c r="BA32" s="57">
        <v>46297.458333333336</v>
      </c>
      <c r="BB32" t="s">
        <v>1092</v>
      </c>
      <c r="BC32">
        <v>2026</v>
      </c>
      <c r="BD32">
        <v>10</v>
      </c>
      <c r="BE32">
        <v>1</v>
      </c>
      <c r="BF32" s="6">
        <f t="shared" si="0"/>
        <v>46296</v>
      </c>
      <c r="BG32">
        <f t="shared" si="1"/>
        <v>-1.4583333333357587</v>
      </c>
      <c r="BH32" t="str">
        <f t="shared" si="2"/>
        <v>COMPLY</v>
      </c>
      <c r="BI32" t="str">
        <f>VLOOKUP(H32,Sheet2!$A$1:$B$270,2,FALSE)</f>
        <v>SURABAYA SELATAN</v>
      </c>
    </row>
    <row r="33" spans="1:61" hidden="1">
      <c r="A33">
        <v>32</v>
      </c>
      <c r="B33">
        <v>1002618255</v>
      </c>
      <c r="C33">
        <v>3</v>
      </c>
      <c r="D33" t="s">
        <v>55</v>
      </c>
      <c r="E33">
        <v>5</v>
      </c>
      <c r="F33" t="s">
        <v>305</v>
      </c>
      <c r="G33" t="s">
        <v>124</v>
      </c>
      <c r="H33" t="s">
        <v>327</v>
      </c>
      <c r="I33" t="s">
        <v>212</v>
      </c>
      <c r="J33" t="s">
        <v>213</v>
      </c>
      <c r="K33" t="s">
        <v>149</v>
      </c>
      <c r="M33" t="s">
        <v>238</v>
      </c>
      <c r="N33" t="s">
        <v>215</v>
      </c>
      <c r="O33" s="57">
        <v>46296.630937499998</v>
      </c>
      <c r="P33" s="57">
        <v>46296.716736111113</v>
      </c>
      <c r="Q33">
        <v>69402505</v>
      </c>
      <c r="S33">
        <v>152306253141</v>
      </c>
      <c r="T33" t="s">
        <v>1093</v>
      </c>
      <c r="U33" t="s">
        <v>1094</v>
      </c>
      <c r="V33" t="s">
        <v>1095</v>
      </c>
      <c r="Z33">
        <v>112.73451573690301</v>
      </c>
      <c r="AA33">
        <v>-7.3086894955617998</v>
      </c>
      <c r="AB33" t="s">
        <v>1096</v>
      </c>
      <c r="AC33" t="s">
        <v>284</v>
      </c>
      <c r="AL33" t="s">
        <v>217</v>
      </c>
      <c r="AM33" t="s">
        <v>1097</v>
      </c>
      <c r="AN33" t="s">
        <v>6</v>
      </c>
      <c r="AO33" s="57">
        <v>46032.632627314815</v>
      </c>
      <c r="AP33" s="57">
        <v>46297.625</v>
      </c>
      <c r="AR33" t="s">
        <v>239</v>
      </c>
      <c r="AS33" t="s">
        <v>816</v>
      </c>
      <c r="AT33" t="s">
        <v>230</v>
      </c>
      <c r="AV33" t="s">
        <v>238</v>
      </c>
      <c r="AW33" t="s">
        <v>864</v>
      </c>
      <c r="AX33" t="s">
        <v>222</v>
      </c>
      <c r="BA33" s="57">
        <v>46297.625</v>
      </c>
      <c r="BB33" t="s">
        <v>1097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SURABAYA SELATAN</v>
      </c>
    </row>
    <row r="34" spans="1:61" hidden="1">
      <c r="A34">
        <v>33</v>
      </c>
      <c r="B34">
        <v>1002617848</v>
      </c>
      <c r="C34">
        <v>3</v>
      </c>
      <c r="D34" t="s">
        <v>55</v>
      </c>
      <c r="E34">
        <v>5</v>
      </c>
      <c r="F34" t="s">
        <v>260</v>
      </c>
      <c r="G34" t="s">
        <v>128</v>
      </c>
      <c r="H34" t="s">
        <v>449</v>
      </c>
      <c r="I34" t="s">
        <v>212</v>
      </c>
      <c r="J34" t="s">
        <v>213</v>
      </c>
      <c r="K34" t="s">
        <v>149</v>
      </c>
      <c r="M34" t="s">
        <v>76</v>
      </c>
      <c r="N34" t="s">
        <v>563</v>
      </c>
      <c r="O34" s="57">
        <v>46296.561018518521</v>
      </c>
      <c r="P34" s="57">
        <v>46296.656342592592</v>
      </c>
      <c r="Q34">
        <v>69005969</v>
      </c>
      <c r="S34">
        <v>152415235112</v>
      </c>
      <c r="T34" t="s">
        <v>926</v>
      </c>
      <c r="U34" t="s">
        <v>1098</v>
      </c>
      <c r="V34" t="s">
        <v>1099</v>
      </c>
      <c r="Z34">
        <v>112.70686032241601</v>
      </c>
      <c r="AA34">
        <v>-7.33200050681699</v>
      </c>
      <c r="AB34" t="s">
        <v>945</v>
      </c>
      <c r="AC34" t="s">
        <v>225</v>
      </c>
      <c r="AL34" t="s">
        <v>217</v>
      </c>
      <c r="AM34" t="s">
        <v>927</v>
      </c>
      <c r="AN34" t="s">
        <v>6</v>
      </c>
      <c r="AO34" s="57">
        <v>46032.569884259261</v>
      </c>
      <c r="AR34" t="s">
        <v>218</v>
      </c>
      <c r="AS34" t="s">
        <v>578</v>
      </c>
      <c r="AT34" t="s">
        <v>230</v>
      </c>
      <c r="AU34">
        <v>20261001</v>
      </c>
      <c r="AV34" t="s">
        <v>221</v>
      </c>
      <c r="AW34" t="s">
        <v>953</v>
      </c>
      <c r="AX34" t="s">
        <v>222</v>
      </c>
      <c r="BA34" s="57">
        <v>46296.291666666664</v>
      </c>
      <c r="BB34" t="s">
        <v>927</v>
      </c>
      <c r="BC34">
        <v>2026</v>
      </c>
      <c r="BD34">
        <v>10</v>
      </c>
      <c r="BE34">
        <v>1</v>
      </c>
      <c r="BF34" s="6">
        <f t="shared" si="0"/>
        <v>46296</v>
      </c>
      <c r="BG34">
        <f t="shared" si="1"/>
        <v>-0.29166666666424135</v>
      </c>
      <c r="BH34" t="str">
        <f t="shared" si="2"/>
        <v>COMPLY</v>
      </c>
      <c r="BI34" t="str">
        <f>VLOOKUP(H34,Sheet2!$A$1:$B$270,2,FALSE)</f>
        <v>SURABAYA UTARA</v>
      </c>
    </row>
    <row r="35" spans="1:61" hidden="1">
      <c r="A35">
        <v>34</v>
      </c>
      <c r="B35">
        <v>1002618729</v>
      </c>
      <c r="C35">
        <v>3</v>
      </c>
      <c r="D35" t="s">
        <v>55</v>
      </c>
      <c r="E35">
        <v>5</v>
      </c>
      <c r="F35" t="s">
        <v>260</v>
      </c>
      <c r="G35" t="s">
        <v>126</v>
      </c>
      <c r="H35" t="s">
        <v>261</v>
      </c>
      <c r="I35" t="s">
        <v>212</v>
      </c>
      <c r="J35" t="s">
        <v>213</v>
      </c>
      <c r="K35" t="s">
        <v>149</v>
      </c>
      <c r="L35" t="s">
        <v>214</v>
      </c>
      <c r="M35" t="s">
        <v>255</v>
      </c>
      <c r="N35" t="s">
        <v>215</v>
      </c>
      <c r="O35" s="57">
        <v>46296.728171296294</v>
      </c>
      <c r="P35" s="57">
        <v>46297.554560185185</v>
      </c>
      <c r="Q35">
        <v>69402647</v>
      </c>
      <c r="S35">
        <v>152413167912</v>
      </c>
      <c r="T35" t="s">
        <v>1100</v>
      </c>
      <c r="U35" t="s">
        <v>920</v>
      </c>
      <c r="V35" t="s">
        <v>1101</v>
      </c>
      <c r="Z35">
        <v>112.7226948</v>
      </c>
      <c r="AA35">
        <v>-7.2545115999999998</v>
      </c>
      <c r="AB35" t="s">
        <v>1102</v>
      </c>
      <c r="AC35" t="s">
        <v>216</v>
      </c>
      <c r="AL35" t="s">
        <v>217</v>
      </c>
      <c r="AM35" t="s">
        <v>1103</v>
      </c>
      <c r="AN35" t="s">
        <v>6</v>
      </c>
      <c r="AO35" s="57">
        <v>46032.736354166664</v>
      </c>
      <c r="AP35" s="57">
        <v>46298.625</v>
      </c>
      <c r="AR35" t="s">
        <v>256</v>
      </c>
      <c r="AS35" t="s">
        <v>561</v>
      </c>
      <c r="AT35" t="s">
        <v>230</v>
      </c>
      <c r="AV35" t="s">
        <v>257</v>
      </c>
      <c r="AW35" t="s">
        <v>882</v>
      </c>
      <c r="AX35" t="s">
        <v>222</v>
      </c>
      <c r="BA35" s="57">
        <v>46298.625</v>
      </c>
      <c r="BB35" t="s">
        <v>1103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SURABAYA SELATAN</v>
      </c>
    </row>
    <row r="36" spans="1:61" hidden="1">
      <c r="A36">
        <v>35</v>
      </c>
      <c r="B36">
        <v>1002616819</v>
      </c>
      <c r="C36">
        <v>3</v>
      </c>
      <c r="D36" t="s">
        <v>55</v>
      </c>
      <c r="E36">
        <v>5</v>
      </c>
      <c r="F36" t="s">
        <v>260</v>
      </c>
      <c r="G36" t="s">
        <v>126</v>
      </c>
      <c r="H36" t="s">
        <v>261</v>
      </c>
      <c r="I36" t="s">
        <v>212</v>
      </c>
      <c r="J36" t="s">
        <v>213</v>
      </c>
      <c r="K36" t="s">
        <v>149</v>
      </c>
      <c r="L36" t="s">
        <v>214</v>
      </c>
      <c r="M36" t="s">
        <v>838</v>
      </c>
      <c r="N36" t="s">
        <v>215</v>
      </c>
      <c r="O36" s="57">
        <v>46296.303865740738</v>
      </c>
      <c r="P36" s="57">
        <v>46297.542627314811</v>
      </c>
      <c r="Q36">
        <v>69401978</v>
      </c>
      <c r="S36">
        <v>152413168350</v>
      </c>
      <c r="T36" t="s">
        <v>1104</v>
      </c>
      <c r="U36" t="s">
        <v>1105</v>
      </c>
      <c r="V36" t="s">
        <v>1106</v>
      </c>
      <c r="Z36">
        <v>112.7381486</v>
      </c>
      <c r="AA36">
        <v>-7.2487031999999996</v>
      </c>
      <c r="AB36" t="s">
        <v>1107</v>
      </c>
      <c r="AC36" t="s">
        <v>235</v>
      </c>
      <c r="AL36" t="s">
        <v>217</v>
      </c>
      <c r="AM36" t="s">
        <v>1108</v>
      </c>
      <c r="AN36" t="s">
        <v>6</v>
      </c>
      <c r="AO36" s="57">
        <v>46032.319768518515</v>
      </c>
      <c r="AP36" s="57">
        <v>46297.333333333336</v>
      </c>
      <c r="AQ36" t="s">
        <v>843</v>
      </c>
      <c r="AR36" t="s">
        <v>14</v>
      </c>
      <c r="AS36" t="s">
        <v>561</v>
      </c>
      <c r="AT36" t="s">
        <v>342</v>
      </c>
      <c r="AV36" t="s">
        <v>839</v>
      </c>
      <c r="AW36" t="s">
        <v>891</v>
      </c>
      <c r="AX36" t="s">
        <v>222</v>
      </c>
      <c r="BA36" s="57">
        <v>46297.333333333336</v>
      </c>
      <c r="BB36" t="s">
        <v>1108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SURABAYA SELATAN</v>
      </c>
    </row>
    <row r="37" spans="1:61" hidden="1">
      <c r="A37">
        <v>36</v>
      </c>
      <c r="B37">
        <v>1002618465</v>
      </c>
      <c r="C37">
        <v>3</v>
      </c>
      <c r="D37" t="s">
        <v>55</v>
      </c>
      <c r="E37">
        <v>5</v>
      </c>
      <c r="F37" t="s">
        <v>260</v>
      </c>
      <c r="G37" t="s">
        <v>126</v>
      </c>
      <c r="H37" t="s">
        <v>261</v>
      </c>
      <c r="I37" t="s">
        <v>212</v>
      </c>
      <c r="J37" t="s">
        <v>213</v>
      </c>
      <c r="K37" t="s">
        <v>149</v>
      </c>
      <c r="L37" t="s">
        <v>828</v>
      </c>
      <c r="M37" t="s">
        <v>238</v>
      </c>
      <c r="N37" t="s">
        <v>215</v>
      </c>
      <c r="O37" s="57">
        <v>46296.661574074074</v>
      </c>
      <c r="P37" s="57">
        <v>46296.662511574075</v>
      </c>
      <c r="Q37">
        <v>69402542</v>
      </c>
      <c r="R37">
        <v>3135979326</v>
      </c>
      <c r="S37">
        <v>152413168369</v>
      </c>
      <c r="T37" t="s">
        <v>1109</v>
      </c>
      <c r="U37" t="s">
        <v>1110</v>
      </c>
      <c r="V37" t="s">
        <v>1111</v>
      </c>
      <c r="Z37">
        <v>112.7425585</v>
      </c>
      <c r="AA37">
        <v>-7.2719299999999896</v>
      </c>
      <c r="AB37" t="s">
        <v>1112</v>
      </c>
      <c r="AC37" t="s">
        <v>235</v>
      </c>
      <c r="AL37" t="s">
        <v>217</v>
      </c>
      <c r="AM37" t="s">
        <v>1113</v>
      </c>
      <c r="AN37" t="s">
        <v>6</v>
      </c>
      <c r="AO37" s="57">
        <v>46032.694421296299</v>
      </c>
      <c r="AP37" s="57">
        <v>46298.625</v>
      </c>
      <c r="AR37" t="s">
        <v>239</v>
      </c>
      <c r="AS37" t="s">
        <v>561</v>
      </c>
      <c r="AT37" t="s">
        <v>230</v>
      </c>
      <c r="AV37" t="s">
        <v>238</v>
      </c>
      <c r="AW37" t="s">
        <v>873</v>
      </c>
      <c r="AX37" t="s">
        <v>222</v>
      </c>
      <c r="BA37" s="57">
        <v>46298.625</v>
      </c>
      <c r="BB37" t="s">
        <v>1113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SURABAYA SELATAN</v>
      </c>
    </row>
    <row r="38" spans="1:61" hidden="1">
      <c r="A38">
        <v>37</v>
      </c>
      <c r="B38">
        <v>1002618123</v>
      </c>
      <c r="C38">
        <v>3</v>
      </c>
      <c r="D38" t="s">
        <v>55</v>
      </c>
      <c r="E38">
        <v>5</v>
      </c>
      <c r="F38" t="s">
        <v>305</v>
      </c>
      <c r="G38" t="s">
        <v>126</v>
      </c>
      <c r="H38" t="s">
        <v>370</v>
      </c>
      <c r="I38" t="s">
        <v>212</v>
      </c>
      <c r="J38" t="s">
        <v>213</v>
      </c>
      <c r="K38" t="s">
        <v>149</v>
      </c>
      <c r="M38" t="s">
        <v>238</v>
      </c>
      <c r="N38" t="s">
        <v>215</v>
      </c>
      <c r="O38" s="57">
        <v>46296.606527777774</v>
      </c>
      <c r="P38" s="57">
        <v>46296.727847222224</v>
      </c>
      <c r="Q38">
        <v>69402439</v>
      </c>
      <c r="S38">
        <v>152303244298</v>
      </c>
      <c r="T38" t="s">
        <v>1114</v>
      </c>
      <c r="U38" t="s">
        <v>1115</v>
      </c>
      <c r="V38" t="s">
        <v>1116</v>
      </c>
      <c r="Z38">
        <v>112.780497</v>
      </c>
      <c r="AA38">
        <v>-7.2836188000000002</v>
      </c>
      <c r="AB38" t="s">
        <v>1117</v>
      </c>
      <c r="AC38" t="s">
        <v>229</v>
      </c>
      <c r="AL38" t="s">
        <v>217</v>
      </c>
      <c r="AM38" t="s">
        <v>1118</v>
      </c>
      <c r="AN38" t="s">
        <v>6</v>
      </c>
      <c r="AO38" s="57">
        <v>46032.611296296294</v>
      </c>
      <c r="AP38" s="57">
        <v>46298.333333333336</v>
      </c>
      <c r="AR38" t="s">
        <v>239</v>
      </c>
      <c r="AS38" t="s">
        <v>126</v>
      </c>
      <c r="AT38" t="s">
        <v>230</v>
      </c>
      <c r="AV38" t="s">
        <v>238</v>
      </c>
      <c r="AW38" t="s">
        <v>540</v>
      </c>
      <c r="AX38" t="s">
        <v>222</v>
      </c>
      <c r="BA38" s="57">
        <v>46298.333333333336</v>
      </c>
      <c r="BB38" t="s">
        <v>1118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SURABAYA SELATAN</v>
      </c>
    </row>
    <row r="39" spans="1:61" hidden="1">
      <c r="A39">
        <v>38</v>
      </c>
      <c r="B39">
        <v>1002618719</v>
      </c>
      <c r="C39">
        <v>3</v>
      </c>
      <c r="D39" t="s">
        <v>55</v>
      </c>
      <c r="E39">
        <v>5</v>
      </c>
      <c r="F39" t="s">
        <v>305</v>
      </c>
      <c r="G39" t="s">
        <v>126</v>
      </c>
      <c r="H39" t="s">
        <v>370</v>
      </c>
      <c r="I39" t="s">
        <v>212</v>
      </c>
      <c r="J39" t="s">
        <v>213</v>
      </c>
      <c r="K39" t="s">
        <v>149</v>
      </c>
      <c r="M39" t="s">
        <v>238</v>
      </c>
      <c r="N39" t="s">
        <v>215</v>
      </c>
      <c r="O39" s="57">
        <v>46296.725347222222</v>
      </c>
      <c r="P39" s="57">
        <v>46297.443067129629</v>
      </c>
      <c r="Q39">
        <v>69402645</v>
      </c>
      <c r="S39">
        <v>152303245581</v>
      </c>
      <c r="T39" t="s">
        <v>1114</v>
      </c>
      <c r="U39" t="s">
        <v>1119</v>
      </c>
      <c r="V39" t="s">
        <v>1120</v>
      </c>
      <c r="Z39">
        <v>112.780497</v>
      </c>
      <c r="AA39">
        <v>-7.2836188000000002</v>
      </c>
      <c r="AB39" t="s">
        <v>1117</v>
      </c>
      <c r="AC39" t="s">
        <v>229</v>
      </c>
      <c r="AL39" t="s">
        <v>217</v>
      </c>
      <c r="AM39" t="s">
        <v>1121</v>
      </c>
      <c r="AN39" t="s">
        <v>6</v>
      </c>
      <c r="AO39" s="57">
        <v>46032.726099537038</v>
      </c>
      <c r="AP39" s="57">
        <v>46299.333333333336</v>
      </c>
      <c r="AR39" t="s">
        <v>239</v>
      </c>
      <c r="AS39" t="s">
        <v>126</v>
      </c>
      <c r="AT39" t="s">
        <v>230</v>
      </c>
      <c r="AV39" t="s">
        <v>238</v>
      </c>
      <c r="AW39" t="s">
        <v>541</v>
      </c>
      <c r="AX39" t="s">
        <v>222</v>
      </c>
      <c r="BA39" s="57">
        <v>46299.333333333336</v>
      </c>
      <c r="BB39" t="s">
        <v>1121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SURABAYA SELATAN</v>
      </c>
    </row>
    <row r="40" spans="1:61" hidden="1">
      <c r="A40">
        <v>39</v>
      </c>
      <c r="B40">
        <v>1002618820</v>
      </c>
      <c r="C40">
        <v>3</v>
      </c>
      <c r="D40" t="s">
        <v>55</v>
      </c>
      <c r="E40">
        <v>5</v>
      </c>
      <c r="F40" t="s">
        <v>305</v>
      </c>
      <c r="G40" t="s">
        <v>124</v>
      </c>
      <c r="H40" t="s">
        <v>307</v>
      </c>
      <c r="I40" t="s">
        <v>212</v>
      </c>
      <c r="J40" t="s">
        <v>213</v>
      </c>
      <c r="K40" t="s">
        <v>149</v>
      </c>
      <c r="L40" t="s">
        <v>214</v>
      </c>
      <c r="M40" t="s">
        <v>238</v>
      </c>
      <c r="N40" t="s">
        <v>215</v>
      </c>
      <c r="O40" s="57">
        <v>46296.817812499998</v>
      </c>
      <c r="P40" s="57">
        <v>46296.819456018522</v>
      </c>
      <c r="Q40">
        <v>69402688</v>
      </c>
      <c r="S40">
        <v>152308243565</v>
      </c>
      <c r="T40" t="s">
        <v>1122</v>
      </c>
      <c r="U40" t="s">
        <v>1123</v>
      </c>
      <c r="V40" t="s">
        <v>1124</v>
      </c>
      <c r="Z40">
        <v>112.755453586578</v>
      </c>
      <c r="AA40">
        <v>-7.3179974751349901</v>
      </c>
      <c r="AB40" t="s">
        <v>1125</v>
      </c>
      <c r="AC40" t="s">
        <v>235</v>
      </c>
      <c r="AL40" t="s">
        <v>217</v>
      </c>
      <c r="AM40" t="s">
        <v>1126</v>
      </c>
      <c r="AN40" t="s">
        <v>6</v>
      </c>
      <c r="AO40" s="57">
        <v>46032.819814814815</v>
      </c>
      <c r="AP40" s="57">
        <v>46298.333333333336</v>
      </c>
      <c r="AR40" t="s">
        <v>239</v>
      </c>
      <c r="AS40" t="s">
        <v>581</v>
      </c>
      <c r="AT40" t="s">
        <v>230</v>
      </c>
      <c r="AV40" t="s">
        <v>238</v>
      </c>
      <c r="AW40" t="s">
        <v>882</v>
      </c>
      <c r="AX40" t="s">
        <v>222</v>
      </c>
      <c r="BA40" s="57">
        <v>46298.333333333336</v>
      </c>
      <c r="BB40" t="s">
        <v>1126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SURABAYA SELATAN</v>
      </c>
    </row>
    <row r="41" spans="1:61" hidden="1">
      <c r="A41">
        <v>40</v>
      </c>
      <c r="B41">
        <v>1002617446</v>
      </c>
      <c r="C41">
        <v>3</v>
      </c>
      <c r="D41" t="s">
        <v>51</v>
      </c>
      <c r="E41">
        <v>4</v>
      </c>
      <c r="F41" t="s">
        <v>268</v>
      </c>
      <c r="G41" t="s">
        <v>832</v>
      </c>
      <c r="H41" t="s">
        <v>833</v>
      </c>
      <c r="I41" t="s">
        <v>212</v>
      </c>
      <c r="J41" t="s">
        <v>213</v>
      </c>
      <c r="K41" t="s">
        <v>149</v>
      </c>
      <c r="L41" t="s">
        <v>214</v>
      </c>
      <c r="M41" t="s">
        <v>255</v>
      </c>
      <c r="N41" t="s">
        <v>215</v>
      </c>
      <c r="O41" s="57">
        <v>46296.449756944443</v>
      </c>
      <c r="P41" s="57">
        <v>46297.474456018521</v>
      </c>
      <c r="Q41">
        <v>69402204</v>
      </c>
      <c r="S41">
        <v>141569116024</v>
      </c>
      <c r="T41" t="s">
        <v>1127</v>
      </c>
      <c r="U41" t="s">
        <v>1128</v>
      </c>
      <c r="V41" t="s">
        <v>1129</v>
      </c>
      <c r="Z41">
        <v>111.4356827</v>
      </c>
      <c r="AA41">
        <v>-6.9676187000000001</v>
      </c>
      <c r="AB41" t="s">
        <v>1130</v>
      </c>
      <c r="AC41" t="s">
        <v>235</v>
      </c>
      <c r="AL41" t="s">
        <v>217</v>
      </c>
      <c r="AM41" t="s">
        <v>1131</v>
      </c>
      <c r="AN41" t="s">
        <v>6</v>
      </c>
      <c r="AO41" s="57">
        <v>46032.486342592594</v>
      </c>
      <c r="AP41" s="57">
        <v>46297.333333333336</v>
      </c>
      <c r="AR41" t="s">
        <v>256</v>
      </c>
      <c r="AS41" t="s">
        <v>219</v>
      </c>
      <c r="AT41" t="s">
        <v>230</v>
      </c>
      <c r="AV41" t="s">
        <v>257</v>
      </c>
      <c r="AW41" t="s">
        <v>236</v>
      </c>
      <c r="AX41" t="s">
        <v>222</v>
      </c>
      <c r="BA41" s="57">
        <v>46297.333333333336</v>
      </c>
      <c r="BB41" t="s">
        <v>1131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 hidden="1">
      <c r="A42">
        <v>41</v>
      </c>
      <c r="B42">
        <v>1002618761</v>
      </c>
      <c r="C42">
        <v>3</v>
      </c>
      <c r="D42" t="s">
        <v>51</v>
      </c>
      <c r="E42">
        <v>4</v>
      </c>
      <c r="F42" t="s">
        <v>268</v>
      </c>
      <c r="G42" t="s">
        <v>832</v>
      </c>
      <c r="H42" t="s">
        <v>833</v>
      </c>
      <c r="I42" t="s">
        <v>212</v>
      </c>
      <c r="J42" t="s">
        <v>213</v>
      </c>
      <c r="K42" t="s">
        <v>149</v>
      </c>
      <c r="L42" t="s">
        <v>214</v>
      </c>
      <c r="M42" t="s">
        <v>238</v>
      </c>
      <c r="N42" t="s">
        <v>215</v>
      </c>
      <c r="O42" s="57">
        <v>46296.742812500001</v>
      </c>
      <c r="P42" s="57">
        <v>46296.744456018518</v>
      </c>
      <c r="Q42">
        <v>69402661</v>
      </c>
      <c r="S42">
        <v>141569116032</v>
      </c>
      <c r="T42" t="s">
        <v>1132</v>
      </c>
      <c r="U42" t="s">
        <v>1133</v>
      </c>
      <c r="V42" t="s">
        <v>1134</v>
      </c>
      <c r="Z42">
        <v>111.415111</v>
      </c>
      <c r="AA42">
        <v>-6.96875</v>
      </c>
      <c r="AB42" t="s">
        <v>1135</v>
      </c>
      <c r="AC42" t="s">
        <v>235</v>
      </c>
      <c r="AL42" t="s">
        <v>217</v>
      </c>
      <c r="AM42" t="s">
        <v>1136</v>
      </c>
      <c r="AN42" t="s">
        <v>6</v>
      </c>
      <c r="AO42" s="57">
        <v>46032.746898148151</v>
      </c>
      <c r="AP42" s="57">
        <v>46297.625</v>
      </c>
      <c r="AR42" t="s">
        <v>239</v>
      </c>
      <c r="AS42" t="s">
        <v>219</v>
      </c>
      <c r="AT42" t="s">
        <v>230</v>
      </c>
      <c r="AV42" t="s">
        <v>238</v>
      </c>
      <c r="AW42" t="s">
        <v>882</v>
      </c>
      <c r="AX42" t="s">
        <v>222</v>
      </c>
      <c r="BA42" s="57">
        <v>46297.625</v>
      </c>
      <c r="BB42" t="s">
        <v>1136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e">
        <f>VLOOKUP(H42,Sheet2!$A$1:$B$270,2,FALSE)</f>
        <v>#N/A</v>
      </c>
    </row>
    <row r="43" spans="1:61" hidden="1">
      <c r="A43">
        <v>42</v>
      </c>
      <c r="B43">
        <v>1002618342</v>
      </c>
      <c r="C43">
        <v>3</v>
      </c>
      <c r="D43" t="s">
        <v>51</v>
      </c>
      <c r="E43">
        <v>4</v>
      </c>
      <c r="F43" t="s">
        <v>268</v>
      </c>
      <c r="G43" t="s">
        <v>545</v>
      </c>
      <c r="H43" t="s">
        <v>853</v>
      </c>
      <c r="I43" t="s">
        <v>212</v>
      </c>
      <c r="J43" t="s">
        <v>213</v>
      </c>
      <c r="K43" t="s">
        <v>149</v>
      </c>
      <c r="M43" t="s">
        <v>224</v>
      </c>
      <c r="N43" t="s">
        <v>215</v>
      </c>
      <c r="O43" s="57">
        <v>46296.643831018519</v>
      </c>
      <c r="P43" s="57">
        <v>46297.549675925926</v>
      </c>
      <c r="Q43">
        <v>69402518</v>
      </c>
      <c r="S43">
        <v>141568111742</v>
      </c>
      <c r="T43" t="s">
        <v>1137</v>
      </c>
      <c r="U43" t="s">
        <v>1138</v>
      </c>
      <c r="V43" t="s">
        <v>1139</v>
      </c>
      <c r="Z43">
        <v>111.0005197</v>
      </c>
      <c r="AA43">
        <v>-7.1935992000000004</v>
      </c>
      <c r="AB43" t="s">
        <v>1140</v>
      </c>
      <c r="AC43" t="s">
        <v>283</v>
      </c>
      <c r="AL43" t="s">
        <v>217</v>
      </c>
      <c r="AM43" t="s">
        <v>1141</v>
      </c>
      <c r="AN43" t="s">
        <v>6</v>
      </c>
      <c r="AO43" s="57">
        <v>46032.653252314813</v>
      </c>
      <c r="AP43" s="57">
        <v>46297.625</v>
      </c>
      <c r="AR43" t="s">
        <v>18</v>
      </c>
      <c r="AS43" t="s">
        <v>219</v>
      </c>
      <c r="AT43" t="s">
        <v>230</v>
      </c>
      <c r="AV43" t="s">
        <v>226</v>
      </c>
      <c r="AW43" t="s">
        <v>831</v>
      </c>
      <c r="AX43" t="s">
        <v>222</v>
      </c>
      <c r="BA43" s="57">
        <v>46297.625</v>
      </c>
      <c r="BB43" t="s">
        <v>1141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e">
        <f>VLOOKUP(H43,Sheet2!$A$1:$B$270,2,FALSE)</f>
        <v>#N/A</v>
      </c>
    </row>
    <row r="44" spans="1:61" hidden="1">
      <c r="A44">
        <v>43</v>
      </c>
      <c r="B44">
        <v>1002618094</v>
      </c>
      <c r="C44">
        <v>3</v>
      </c>
      <c r="D44" t="s">
        <v>51</v>
      </c>
      <c r="E44">
        <v>4</v>
      </c>
      <c r="F44" t="s">
        <v>268</v>
      </c>
      <c r="G44" t="s">
        <v>545</v>
      </c>
      <c r="H44" t="s">
        <v>853</v>
      </c>
      <c r="I44" t="s">
        <v>212</v>
      </c>
      <c r="J44" t="s">
        <v>213</v>
      </c>
      <c r="K44" t="s">
        <v>149</v>
      </c>
      <c r="M44" t="s">
        <v>238</v>
      </c>
      <c r="N44" t="s">
        <v>215</v>
      </c>
      <c r="O44" s="57">
        <v>46296.601504629631</v>
      </c>
      <c r="P44" s="57">
        <v>46296.700335648151</v>
      </c>
      <c r="Q44">
        <v>69402453</v>
      </c>
      <c r="S44">
        <v>141568111741</v>
      </c>
      <c r="T44" t="s">
        <v>1142</v>
      </c>
      <c r="U44" t="s">
        <v>1143</v>
      </c>
      <c r="V44" t="s">
        <v>1144</v>
      </c>
      <c r="Z44">
        <v>110.84761279999999</v>
      </c>
      <c r="AA44">
        <v>-7.0151427999999996</v>
      </c>
      <c r="AB44" t="s">
        <v>1145</v>
      </c>
      <c r="AC44" t="s">
        <v>283</v>
      </c>
      <c r="AL44" t="s">
        <v>217</v>
      </c>
      <c r="AM44" t="s">
        <v>1146</v>
      </c>
      <c r="AN44" t="s">
        <v>6</v>
      </c>
      <c r="AO44" s="57">
        <v>46032.611296296294</v>
      </c>
      <c r="AP44" s="57">
        <v>46297.625</v>
      </c>
      <c r="AR44" t="s">
        <v>239</v>
      </c>
      <c r="AS44" t="s">
        <v>219</v>
      </c>
      <c r="AT44" t="s">
        <v>230</v>
      </c>
      <c r="AV44" t="s">
        <v>238</v>
      </c>
      <c r="AW44" t="s">
        <v>866</v>
      </c>
      <c r="AX44" t="s">
        <v>222</v>
      </c>
      <c r="BA44" s="57">
        <v>46297.625</v>
      </c>
      <c r="BB44" t="s">
        <v>1146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 hidden="1">
      <c r="A45">
        <v>44</v>
      </c>
      <c r="B45">
        <v>1002617580</v>
      </c>
      <c r="C45">
        <v>3</v>
      </c>
      <c r="D45" t="s">
        <v>51</v>
      </c>
      <c r="E45">
        <v>4</v>
      </c>
      <c r="F45" t="s">
        <v>234</v>
      </c>
      <c r="G45" t="s">
        <v>852</v>
      </c>
      <c r="H45" t="s">
        <v>865</v>
      </c>
      <c r="I45" t="s">
        <v>212</v>
      </c>
      <c r="J45" t="s">
        <v>213</v>
      </c>
      <c r="K45" t="s">
        <v>149</v>
      </c>
      <c r="L45" t="s">
        <v>214</v>
      </c>
      <c r="M45" t="s">
        <v>76</v>
      </c>
      <c r="N45" t="s">
        <v>215</v>
      </c>
      <c r="O45" s="57">
        <v>46296.474768518521</v>
      </c>
      <c r="P45" s="57">
        <v>46297.484537037039</v>
      </c>
      <c r="Q45">
        <v>69402265</v>
      </c>
      <c r="S45">
        <v>142565402250</v>
      </c>
      <c r="T45" t="s">
        <v>1147</v>
      </c>
      <c r="U45" t="s">
        <v>1148</v>
      </c>
      <c r="V45" t="s">
        <v>1149</v>
      </c>
      <c r="Z45">
        <v>111.1211766</v>
      </c>
      <c r="AA45">
        <v>-7.3640650999999897</v>
      </c>
      <c r="AB45" t="s">
        <v>1150</v>
      </c>
      <c r="AC45" t="s">
        <v>235</v>
      </c>
      <c r="AL45" t="s">
        <v>217</v>
      </c>
      <c r="AM45" t="s">
        <v>1151</v>
      </c>
      <c r="AN45" t="s">
        <v>6</v>
      </c>
      <c r="AO45" s="57">
        <v>46032.486342592594</v>
      </c>
      <c r="AP45" s="57">
        <v>46297.333333333336</v>
      </c>
      <c r="AR45" t="s">
        <v>218</v>
      </c>
      <c r="AS45" t="s">
        <v>219</v>
      </c>
      <c r="AT45" t="s">
        <v>230</v>
      </c>
      <c r="AU45">
        <v>20261002</v>
      </c>
      <c r="AV45" t="s">
        <v>221</v>
      </c>
      <c r="AW45" t="s">
        <v>881</v>
      </c>
      <c r="AX45" t="s">
        <v>222</v>
      </c>
      <c r="BA45" s="57">
        <v>46297.333333333336</v>
      </c>
      <c r="BB45" t="s">
        <v>1151</v>
      </c>
      <c r="BC45">
        <v>2026</v>
      </c>
      <c r="BD45">
        <v>10</v>
      </c>
      <c r="BE45">
        <v>2</v>
      </c>
      <c r="BF45" s="6">
        <f t="shared" si="0"/>
        <v>46297</v>
      </c>
      <c r="BG45">
        <f t="shared" si="1"/>
        <v>-0.33333333333575865</v>
      </c>
      <c r="BH45" t="str">
        <f t="shared" si="2"/>
        <v>COMPLY</v>
      </c>
      <c r="BI45" t="e">
        <f>VLOOKUP(H45,Sheet2!$A$1:$B$270,2,FALSE)</f>
        <v>#N/A</v>
      </c>
    </row>
    <row r="46" spans="1:61" hidden="1">
      <c r="A46">
        <v>45</v>
      </c>
      <c r="B46">
        <v>1002617638</v>
      </c>
      <c r="C46">
        <v>3</v>
      </c>
      <c r="D46" t="s">
        <v>51</v>
      </c>
      <c r="E46">
        <v>4</v>
      </c>
      <c r="F46" t="s">
        <v>234</v>
      </c>
      <c r="G46" t="s">
        <v>552</v>
      </c>
      <c r="H46" t="s">
        <v>568</v>
      </c>
      <c r="I46" t="s">
        <v>212</v>
      </c>
      <c r="J46" t="s">
        <v>213</v>
      </c>
      <c r="K46" t="s">
        <v>149</v>
      </c>
      <c r="L46" t="s">
        <v>828</v>
      </c>
      <c r="M46" t="s">
        <v>898</v>
      </c>
      <c r="N46" t="s">
        <v>215</v>
      </c>
      <c r="O46" s="57">
        <v>46296.486574074072</v>
      </c>
      <c r="P46" s="57">
        <v>46297.343634259261</v>
      </c>
      <c r="Q46">
        <v>69402275</v>
      </c>
      <c r="R46">
        <v>2716011842</v>
      </c>
      <c r="S46">
        <v>142505404559</v>
      </c>
      <c r="T46" t="s">
        <v>1152</v>
      </c>
      <c r="U46" t="s">
        <v>1153</v>
      </c>
      <c r="V46" t="s">
        <v>1154</v>
      </c>
      <c r="Z46">
        <v>110.762864306951</v>
      </c>
      <c r="AA46">
        <v>-7.5397335047301803</v>
      </c>
      <c r="AB46" t="s">
        <v>1155</v>
      </c>
      <c r="AC46" t="s">
        <v>235</v>
      </c>
      <c r="AL46" t="s">
        <v>217</v>
      </c>
      <c r="AM46" t="s">
        <v>1156</v>
      </c>
      <c r="AN46" t="s">
        <v>6</v>
      </c>
      <c r="AO46" s="57">
        <v>46032.517557870371</v>
      </c>
      <c r="AP46" s="57">
        <v>46297.333333333336</v>
      </c>
      <c r="AR46" t="s">
        <v>889</v>
      </c>
      <c r="AS46" t="s">
        <v>219</v>
      </c>
      <c r="AT46" t="s">
        <v>230</v>
      </c>
      <c r="AV46" t="s">
        <v>899</v>
      </c>
      <c r="AW46" t="s">
        <v>863</v>
      </c>
      <c r="AX46" t="s">
        <v>222</v>
      </c>
      <c r="BA46" s="57">
        <v>46297.333333333336</v>
      </c>
      <c r="BB46" t="s">
        <v>1156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e">
        <f>VLOOKUP(H46,Sheet2!$A$1:$B$270,2,FALSE)</f>
        <v>#N/A</v>
      </c>
    </row>
    <row r="47" spans="1:61" hidden="1">
      <c r="A47">
        <v>46</v>
      </c>
      <c r="B47">
        <v>1002617694</v>
      </c>
      <c r="C47">
        <v>3</v>
      </c>
      <c r="D47" t="s">
        <v>51</v>
      </c>
      <c r="E47">
        <v>4</v>
      </c>
      <c r="F47" t="s">
        <v>234</v>
      </c>
      <c r="G47" t="s">
        <v>552</v>
      </c>
      <c r="H47" t="s">
        <v>568</v>
      </c>
      <c r="I47" t="s">
        <v>212</v>
      </c>
      <c r="J47" t="s">
        <v>213</v>
      </c>
      <c r="K47" t="s">
        <v>149</v>
      </c>
      <c r="L47" t="s">
        <v>828</v>
      </c>
      <c r="M47" t="s">
        <v>76</v>
      </c>
      <c r="N47" t="s">
        <v>215</v>
      </c>
      <c r="O47" s="57">
        <v>46296.503935185188</v>
      </c>
      <c r="P47" s="57">
        <v>46296.750034722223</v>
      </c>
      <c r="Q47">
        <v>69402263</v>
      </c>
      <c r="R47">
        <v>2716010314</v>
      </c>
      <c r="S47">
        <v>142505404560</v>
      </c>
      <c r="T47" t="s">
        <v>1152</v>
      </c>
      <c r="U47" t="s">
        <v>1153</v>
      </c>
      <c r="V47" t="s">
        <v>1157</v>
      </c>
      <c r="Z47">
        <v>110.762888789903</v>
      </c>
      <c r="AA47">
        <v>-7.5396775316492004</v>
      </c>
      <c r="AB47" t="s">
        <v>1158</v>
      </c>
      <c r="AC47" t="s">
        <v>235</v>
      </c>
      <c r="AL47" t="s">
        <v>217</v>
      </c>
      <c r="AM47" t="s">
        <v>1159</v>
      </c>
      <c r="AN47" t="s">
        <v>6</v>
      </c>
      <c r="AO47" s="57">
        <v>46032.517557870371</v>
      </c>
      <c r="AP47" s="57">
        <v>46297.458333333336</v>
      </c>
      <c r="AR47" t="s">
        <v>218</v>
      </c>
      <c r="AS47" t="s">
        <v>219</v>
      </c>
      <c r="AT47" t="s">
        <v>230</v>
      </c>
      <c r="AU47">
        <v>20261001</v>
      </c>
      <c r="AV47" t="s">
        <v>221</v>
      </c>
      <c r="AW47" t="s">
        <v>863</v>
      </c>
      <c r="AX47" t="s">
        <v>222</v>
      </c>
      <c r="BA47" s="57">
        <v>46297.458333333336</v>
      </c>
      <c r="BB47" t="s">
        <v>1159</v>
      </c>
      <c r="BC47">
        <v>2026</v>
      </c>
      <c r="BD47">
        <v>10</v>
      </c>
      <c r="BE47">
        <v>1</v>
      </c>
      <c r="BF47" s="6">
        <f t="shared" si="0"/>
        <v>46296</v>
      </c>
      <c r="BG47">
        <f t="shared" si="1"/>
        <v>-1.4583333333357587</v>
      </c>
      <c r="BH47" t="str">
        <f t="shared" si="2"/>
        <v>COMPLY</v>
      </c>
      <c r="BI47" t="e">
        <f>VLOOKUP(H47,Sheet2!$A$1:$B$270,2,FALSE)</f>
        <v>#N/A</v>
      </c>
    </row>
    <row r="48" spans="1:61" hidden="1">
      <c r="A48">
        <v>47</v>
      </c>
      <c r="B48">
        <v>1002617973</v>
      </c>
      <c r="C48">
        <v>3</v>
      </c>
      <c r="D48" t="s">
        <v>51</v>
      </c>
      <c r="E48">
        <v>4</v>
      </c>
      <c r="F48" t="s">
        <v>234</v>
      </c>
      <c r="G48" t="s">
        <v>868</v>
      </c>
      <c r="H48" t="s">
        <v>893</v>
      </c>
      <c r="I48" t="s">
        <v>212</v>
      </c>
      <c r="J48" t="s">
        <v>213</v>
      </c>
      <c r="K48" t="s">
        <v>149</v>
      </c>
      <c r="M48" t="s">
        <v>238</v>
      </c>
      <c r="N48" t="s">
        <v>215</v>
      </c>
      <c r="O48" s="57">
        <v>46296.581493055557</v>
      </c>
      <c r="P48" s="57">
        <v>46297.41673611111</v>
      </c>
      <c r="Q48">
        <v>69402411</v>
      </c>
      <c r="S48">
        <v>142523108896</v>
      </c>
      <c r="T48" t="s">
        <v>1160</v>
      </c>
      <c r="U48" t="s">
        <v>1161</v>
      </c>
      <c r="V48" t="s">
        <v>1162</v>
      </c>
      <c r="Z48">
        <v>111.127386046067</v>
      </c>
      <c r="AA48">
        <v>-7.8303749684347101</v>
      </c>
      <c r="AB48" t="s">
        <v>1163</v>
      </c>
      <c r="AC48" t="s">
        <v>284</v>
      </c>
      <c r="AL48" t="s">
        <v>217</v>
      </c>
      <c r="AM48" t="s">
        <v>1164</v>
      </c>
      <c r="AN48" t="s">
        <v>6</v>
      </c>
      <c r="AO48" s="57">
        <v>46032.590474537035</v>
      </c>
      <c r="AP48" s="57">
        <v>46298.333333333336</v>
      </c>
      <c r="AR48" t="s">
        <v>239</v>
      </c>
      <c r="AS48" t="s">
        <v>219</v>
      </c>
      <c r="AT48" t="s">
        <v>230</v>
      </c>
      <c r="AV48" t="s">
        <v>238</v>
      </c>
      <c r="AW48" t="s">
        <v>539</v>
      </c>
      <c r="AX48" t="s">
        <v>222</v>
      </c>
      <c r="BA48" s="57">
        <v>46298.333333333336</v>
      </c>
      <c r="BB48" t="s">
        <v>1164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e">
        <f>VLOOKUP(H48,Sheet2!$A$1:$B$270,2,FALSE)</f>
        <v>#N/A</v>
      </c>
    </row>
    <row r="49" spans="1:61" hidden="1">
      <c r="A49">
        <v>48</v>
      </c>
      <c r="B49">
        <v>1002617289</v>
      </c>
      <c r="C49">
        <v>3</v>
      </c>
      <c r="D49" t="s">
        <v>42</v>
      </c>
      <c r="E49">
        <v>5</v>
      </c>
      <c r="F49" t="s">
        <v>232</v>
      </c>
      <c r="G49" t="s">
        <v>103</v>
      </c>
      <c r="H49" t="s">
        <v>293</v>
      </c>
      <c r="I49" t="s">
        <v>212</v>
      </c>
      <c r="J49" t="s">
        <v>213</v>
      </c>
      <c r="K49" t="s">
        <v>149</v>
      </c>
      <c r="M49" t="s">
        <v>76</v>
      </c>
      <c r="N49" t="s">
        <v>215</v>
      </c>
      <c r="O49" s="57">
        <v>46296.428113425929</v>
      </c>
      <c r="P49" s="57">
        <v>46296.669687499998</v>
      </c>
      <c r="Q49">
        <v>69400158</v>
      </c>
      <c r="S49">
        <v>152319207912</v>
      </c>
      <c r="T49" t="s">
        <v>928</v>
      </c>
      <c r="U49" t="s">
        <v>1165</v>
      </c>
      <c r="V49" t="s">
        <v>1166</v>
      </c>
      <c r="Z49">
        <v>112.34041568000001</v>
      </c>
      <c r="AA49">
        <v>-7.546673052</v>
      </c>
      <c r="AB49" t="s">
        <v>929</v>
      </c>
      <c r="AC49" t="s">
        <v>229</v>
      </c>
      <c r="AL49" t="s">
        <v>217</v>
      </c>
      <c r="AM49" t="s">
        <v>1167</v>
      </c>
      <c r="AN49" t="s">
        <v>6</v>
      </c>
      <c r="AO49" s="57">
        <v>46032.434247685182</v>
      </c>
      <c r="AR49" t="s">
        <v>218</v>
      </c>
      <c r="AS49" t="s">
        <v>103</v>
      </c>
      <c r="AT49" t="s">
        <v>230</v>
      </c>
      <c r="AU49">
        <v>20261001</v>
      </c>
      <c r="AV49" t="s">
        <v>221</v>
      </c>
      <c r="AW49" t="s">
        <v>540</v>
      </c>
      <c r="AX49" t="s">
        <v>222</v>
      </c>
      <c r="BA49" s="57">
        <v>46296.291666666664</v>
      </c>
      <c r="BB49" t="s">
        <v>1167</v>
      </c>
      <c r="BC49">
        <v>2026</v>
      </c>
      <c r="BD49">
        <v>10</v>
      </c>
      <c r="BE49">
        <v>1</v>
      </c>
      <c r="BF49" s="6">
        <f t="shared" si="0"/>
        <v>46296</v>
      </c>
      <c r="BG49">
        <f t="shared" si="1"/>
        <v>-0.29166666666424135</v>
      </c>
      <c r="BH49" t="str">
        <f t="shared" si="2"/>
        <v>COMPLY</v>
      </c>
      <c r="BI49" t="str">
        <f>VLOOKUP(H49,Sheet2!$A$1:$B$270,2,FALSE)</f>
        <v>MOJOKERTO</v>
      </c>
    </row>
    <row r="50" spans="1:61" hidden="1">
      <c r="A50">
        <v>49</v>
      </c>
      <c r="B50">
        <v>1002616829</v>
      </c>
      <c r="C50">
        <v>3</v>
      </c>
      <c r="D50" t="s">
        <v>42</v>
      </c>
      <c r="E50">
        <v>5</v>
      </c>
      <c r="F50" t="s">
        <v>232</v>
      </c>
      <c r="G50" t="s">
        <v>105</v>
      </c>
      <c r="H50" t="s">
        <v>369</v>
      </c>
      <c r="I50" t="s">
        <v>212</v>
      </c>
      <c r="J50" t="s">
        <v>213</v>
      </c>
      <c r="K50" t="s">
        <v>149</v>
      </c>
      <c r="M50" t="s">
        <v>255</v>
      </c>
      <c r="N50" t="s">
        <v>215</v>
      </c>
      <c r="O50" s="57">
        <v>46296.328032407408</v>
      </c>
      <c r="P50" s="57">
        <v>46296.767175925925</v>
      </c>
      <c r="Q50">
        <v>69402000</v>
      </c>
      <c r="S50">
        <v>152312243348</v>
      </c>
      <c r="T50" t="s">
        <v>1168</v>
      </c>
      <c r="U50" t="s">
        <v>1169</v>
      </c>
      <c r="V50" t="s">
        <v>1170</v>
      </c>
      <c r="Z50">
        <v>112.43383559999999</v>
      </c>
      <c r="AA50">
        <v>-7.4922269000000004</v>
      </c>
      <c r="AB50" t="s">
        <v>1171</v>
      </c>
      <c r="AC50" t="s">
        <v>229</v>
      </c>
      <c r="AL50" t="s">
        <v>217</v>
      </c>
      <c r="AM50" t="s">
        <v>1172</v>
      </c>
      <c r="AN50" t="s">
        <v>6</v>
      </c>
      <c r="AO50" s="57">
        <v>46032.330370370371</v>
      </c>
      <c r="AP50" s="57">
        <v>46297.333333333336</v>
      </c>
      <c r="AR50" t="s">
        <v>256</v>
      </c>
      <c r="AS50" t="s">
        <v>105</v>
      </c>
      <c r="AT50" t="s">
        <v>230</v>
      </c>
      <c r="AV50" t="s">
        <v>257</v>
      </c>
      <c r="AW50" t="s">
        <v>540</v>
      </c>
      <c r="AX50" t="s">
        <v>222</v>
      </c>
      <c r="BA50" s="57">
        <v>46297.333333333336</v>
      </c>
      <c r="BB50" t="s">
        <v>1172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MOJOKERTO</v>
      </c>
    </row>
    <row r="51" spans="1:61" hidden="1">
      <c r="A51">
        <v>50</v>
      </c>
      <c r="B51">
        <v>1002617823</v>
      </c>
      <c r="C51">
        <v>3</v>
      </c>
      <c r="D51" t="s">
        <v>42</v>
      </c>
      <c r="E51">
        <v>5</v>
      </c>
      <c r="F51" t="s">
        <v>232</v>
      </c>
      <c r="G51" t="s">
        <v>101</v>
      </c>
      <c r="H51" t="s">
        <v>425</v>
      </c>
      <c r="I51" t="s">
        <v>212</v>
      </c>
      <c r="J51" t="s">
        <v>213</v>
      </c>
      <c r="K51" t="s">
        <v>149</v>
      </c>
      <c r="L51" t="s">
        <v>214</v>
      </c>
      <c r="M51" t="s">
        <v>898</v>
      </c>
      <c r="N51" t="s">
        <v>215</v>
      </c>
      <c r="O51" s="57">
        <v>46296.553182870368</v>
      </c>
      <c r="P51" s="57">
        <v>46296.680902777778</v>
      </c>
      <c r="Q51">
        <v>69402355</v>
      </c>
      <c r="S51">
        <v>152331251875</v>
      </c>
      <c r="T51" t="s">
        <v>1173</v>
      </c>
      <c r="U51" t="s">
        <v>1174</v>
      </c>
      <c r="V51" t="s">
        <v>1175</v>
      </c>
      <c r="Z51">
        <v>112.51153100000001</v>
      </c>
      <c r="AA51">
        <v>-7.4020760000000001</v>
      </c>
      <c r="AB51" t="s">
        <v>1176</v>
      </c>
      <c r="AC51" t="s">
        <v>235</v>
      </c>
      <c r="AL51" t="s">
        <v>217</v>
      </c>
      <c r="AM51" t="s">
        <v>1177</v>
      </c>
      <c r="AN51" t="s">
        <v>6</v>
      </c>
      <c r="AO51" s="57">
        <v>46032.559305555558</v>
      </c>
      <c r="AP51" s="57">
        <v>46297.458333333336</v>
      </c>
      <c r="AR51" t="s">
        <v>889</v>
      </c>
      <c r="AS51" t="s">
        <v>560</v>
      </c>
      <c r="AT51" t="s">
        <v>230</v>
      </c>
      <c r="AV51" t="s">
        <v>899</v>
      </c>
      <c r="AW51" t="s">
        <v>892</v>
      </c>
      <c r="AX51" t="s">
        <v>222</v>
      </c>
      <c r="BA51" s="57">
        <v>46297.458333333336</v>
      </c>
      <c r="BB51" t="s">
        <v>1177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SIDOARJO</v>
      </c>
    </row>
    <row r="52" spans="1:61" hidden="1">
      <c r="A52">
        <v>51</v>
      </c>
      <c r="B52">
        <v>1002616839</v>
      </c>
      <c r="C52">
        <v>3</v>
      </c>
      <c r="D52" t="s">
        <v>42</v>
      </c>
      <c r="E52">
        <v>5</v>
      </c>
      <c r="F52" t="s">
        <v>232</v>
      </c>
      <c r="G52" t="s">
        <v>101</v>
      </c>
      <c r="H52" t="s">
        <v>499</v>
      </c>
      <c r="I52" t="s">
        <v>212</v>
      </c>
      <c r="J52" t="s">
        <v>213</v>
      </c>
      <c r="K52" t="s">
        <v>149</v>
      </c>
      <c r="M52" t="s">
        <v>76</v>
      </c>
      <c r="N52" t="s">
        <v>215</v>
      </c>
      <c r="O52" s="57">
        <v>46296.335347222222</v>
      </c>
      <c r="P52" s="57">
        <v>46296.930648148147</v>
      </c>
      <c r="Q52">
        <v>69401984</v>
      </c>
      <c r="S52">
        <v>152328218519</v>
      </c>
      <c r="T52" t="s">
        <v>1178</v>
      </c>
      <c r="U52" t="s">
        <v>1179</v>
      </c>
      <c r="V52" t="s">
        <v>1180</v>
      </c>
      <c r="Z52">
        <v>112.66993990135801</v>
      </c>
      <c r="AA52">
        <v>-7.40526673854795</v>
      </c>
      <c r="AB52" t="s">
        <v>1181</v>
      </c>
      <c r="AC52" t="s">
        <v>229</v>
      </c>
      <c r="AL52" t="s">
        <v>217</v>
      </c>
      <c r="AM52" t="s">
        <v>1182</v>
      </c>
      <c r="AN52" t="s">
        <v>6</v>
      </c>
      <c r="AO52" s="57">
        <v>46032.351168981484</v>
      </c>
      <c r="AP52" s="57">
        <v>46297.333333333336</v>
      </c>
      <c r="AR52" t="s">
        <v>218</v>
      </c>
      <c r="AS52" t="s">
        <v>232</v>
      </c>
      <c r="AT52" t="s">
        <v>230</v>
      </c>
      <c r="AU52">
        <v>20261001</v>
      </c>
      <c r="AV52" t="s">
        <v>221</v>
      </c>
      <c r="AW52" t="s">
        <v>540</v>
      </c>
      <c r="AX52" t="s">
        <v>222</v>
      </c>
      <c r="BA52" s="57">
        <v>46297.333333333336</v>
      </c>
      <c r="BB52" t="s">
        <v>1182</v>
      </c>
      <c r="BC52">
        <v>2026</v>
      </c>
      <c r="BD52">
        <v>10</v>
      </c>
      <c r="BE52">
        <v>1</v>
      </c>
      <c r="BF52" s="6">
        <f t="shared" si="0"/>
        <v>46296</v>
      </c>
      <c r="BG52">
        <f t="shared" si="1"/>
        <v>-1.3333333333357587</v>
      </c>
      <c r="BH52" t="str">
        <f t="shared" si="2"/>
        <v>COMPLY</v>
      </c>
      <c r="BI52" t="str">
        <f>VLOOKUP(H52,Sheet2!$A$1:$B$270,2,FALSE)</f>
        <v>SIDOARJO</v>
      </c>
    </row>
    <row r="53" spans="1:61" hidden="1">
      <c r="A53">
        <v>52</v>
      </c>
      <c r="B53">
        <v>1002617312</v>
      </c>
      <c r="C53">
        <v>3</v>
      </c>
      <c r="D53" t="s">
        <v>42</v>
      </c>
      <c r="E53">
        <v>5</v>
      </c>
      <c r="F53" t="s">
        <v>232</v>
      </c>
      <c r="G53" t="s">
        <v>101</v>
      </c>
      <c r="H53" t="s">
        <v>499</v>
      </c>
      <c r="I53" t="s">
        <v>212</v>
      </c>
      <c r="J53" t="s">
        <v>213</v>
      </c>
      <c r="K53" t="s">
        <v>149</v>
      </c>
      <c r="L53" t="s">
        <v>214</v>
      </c>
      <c r="M53" t="s">
        <v>224</v>
      </c>
      <c r="N53" t="s">
        <v>215</v>
      </c>
      <c r="O53" s="57">
        <v>46296.431018518517</v>
      </c>
      <c r="P53" s="57">
        <v>46297.558506944442</v>
      </c>
      <c r="Q53">
        <v>69402163</v>
      </c>
      <c r="S53">
        <v>152328218520</v>
      </c>
      <c r="T53" t="s">
        <v>1183</v>
      </c>
      <c r="U53" t="s">
        <v>1184</v>
      </c>
      <c r="V53" t="s">
        <v>1185</v>
      </c>
      <c r="Z53">
        <v>112.65343230000001</v>
      </c>
      <c r="AA53">
        <v>-7.4160553</v>
      </c>
      <c r="AB53" t="s">
        <v>1186</v>
      </c>
      <c r="AC53" t="s">
        <v>216</v>
      </c>
      <c r="AL53" t="s">
        <v>217</v>
      </c>
      <c r="AM53" t="s">
        <v>1187</v>
      </c>
      <c r="AN53" t="s">
        <v>6</v>
      </c>
      <c r="AO53" s="57">
        <v>46032.434247685182</v>
      </c>
      <c r="AP53" s="57">
        <v>46297.458333333336</v>
      </c>
      <c r="AR53" t="s">
        <v>18</v>
      </c>
      <c r="AS53" t="s">
        <v>232</v>
      </c>
      <c r="AT53" t="s">
        <v>220</v>
      </c>
      <c r="AV53" t="s">
        <v>226</v>
      </c>
      <c r="AW53" t="s">
        <v>855</v>
      </c>
      <c r="AX53" t="s">
        <v>222</v>
      </c>
      <c r="BA53" s="57">
        <v>46297.458333333336</v>
      </c>
      <c r="BB53" t="s">
        <v>1187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SIDOARJO</v>
      </c>
    </row>
    <row r="54" spans="1:61" hidden="1">
      <c r="A54">
        <v>53</v>
      </c>
      <c r="B54">
        <v>1002617556</v>
      </c>
      <c r="C54">
        <v>3</v>
      </c>
      <c r="D54" t="s">
        <v>42</v>
      </c>
      <c r="E54">
        <v>5</v>
      </c>
      <c r="F54" t="s">
        <v>232</v>
      </c>
      <c r="G54" t="s">
        <v>101</v>
      </c>
      <c r="H54" t="s">
        <v>258</v>
      </c>
      <c r="I54" t="s">
        <v>212</v>
      </c>
      <c r="J54" t="s">
        <v>213</v>
      </c>
      <c r="K54" t="s">
        <v>149</v>
      </c>
      <c r="L54" t="s">
        <v>214</v>
      </c>
      <c r="M54" t="s">
        <v>255</v>
      </c>
      <c r="N54" t="s">
        <v>215</v>
      </c>
      <c r="O54" s="57">
        <v>46296.470532407409</v>
      </c>
      <c r="P54" s="57">
        <v>46297.420023148145</v>
      </c>
      <c r="Q54">
        <v>69402243</v>
      </c>
      <c r="S54">
        <v>152316233179</v>
      </c>
      <c r="T54" t="s">
        <v>1188</v>
      </c>
      <c r="U54" t="s">
        <v>1189</v>
      </c>
      <c r="V54" t="s">
        <v>1190</v>
      </c>
      <c r="Z54">
        <v>112.69584570000001</v>
      </c>
      <c r="AA54">
        <v>-7.4521503999999998</v>
      </c>
      <c r="AB54" t="s">
        <v>1191</v>
      </c>
      <c r="AC54" t="s">
        <v>216</v>
      </c>
      <c r="AL54" t="s">
        <v>217</v>
      </c>
      <c r="AM54" t="s">
        <v>1192</v>
      </c>
      <c r="AN54" t="s">
        <v>6</v>
      </c>
      <c r="AO54" s="57">
        <v>46032.486342592594</v>
      </c>
      <c r="AP54" s="57">
        <v>46297.333333333336</v>
      </c>
      <c r="AR54" t="s">
        <v>256</v>
      </c>
      <c r="AS54" t="s">
        <v>232</v>
      </c>
      <c r="AT54" t="s">
        <v>230</v>
      </c>
      <c r="AV54" t="s">
        <v>257</v>
      </c>
      <c r="AW54" t="s">
        <v>888</v>
      </c>
      <c r="AX54" t="s">
        <v>222</v>
      </c>
      <c r="BA54" s="57">
        <v>46297.333333333336</v>
      </c>
      <c r="BB54" t="s">
        <v>1192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SIDOARJO</v>
      </c>
    </row>
    <row r="55" spans="1:61" hidden="1">
      <c r="A55">
        <v>54</v>
      </c>
      <c r="B55">
        <v>1002617423</v>
      </c>
      <c r="C55">
        <v>3</v>
      </c>
      <c r="D55" t="s">
        <v>42</v>
      </c>
      <c r="E55">
        <v>5</v>
      </c>
      <c r="F55" t="s">
        <v>232</v>
      </c>
      <c r="G55" t="s">
        <v>101</v>
      </c>
      <c r="H55" t="s">
        <v>258</v>
      </c>
      <c r="I55" t="s">
        <v>212</v>
      </c>
      <c r="J55" t="s">
        <v>213</v>
      </c>
      <c r="K55" t="s">
        <v>149</v>
      </c>
      <c r="L55" t="s">
        <v>214</v>
      </c>
      <c r="M55" t="s">
        <v>224</v>
      </c>
      <c r="N55" t="s">
        <v>215</v>
      </c>
      <c r="O55" s="57">
        <v>46296.446979166663</v>
      </c>
      <c r="P55" s="57">
        <v>46297.339861111112</v>
      </c>
      <c r="Q55">
        <v>69402198</v>
      </c>
      <c r="S55">
        <v>152316233175</v>
      </c>
      <c r="T55" t="s">
        <v>1193</v>
      </c>
      <c r="U55" t="s">
        <v>1194</v>
      </c>
      <c r="V55" t="s">
        <v>1195</v>
      </c>
      <c r="Z55">
        <v>112.6811052</v>
      </c>
      <c r="AA55">
        <v>-7.4230592</v>
      </c>
      <c r="AB55" t="s">
        <v>1196</v>
      </c>
      <c r="AC55" t="s">
        <v>235</v>
      </c>
      <c r="AL55" t="s">
        <v>217</v>
      </c>
      <c r="AM55" t="s">
        <v>1197</v>
      </c>
      <c r="AN55" t="s">
        <v>6</v>
      </c>
      <c r="AO55" s="57">
        <v>46032.486342592594</v>
      </c>
      <c r="AP55" s="57">
        <v>46297.333333333336</v>
      </c>
      <c r="AR55" t="s">
        <v>18</v>
      </c>
      <c r="AS55" t="s">
        <v>232</v>
      </c>
      <c r="AT55" t="s">
        <v>342</v>
      </c>
      <c r="AV55" t="s">
        <v>226</v>
      </c>
      <c r="AW55" t="s">
        <v>823</v>
      </c>
      <c r="AX55" t="s">
        <v>222</v>
      </c>
      <c r="BA55" s="57">
        <v>46297.333333333336</v>
      </c>
      <c r="BB55" t="s">
        <v>1197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SIDOARJO</v>
      </c>
    </row>
    <row r="56" spans="1:61" hidden="1">
      <c r="A56">
        <v>55</v>
      </c>
      <c r="B56">
        <v>1002618024</v>
      </c>
      <c r="C56">
        <v>3</v>
      </c>
      <c r="D56" t="s">
        <v>42</v>
      </c>
      <c r="E56">
        <v>5</v>
      </c>
      <c r="F56" t="s">
        <v>106</v>
      </c>
      <c r="G56" t="s">
        <v>106</v>
      </c>
      <c r="H56" t="s">
        <v>329</v>
      </c>
      <c r="I56" t="s">
        <v>212</v>
      </c>
      <c r="J56" t="s">
        <v>213</v>
      </c>
      <c r="K56" t="s">
        <v>149</v>
      </c>
      <c r="M56" t="s">
        <v>255</v>
      </c>
      <c r="N56" t="s">
        <v>215</v>
      </c>
      <c r="O56" s="57">
        <v>46296.58966435185</v>
      </c>
      <c r="P56" s="57">
        <v>46297.534456018519</v>
      </c>
      <c r="Q56">
        <v>69402402</v>
      </c>
      <c r="S56">
        <v>152744222226</v>
      </c>
      <c r="T56" t="s">
        <v>1198</v>
      </c>
      <c r="U56" t="s">
        <v>1199</v>
      </c>
      <c r="V56" t="s">
        <v>1200</v>
      </c>
      <c r="Z56">
        <v>112.77250979999999</v>
      </c>
      <c r="AA56">
        <v>-7.6047699</v>
      </c>
      <c r="AB56" t="s">
        <v>1201</v>
      </c>
      <c r="AC56" t="s">
        <v>229</v>
      </c>
      <c r="AL56" t="s">
        <v>217</v>
      </c>
      <c r="AM56" t="s">
        <v>1202</v>
      </c>
      <c r="AN56" t="s">
        <v>6</v>
      </c>
      <c r="AO56" s="57">
        <v>46032.590474537035</v>
      </c>
      <c r="AP56" s="57">
        <v>46297.625</v>
      </c>
      <c r="AR56" t="s">
        <v>256</v>
      </c>
      <c r="AS56" t="s">
        <v>580</v>
      </c>
      <c r="AT56" t="s">
        <v>230</v>
      </c>
      <c r="AV56" t="s">
        <v>257</v>
      </c>
      <c r="AW56" t="s">
        <v>540</v>
      </c>
      <c r="AX56" t="s">
        <v>222</v>
      </c>
      <c r="BA56" s="57">
        <v>46297.625</v>
      </c>
      <c r="BB56" t="s">
        <v>1202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PASURUAN</v>
      </c>
    </row>
    <row r="57" spans="1:61" hidden="1">
      <c r="A57">
        <v>56</v>
      </c>
      <c r="B57">
        <v>1002617383</v>
      </c>
      <c r="C57">
        <v>3</v>
      </c>
      <c r="D57" t="s">
        <v>55</v>
      </c>
      <c r="E57">
        <v>5</v>
      </c>
      <c r="F57" t="s">
        <v>305</v>
      </c>
      <c r="G57" t="s">
        <v>124</v>
      </c>
      <c r="H57" t="s">
        <v>326</v>
      </c>
      <c r="I57" t="s">
        <v>212</v>
      </c>
      <c r="J57" t="s">
        <v>213</v>
      </c>
      <c r="K57" t="s">
        <v>149</v>
      </c>
      <c r="L57" t="s">
        <v>214</v>
      </c>
      <c r="M57" t="s">
        <v>898</v>
      </c>
      <c r="N57" t="s">
        <v>215</v>
      </c>
      <c r="O57" s="57">
        <v>46296.441435185188</v>
      </c>
      <c r="P57" s="57">
        <v>46297.343553240738</v>
      </c>
      <c r="Q57">
        <v>69402176</v>
      </c>
      <c r="S57">
        <v>152305231385</v>
      </c>
      <c r="T57" t="s">
        <v>1203</v>
      </c>
      <c r="U57" t="s">
        <v>1204</v>
      </c>
      <c r="V57" t="s">
        <v>1205</v>
      </c>
      <c r="Z57">
        <v>112.78666440000001</v>
      </c>
      <c r="AA57">
        <v>-7.3539735999999998</v>
      </c>
      <c r="AB57" t="s">
        <v>1206</v>
      </c>
      <c r="AC57" t="s">
        <v>216</v>
      </c>
      <c r="AL57" t="s">
        <v>217</v>
      </c>
      <c r="AM57" t="s">
        <v>1131</v>
      </c>
      <c r="AN57" t="s">
        <v>6</v>
      </c>
      <c r="AO57" s="57">
        <v>46032.444687499999</v>
      </c>
      <c r="AP57" s="57">
        <v>46297.333333333336</v>
      </c>
      <c r="AR57" t="s">
        <v>889</v>
      </c>
      <c r="AS57" t="s">
        <v>848</v>
      </c>
      <c r="AT57" t="s">
        <v>230</v>
      </c>
      <c r="AV57" t="s">
        <v>899</v>
      </c>
      <c r="AW57" t="s">
        <v>884</v>
      </c>
      <c r="AX57" t="s">
        <v>222</v>
      </c>
      <c r="BA57" s="57">
        <v>46297.333333333336</v>
      </c>
      <c r="BB57" t="s">
        <v>1131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SURABAYA SELATAN</v>
      </c>
    </row>
    <row r="58" spans="1:61" hidden="1">
      <c r="A58">
        <v>57</v>
      </c>
      <c r="B58">
        <v>1002617708</v>
      </c>
      <c r="C58">
        <v>3</v>
      </c>
      <c r="D58" t="s">
        <v>55</v>
      </c>
      <c r="E58">
        <v>5</v>
      </c>
      <c r="F58" t="s">
        <v>305</v>
      </c>
      <c r="G58" t="s">
        <v>124</v>
      </c>
      <c r="H58" t="s">
        <v>326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46296.511134259257</v>
      </c>
      <c r="P58" s="57">
        <v>46296.723958333336</v>
      </c>
      <c r="Q58">
        <v>69401010</v>
      </c>
      <c r="S58">
        <v>152305231383</v>
      </c>
      <c r="T58" t="s">
        <v>934</v>
      </c>
      <c r="U58" t="s">
        <v>1207</v>
      </c>
      <c r="V58" t="s">
        <v>1208</v>
      </c>
      <c r="Z58">
        <v>112.7634</v>
      </c>
      <c r="AA58">
        <v>-7.3680000000000003</v>
      </c>
      <c r="AB58" t="s">
        <v>935</v>
      </c>
      <c r="AC58" t="s">
        <v>216</v>
      </c>
      <c r="AL58" t="s">
        <v>217</v>
      </c>
      <c r="AM58" t="s">
        <v>1209</v>
      </c>
      <c r="AN58" t="s">
        <v>6</v>
      </c>
      <c r="AO58" s="57">
        <v>46032.517557870371</v>
      </c>
      <c r="AR58" t="s">
        <v>218</v>
      </c>
      <c r="AS58" t="s">
        <v>848</v>
      </c>
      <c r="AT58" t="s">
        <v>342</v>
      </c>
      <c r="AU58">
        <v>20261001</v>
      </c>
      <c r="AV58" t="s">
        <v>221</v>
      </c>
      <c r="AW58" t="s">
        <v>540</v>
      </c>
      <c r="AX58" t="s">
        <v>222</v>
      </c>
      <c r="BA58" s="57">
        <v>46296.291666666664</v>
      </c>
      <c r="BB58" t="s">
        <v>1209</v>
      </c>
      <c r="BC58">
        <v>2026</v>
      </c>
      <c r="BD58">
        <v>10</v>
      </c>
      <c r="BE58">
        <v>1</v>
      </c>
      <c r="BF58" s="6">
        <f t="shared" si="0"/>
        <v>46296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SURABAYA SELATAN</v>
      </c>
    </row>
    <row r="59" spans="1:61" hidden="1">
      <c r="A59">
        <v>58</v>
      </c>
      <c r="B59">
        <v>1002617838</v>
      </c>
      <c r="C59">
        <v>3</v>
      </c>
      <c r="D59" t="s">
        <v>51</v>
      </c>
      <c r="E59">
        <v>4</v>
      </c>
      <c r="F59" t="s">
        <v>268</v>
      </c>
      <c r="G59" t="s">
        <v>268</v>
      </c>
      <c r="H59" t="s">
        <v>877</v>
      </c>
      <c r="I59" t="s">
        <v>212</v>
      </c>
      <c r="J59" t="s">
        <v>213</v>
      </c>
      <c r="K59" t="s">
        <v>149</v>
      </c>
      <c r="M59" t="s">
        <v>819</v>
      </c>
      <c r="N59" t="s">
        <v>215</v>
      </c>
      <c r="O59" s="57">
        <v>46296.558993055558</v>
      </c>
      <c r="P59" s="57">
        <v>46296.561284722222</v>
      </c>
      <c r="Q59">
        <v>69402365</v>
      </c>
      <c r="S59">
        <v>141456115553</v>
      </c>
      <c r="T59" t="s">
        <v>1210</v>
      </c>
      <c r="U59" t="s">
        <v>1211</v>
      </c>
      <c r="Z59">
        <v>110.633223053436</v>
      </c>
      <c r="AA59">
        <v>-6.9019571696067601</v>
      </c>
      <c r="AB59" t="s">
        <v>1212</v>
      </c>
      <c r="AC59" t="s">
        <v>283</v>
      </c>
      <c r="AO59" s="57">
        <v>46032.569884259261</v>
      </c>
      <c r="AR59" t="s">
        <v>325</v>
      </c>
      <c r="AS59" t="s">
        <v>878</v>
      </c>
      <c r="AT59" t="s">
        <v>230</v>
      </c>
      <c r="AV59" t="s">
        <v>820</v>
      </c>
      <c r="AW59" t="s">
        <v>540</v>
      </c>
      <c r="AX59" t="s">
        <v>222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e">
        <f>VLOOKUP(H59,Sheet2!$A$1:$B$270,2,FALSE)</f>
        <v>#N/A</v>
      </c>
    </row>
    <row r="60" spans="1:61" hidden="1">
      <c r="A60">
        <v>59</v>
      </c>
      <c r="B60">
        <v>1002617515</v>
      </c>
      <c r="C60">
        <v>3</v>
      </c>
      <c r="D60" t="s">
        <v>49</v>
      </c>
      <c r="E60">
        <v>4</v>
      </c>
      <c r="F60" t="s">
        <v>244</v>
      </c>
      <c r="G60" t="s">
        <v>554</v>
      </c>
      <c r="H60" t="s">
        <v>555</v>
      </c>
      <c r="I60" t="s">
        <v>212</v>
      </c>
      <c r="J60" t="s">
        <v>213</v>
      </c>
      <c r="K60" t="s">
        <v>149</v>
      </c>
      <c r="L60" t="s">
        <v>214</v>
      </c>
      <c r="M60" t="s">
        <v>224</v>
      </c>
      <c r="N60" t="s">
        <v>215</v>
      </c>
      <c r="O60" s="57">
        <v>46296.462268518517</v>
      </c>
      <c r="P60" s="57">
        <v>46297.343032407407</v>
      </c>
      <c r="Q60">
        <v>69402219</v>
      </c>
      <c r="S60">
        <v>142434111801</v>
      </c>
      <c r="T60" t="s">
        <v>1213</v>
      </c>
      <c r="U60" t="s">
        <v>1214</v>
      </c>
      <c r="V60" t="s">
        <v>1215</v>
      </c>
      <c r="Z60">
        <v>110.50549289999999</v>
      </c>
      <c r="AA60">
        <v>-7.3329836999999998</v>
      </c>
      <c r="AB60" t="s">
        <v>1216</v>
      </c>
      <c r="AC60" t="s">
        <v>235</v>
      </c>
      <c r="AL60" t="s">
        <v>217</v>
      </c>
      <c r="AM60" t="s">
        <v>1217</v>
      </c>
      <c r="AN60" t="s">
        <v>6</v>
      </c>
      <c r="AO60" s="57">
        <v>46032.486342592594</v>
      </c>
      <c r="AP60" s="57">
        <v>46297.333333333336</v>
      </c>
      <c r="AR60" t="s">
        <v>18</v>
      </c>
      <c r="AS60" t="s">
        <v>219</v>
      </c>
      <c r="AT60" t="s">
        <v>230</v>
      </c>
      <c r="AV60" t="s">
        <v>226</v>
      </c>
      <c r="AW60" t="s">
        <v>892</v>
      </c>
      <c r="AX60" t="s">
        <v>222</v>
      </c>
      <c r="BA60" s="57">
        <v>46297.333333333336</v>
      </c>
      <c r="BB60" t="s">
        <v>1217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e">
        <f>VLOOKUP(H60,Sheet2!$A$1:$B$270,2,FALSE)</f>
        <v>#N/A</v>
      </c>
    </row>
    <row r="61" spans="1:61" hidden="1">
      <c r="A61">
        <v>60</v>
      </c>
      <c r="B61">
        <v>1002617361</v>
      </c>
      <c r="C61">
        <v>3</v>
      </c>
      <c r="D61" t="s">
        <v>51</v>
      </c>
      <c r="E61">
        <v>4</v>
      </c>
      <c r="F61" t="s">
        <v>268</v>
      </c>
      <c r="G61" t="s">
        <v>268</v>
      </c>
      <c r="H61" t="s">
        <v>805</v>
      </c>
      <c r="I61" t="s">
        <v>212</v>
      </c>
      <c r="J61" t="s">
        <v>213</v>
      </c>
      <c r="K61" t="s">
        <v>149</v>
      </c>
      <c r="L61" t="s">
        <v>214</v>
      </c>
      <c r="M61" t="s">
        <v>238</v>
      </c>
      <c r="N61" t="s">
        <v>215</v>
      </c>
      <c r="O61" s="57">
        <v>46296.438645833332</v>
      </c>
      <c r="P61" s="57">
        <v>46296.440289351849</v>
      </c>
      <c r="Q61">
        <v>69402186</v>
      </c>
      <c r="S61">
        <v>142401146359</v>
      </c>
      <c r="T61" t="s">
        <v>1218</v>
      </c>
      <c r="U61" t="s">
        <v>1219</v>
      </c>
      <c r="V61" t="s">
        <v>1220</v>
      </c>
      <c r="Z61">
        <v>110.863041</v>
      </c>
      <c r="AA61">
        <v>-6.7838320000000003</v>
      </c>
      <c r="AB61" t="s">
        <v>1221</v>
      </c>
      <c r="AC61" t="s">
        <v>235</v>
      </c>
      <c r="AL61" t="s">
        <v>217</v>
      </c>
      <c r="AM61" t="s">
        <v>1222</v>
      </c>
      <c r="AN61" t="s">
        <v>6</v>
      </c>
      <c r="AO61" s="57">
        <v>46032.444687499999</v>
      </c>
      <c r="AP61" s="57">
        <v>46300.458333333336</v>
      </c>
      <c r="AR61" t="s">
        <v>239</v>
      </c>
      <c r="AS61" t="s">
        <v>219</v>
      </c>
      <c r="AT61" t="s">
        <v>230</v>
      </c>
      <c r="AV61" t="s">
        <v>238</v>
      </c>
      <c r="AW61" t="s">
        <v>881</v>
      </c>
      <c r="AX61" t="s">
        <v>222</v>
      </c>
      <c r="BA61" s="57">
        <v>46300.458333333336</v>
      </c>
      <c r="BB61" t="s">
        <v>1222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e">
        <f>VLOOKUP(H61,Sheet2!$A$1:$B$270,2,FALSE)</f>
        <v>#N/A</v>
      </c>
    </row>
    <row r="62" spans="1:61" hidden="1">
      <c r="A62">
        <v>61</v>
      </c>
      <c r="B62">
        <v>1002618429</v>
      </c>
      <c r="C62">
        <v>3</v>
      </c>
      <c r="D62" t="s">
        <v>51</v>
      </c>
      <c r="E62">
        <v>4</v>
      </c>
      <c r="F62" t="s">
        <v>268</v>
      </c>
      <c r="G62" t="s">
        <v>288</v>
      </c>
      <c r="H62" t="s">
        <v>797</v>
      </c>
      <c r="I62" t="s">
        <v>212</v>
      </c>
      <c r="J62" t="s">
        <v>213</v>
      </c>
      <c r="K62" t="s">
        <v>149</v>
      </c>
      <c r="M62" t="s">
        <v>238</v>
      </c>
      <c r="N62" t="s">
        <v>215</v>
      </c>
      <c r="O62" s="57">
        <v>46296.65761574074</v>
      </c>
      <c r="P62" s="57">
        <v>46297.472233796296</v>
      </c>
      <c r="Q62">
        <v>69402534</v>
      </c>
      <c r="S62">
        <v>142551119689</v>
      </c>
      <c r="T62" t="s">
        <v>921</v>
      </c>
      <c r="U62" t="s">
        <v>922</v>
      </c>
      <c r="V62" t="s">
        <v>1223</v>
      </c>
      <c r="Z62">
        <v>110.9564415</v>
      </c>
      <c r="AA62">
        <v>-6.9108118000000003</v>
      </c>
      <c r="AB62" t="s">
        <v>1224</v>
      </c>
      <c r="AC62" t="s">
        <v>283</v>
      </c>
      <c r="AL62" t="s">
        <v>217</v>
      </c>
      <c r="AM62" t="s">
        <v>1225</v>
      </c>
      <c r="AN62" t="s">
        <v>6</v>
      </c>
      <c r="AO62" s="57">
        <v>46032.694421296299</v>
      </c>
      <c r="AP62" s="57">
        <v>46298.333333333336</v>
      </c>
      <c r="AR62" t="s">
        <v>239</v>
      </c>
      <c r="AS62" t="s">
        <v>219</v>
      </c>
      <c r="AT62" t="s">
        <v>230</v>
      </c>
      <c r="AV62" t="s">
        <v>238</v>
      </c>
      <c r="AW62" t="s">
        <v>539</v>
      </c>
      <c r="AX62" t="s">
        <v>222</v>
      </c>
      <c r="BA62" s="57">
        <v>46298.333333333336</v>
      </c>
      <c r="BB62" t="s">
        <v>1225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e">
        <f>VLOOKUP(H62,Sheet2!$A$1:$B$270,2,FALSE)</f>
        <v>#N/A</v>
      </c>
    </row>
    <row r="63" spans="1:61" hidden="1">
      <c r="A63">
        <v>62</v>
      </c>
      <c r="B63">
        <v>1002617076</v>
      </c>
      <c r="C63">
        <v>3</v>
      </c>
      <c r="D63" t="s">
        <v>49</v>
      </c>
      <c r="E63">
        <v>4</v>
      </c>
      <c r="F63" t="s">
        <v>244</v>
      </c>
      <c r="G63" t="s">
        <v>851</v>
      </c>
      <c r="H63" t="s">
        <v>860</v>
      </c>
      <c r="I63" t="s">
        <v>212</v>
      </c>
      <c r="J63" t="s">
        <v>213</v>
      </c>
      <c r="K63" t="s">
        <v>149</v>
      </c>
      <c r="L63" t="s">
        <v>214</v>
      </c>
      <c r="M63" t="s">
        <v>76</v>
      </c>
      <c r="N63" t="s">
        <v>215</v>
      </c>
      <c r="O63" s="57">
        <v>46296.393449074072</v>
      </c>
      <c r="P63" s="57">
        <v>46296.612835648149</v>
      </c>
      <c r="Q63">
        <v>69402089</v>
      </c>
      <c r="S63">
        <v>146457106646</v>
      </c>
      <c r="T63" t="s">
        <v>837</v>
      </c>
      <c r="U63" t="s">
        <v>1226</v>
      </c>
      <c r="V63" t="s">
        <v>1227</v>
      </c>
      <c r="Z63">
        <v>110.1782671</v>
      </c>
      <c r="AA63">
        <v>-6.9232719999999999</v>
      </c>
      <c r="AB63" t="s">
        <v>1228</v>
      </c>
      <c r="AC63" t="s">
        <v>235</v>
      </c>
      <c r="AL63" t="s">
        <v>217</v>
      </c>
      <c r="AM63" t="s">
        <v>1156</v>
      </c>
      <c r="AN63" t="s">
        <v>6</v>
      </c>
      <c r="AO63" s="57">
        <v>46032.413738425923</v>
      </c>
      <c r="AP63" s="57">
        <v>46297.333333333336</v>
      </c>
      <c r="AR63" t="s">
        <v>218</v>
      </c>
      <c r="AS63" t="s">
        <v>219</v>
      </c>
      <c r="AT63" t="s">
        <v>230</v>
      </c>
      <c r="AU63">
        <v>20261001</v>
      </c>
      <c r="AV63" t="s">
        <v>221</v>
      </c>
      <c r="AW63" t="s">
        <v>885</v>
      </c>
      <c r="AX63" t="s">
        <v>222</v>
      </c>
      <c r="BA63" s="57">
        <v>46297.333333333336</v>
      </c>
      <c r="BB63" t="s">
        <v>1156</v>
      </c>
      <c r="BC63">
        <v>2026</v>
      </c>
      <c r="BD63">
        <v>10</v>
      </c>
      <c r="BE63">
        <v>1</v>
      </c>
      <c r="BF63" s="6">
        <f t="shared" si="0"/>
        <v>46296</v>
      </c>
      <c r="BG63">
        <f t="shared" si="1"/>
        <v>-1.3333333333357587</v>
      </c>
      <c r="BH63" t="str">
        <f t="shared" si="2"/>
        <v>COMPLY</v>
      </c>
      <c r="BI63" t="e">
        <f>VLOOKUP(H63,Sheet2!$A$1:$B$270,2,FALSE)</f>
        <v>#N/A</v>
      </c>
    </row>
    <row r="64" spans="1:61" hidden="1">
      <c r="A64">
        <v>63</v>
      </c>
      <c r="B64">
        <v>1002618091</v>
      </c>
      <c r="C64">
        <v>3</v>
      </c>
      <c r="D64" t="s">
        <v>49</v>
      </c>
      <c r="E64">
        <v>4</v>
      </c>
      <c r="F64" t="s">
        <v>244</v>
      </c>
      <c r="G64" t="s">
        <v>245</v>
      </c>
      <c r="H64" t="s">
        <v>836</v>
      </c>
      <c r="I64" t="s">
        <v>212</v>
      </c>
      <c r="J64" t="s">
        <v>213</v>
      </c>
      <c r="K64" t="s">
        <v>149</v>
      </c>
      <c r="M64" t="s">
        <v>76</v>
      </c>
      <c r="N64" t="s">
        <v>215</v>
      </c>
      <c r="O64" s="57">
        <v>46296.600451388891</v>
      </c>
      <c r="P64" s="57">
        <v>46296.790960648148</v>
      </c>
      <c r="Q64">
        <v>69372639</v>
      </c>
      <c r="S64">
        <v>141420160408</v>
      </c>
      <c r="T64" t="s">
        <v>1229</v>
      </c>
      <c r="U64" t="s">
        <v>1230</v>
      </c>
      <c r="V64" t="s">
        <v>1231</v>
      </c>
      <c r="Z64">
        <v>110.341539457672</v>
      </c>
      <c r="AA64">
        <v>-7.0008219091711901</v>
      </c>
      <c r="AB64" t="s">
        <v>1232</v>
      </c>
      <c r="AC64" t="s">
        <v>225</v>
      </c>
      <c r="AL64" t="s">
        <v>217</v>
      </c>
      <c r="AM64" t="s">
        <v>1233</v>
      </c>
      <c r="AN64" t="s">
        <v>6</v>
      </c>
      <c r="AO64" s="57">
        <v>46032.611296296294</v>
      </c>
      <c r="AR64" t="s">
        <v>218</v>
      </c>
      <c r="AS64" t="s">
        <v>834</v>
      </c>
      <c r="AT64" t="s">
        <v>230</v>
      </c>
      <c r="AU64">
        <v>20261001</v>
      </c>
      <c r="AV64" t="s">
        <v>221</v>
      </c>
      <c r="AW64" t="s">
        <v>539</v>
      </c>
      <c r="AX64" t="s">
        <v>222</v>
      </c>
      <c r="BA64" s="57">
        <v>46296.291666666664</v>
      </c>
      <c r="BB64" t="s">
        <v>1233</v>
      </c>
      <c r="BC64">
        <v>2026</v>
      </c>
      <c r="BD64">
        <v>10</v>
      </c>
      <c r="BE64">
        <v>1</v>
      </c>
      <c r="BF64" s="6">
        <f t="shared" si="0"/>
        <v>46296</v>
      </c>
      <c r="BG64">
        <f t="shared" si="1"/>
        <v>-0.29166666666424135</v>
      </c>
      <c r="BH64" t="str">
        <f t="shared" si="2"/>
        <v>COMPLY</v>
      </c>
      <c r="BI64" t="e">
        <f>VLOOKUP(H64,Sheet2!$A$1:$B$270,2,FALSE)</f>
        <v>#N/A</v>
      </c>
    </row>
    <row r="65" spans="1:61" hidden="1">
      <c r="A65">
        <v>64</v>
      </c>
      <c r="B65">
        <v>1002617233</v>
      </c>
      <c r="C65">
        <v>3</v>
      </c>
      <c r="D65" t="s">
        <v>49</v>
      </c>
      <c r="E65">
        <v>4</v>
      </c>
      <c r="F65" t="s">
        <v>244</v>
      </c>
      <c r="G65" t="s">
        <v>245</v>
      </c>
      <c r="H65" t="s">
        <v>836</v>
      </c>
      <c r="I65" t="s">
        <v>212</v>
      </c>
      <c r="J65" t="s">
        <v>213</v>
      </c>
      <c r="K65" t="s">
        <v>149</v>
      </c>
      <c r="L65" t="s">
        <v>214</v>
      </c>
      <c r="M65" t="s">
        <v>224</v>
      </c>
      <c r="N65" t="s">
        <v>215</v>
      </c>
      <c r="O65" s="57">
        <v>46296.41783564815</v>
      </c>
      <c r="P65" s="57">
        <v>46297.34412037037</v>
      </c>
      <c r="Q65">
        <v>69402145</v>
      </c>
      <c r="S65">
        <v>141420160402</v>
      </c>
      <c r="T65" t="s">
        <v>1234</v>
      </c>
      <c r="U65" t="s">
        <v>1235</v>
      </c>
      <c r="V65" t="s">
        <v>1236</v>
      </c>
      <c r="Z65">
        <v>110.30420410000001</v>
      </c>
      <c r="AA65">
        <v>-7.0052196999999996</v>
      </c>
      <c r="AB65" t="s">
        <v>1237</v>
      </c>
      <c r="AC65" t="s">
        <v>216</v>
      </c>
      <c r="AL65" t="s">
        <v>217</v>
      </c>
      <c r="AM65" t="s">
        <v>1238</v>
      </c>
      <c r="AN65" t="s">
        <v>6</v>
      </c>
      <c r="AO65" s="57">
        <v>46032.434247685182</v>
      </c>
      <c r="AP65" s="57">
        <v>46297.333333333336</v>
      </c>
      <c r="AR65" t="s">
        <v>18</v>
      </c>
      <c r="AS65" t="s">
        <v>834</v>
      </c>
      <c r="AT65" t="s">
        <v>230</v>
      </c>
      <c r="AV65" t="s">
        <v>226</v>
      </c>
      <c r="AW65" t="s">
        <v>882</v>
      </c>
      <c r="AX65" t="s">
        <v>222</v>
      </c>
      <c r="BA65" s="57">
        <v>46297.333333333336</v>
      </c>
      <c r="BB65" t="s">
        <v>1238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e">
        <f>VLOOKUP(H65,Sheet2!$A$1:$B$270,2,FALSE)</f>
        <v>#N/A</v>
      </c>
    </row>
    <row r="66" spans="1:61" hidden="1">
      <c r="A66">
        <v>65</v>
      </c>
      <c r="B66">
        <v>1002618755</v>
      </c>
      <c r="C66">
        <v>3</v>
      </c>
      <c r="D66" t="s">
        <v>49</v>
      </c>
      <c r="E66">
        <v>4</v>
      </c>
      <c r="F66" t="s">
        <v>244</v>
      </c>
      <c r="G66" t="s">
        <v>245</v>
      </c>
      <c r="H66" t="s">
        <v>803</v>
      </c>
      <c r="I66" t="s">
        <v>212</v>
      </c>
      <c r="J66" t="s">
        <v>213</v>
      </c>
      <c r="K66" t="s">
        <v>149</v>
      </c>
      <c r="L66" t="s">
        <v>214</v>
      </c>
      <c r="M66" t="s">
        <v>255</v>
      </c>
      <c r="N66" t="s">
        <v>215</v>
      </c>
      <c r="O66" s="57">
        <v>46296.740671296298</v>
      </c>
      <c r="P66" s="57">
        <v>46297.534756944442</v>
      </c>
      <c r="Q66">
        <v>69402637</v>
      </c>
      <c r="S66">
        <v>142406123044</v>
      </c>
      <c r="T66" t="s">
        <v>942</v>
      </c>
      <c r="U66" t="s">
        <v>1239</v>
      </c>
      <c r="V66" t="s">
        <v>1240</v>
      </c>
      <c r="Z66">
        <v>110.442810058593</v>
      </c>
      <c r="AA66">
        <v>-6.9639205629502898</v>
      </c>
      <c r="AB66" t="s">
        <v>1241</v>
      </c>
      <c r="AC66" t="s">
        <v>235</v>
      </c>
      <c r="AL66" t="s">
        <v>217</v>
      </c>
      <c r="AM66" t="s">
        <v>1136</v>
      </c>
      <c r="AN66" t="s">
        <v>6</v>
      </c>
      <c r="AO66" s="57">
        <v>46032.746898148151</v>
      </c>
      <c r="AP66" s="57">
        <v>46297.625</v>
      </c>
      <c r="AR66" t="s">
        <v>256</v>
      </c>
      <c r="AS66" t="s">
        <v>811</v>
      </c>
      <c r="AT66" t="s">
        <v>230</v>
      </c>
      <c r="AV66" t="s">
        <v>257</v>
      </c>
      <c r="AW66" t="s">
        <v>882</v>
      </c>
      <c r="AX66" t="s">
        <v>222</v>
      </c>
      <c r="BA66" s="57">
        <v>46297.625</v>
      </c>
      <c r="BB66" t="s">
        <v>1136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e">
        <f>VLOOKUP(H66,Sheet2!$A$1:$B$270,2,FALSE)</f>
        <v>#N/A</v>
      </c>
    </row>
    <row r="67" spans="1:61" hidden="1">
      <c r="A67">
        <v>66</v>
      </c>
      <c r="B67">
        <v>1002618750</v>
      </c>
      <c r="C67">
        <v>3</v>
      </c>
      <c r="D67" t="s">
        <v>59</v>
      </c>
      <c r="E67">
        <v>4</v>
      </c>
      <c r="F67" t="s">
        <v>223</v>
      </c>
      <c r="G67" t="s">
        <v>223</v>
      </c>
      <c r="H67" t="s">
        <v>800</v>
      </c>
      <c r="I67" t="s">
        <v>212</v>
      </c>
      <c r="J67" t="s">
        <v>213</v>
      </c>
      <c r="K67" t="s">
        <v>149</v>
      </c>
      <c r="L67" t="s">
        <v>214</v>
      </c>
      <c r="M67" t="s">
        <v>238</v>
      </c>
      <c r="N67" t="s">
        <v>215</v>
      </c>
      <c r="O67" s="57">
        <v>46296.736574074072</v>
      </c>
      <c r="P67" s="57">
        <v>46296.737511574072</v>
      </c>
      <c r="Q67">
        <v>69402655</v>
      </c>
      <c r="S67">
        <v>146303629359</v>
      </c>
      <c r="T67" t="s">
        <v>1122</v>
      </c>
      <c r="U67" t="s">
        <v>1242</v>
      </c>
      <c r="V67" t="s">
        <v>1243</v>
      </c>
      <c r="Z67">
        <v>109.21708700000001</v>
      </c>
      <c r="AA67">
        <v>-7.4436650000000002</v>
      </c>
      <c r="AB67" t="s">
        <v>1244</v>
      </c>
      <c r="AC67" t="s">
        <v>235</v>
      </c>
      <c r="AL67" t="s">
        <v>217</v>
      </c>
      <c r="AM67" t="s">
        <v>1245</v>
      </c>
      <c r="AN67" t="s">
        <v>6</v>
      </c>
      <c r="AO67" s="57">
        <v>46032.746898148151</v>
      </c>
      <c r="AP67" s="57">
        <v>46297.625</v>
      </c>
      <c r="AR67" t="s">
        <v>239</v>
      </c>
      <c r="AS67" t="s">
        <v>219</v>
      </c>
      <c r="AT67" t="s">
        <v>230</v>
      </c>
      <c r="AV67" t="s">
        <v>238</v>
      </c>
      <c r="AW67" t="s">
        <v>882</v>
      </c>
      <c r="AX67" t="s">
        <v>222</v>
      </c>
      <c r="BA67" s="57">
        <v>46297.625</v>
      </c>
      <c r="BB67" t="s">
        <v>1245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e">
        <f>VLOOKUP(H67,Sheet2!$A$1:$B$270,2,FALSE)</f>
        <v>#N/A</v>
      </c>
    </row>
    <row r="68" spans="1:61" hidden="1">
      <c r="A68">
        <v>67</v>
      </c>
      <c r="B68">
        <v>1002617282</v>
      </c>
      <c r="C68">
        <v>3</v>
      </c>
      <c r="D68" t="s">
        <v>59</v>
      </c>
      <c r="E68">
        <v>4</v>
      </c>
      <c r="F68" t="s">
        <v>223</v>
      </c>
      <c r="G68" t="s">
        <v>223</v>
      </c>
      <c r="H68" t="s">
        <v>800</v>
      </c>
      <c r="I68" t="s">
        <v>212</v>
      </c>
      <c r="J68" t="s">
        <v>213</v>
      </c>
      <c r="K68" t="s">
        <v>149</v>
      </c>
      <c r="M68" t="s">
        <v>238</v>
      </c>
      <c r="N68" t="s">
        <v>215</v>
      </c>
      <c r="O68" s="57">
        <v>46296.429259259261</v>
      </c>
      <c r="P68" s="57">
        <v>46296.619525462964</v>
      </c>
      <c r="Q68">
        <v>69402155</v>
      </c>
      <c r="S68">
        <v>146303629342</v>
      </c>
      <c r="T68" t="s">
        <v>1246</v>
      </c>
      <c r="U68" t="s">
        <v>1247</v>
      </c>
      <c r="V68" t="s">
        <v>1248</v>
      </c>
      <c r="Z68">
        <v>109.226715564496</v>
      </c>
      <c r="AA68">
        <v>-7.3960277174201998</v>
      </c>
      <c r="AB68" t="s">
        <v>1249</v>
      </c>
      <c r="AC68" t="s">
        <v>225</v>
      </c>
      <c r="AL68" t="s">
        <v>217</v>
      </c>
      <c r="AM68" t="s">
        <v>1250</v>
      </c>
      <c r="AN68" t="s">
        <v>6</v>
      </c>
      <c r="AO68" s="57">
        <v>46032.434247685182</v>
      </c>
      <c r="AP68" s="57">
        <v>46298.333333333336</v>
      </c>
      <c r="AR68" t="s">
        <v>239</v>
      </c>
      <c r="AS68" t="s">
        <v>219</v>
      </c>
      <c r="AT68" t="s">
        <v>230</v>
      </c>
      <c r="AV68" t="s">
        <v>238</v>
      </c>
      <c r="AW68" t="s">
        <v>541</v>
      </c>
      <c r="AX68" t="s">
        <v>222</v>
      </c>
      <c r="BA68" s="57">
        <v>46298.333333333336</v>
      </c>
      <c r="BB68" t="s">
        <v>1250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e">
        <f>VLOOKUP(H68,Sheet2!$A$1:$B$270,2,FALSE)</f>
        <v>#N/A</v>
      </c>
    </row>
    <row r="69" spans="1:61" hidden="1">
      <c r="A69">
        <v>68</v>
      </c>
      <c r="B69">
        <v>1002616994</v>
      </c>
      <c r="C69">
        <v>3</v>
      </c>
      <c r="D69" t="s">
        <v>59</v>
      </c>
      <c r="E69">
        <v>4</v>
      </c>
      <c r="F69" t="s">
        <v>223</v>
      </c>
      <c r="G69" t="s">
        <v>312</v>
      </c>
      <c r="H69" t="s">
        <v>313</v>
      </c>
      <c r="I69" t="s">
        <v>212</v>
      </c>
      <c r="J69" t="s">
        <v>213</v>
      </c>
      <c r="K69" t="s">
        <v>149</v>
      </c>
      <c r="M69" t="s">
        <v>538</v>
      </c>
      <c r="N69" t="s">
        <v>215</v>
      </c>
      <c r="O69" s="57">
        <v>46296.380231481482</v>
      </c>
      <c r="P69" s="57">
        <v>46297.474606481483</v>
      </c>
      <c r="Q69">
        <v>69402039</v>
      </c>
      <c r="S69">
        <v>146372102975</v>
      </c>
      <c r="T69" t="s">
        <v>1251</v>
      </c>
      <c r="U69" t="s">
        <v>1252</v>
      </c>
      <c r="Z69">
        <v>109.814038</v>
      </c>
      <c r="AA69">
        <v>-7.2282590000000004</v>
      </c>
      <c r="AB69" t="s">
        <v>1253</v>
      </c>
      <c r="AC69" t="s">
        <v>283</v>
      </c>
      <c r="AO69" s="57">
        <v>46032.392847222225</v>
      </c>
      <c r="AR69" t="s">
        <v>6</v>
      </c>
      <c r="AS69" t="s">
        <v>219</v>
      </c>
      <c r="AT69" t="s">
        <v>230</v>
      </c>
      <c r="AV69" t="s">
        <v>952</v>
      </c>
      <c r="AW69" t="s">
        <v>864</v>
      </c>
      <c r="AX69" t="s">
        <v>222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e">
        <f>VLOOKUP(H69,Sheet2!$A$1:$B$270,2,FALSE)</f>
        <v>#N/A</v>
      </c>
    </row>
    <row r="70" spans="1:61" hidden="1">
      <c r="A70">
        <v>69</v>
      </c>
      <c r="B70">
        <v>1002618109</v>
      </c>
      <c r="C70">
        <v>3</v>
      </c>
      <c r="D70" t="s">
        <v>59</v>
      </c>
      <c r="E70">
        <v>4</v>
      </c>
      <c r="F70" t="s">
        <v>223</v>
      </c>
      <c r="G70" t="s">
        <v>312</v>
      </c>
      <c r="H70" t="s">
        <v>810</v>
      </c>
      <c r="I70" t="s">
        <v>212</v>
      </c>
      <c r="J70" t="s">
        <v>213</v>
      </c>
      <c r="K70" t="s">
        <v>149</v>
      </c>
      <c r="L70" t="s">
        <v>214</v>
      </c>
      <c r="M70" t="s">
        <v>898</v>
      </c>
      <c r="N70" t="s">
        <v>215</v>
      </c>
      <c r="O70" s="57">
        <v>46296.603182870371</v>
      </c>
      <c r="P70" s="57">
        <v>46297.471203703702</v>
      </c>
      <c r="Q70">
        <v>69402437</v>
      </c>
      <c r="S70">
        <v>143395109400</v>
      </c>
      <c r="T70" t="s">
        <v>1254</v>
      </c>
      <c r="U70" t="s">
        <v>1255</v>
      </c>
      <c r="V70" t="s">
        <v>1256</v>
      </c>
      <c r="Z70">
        <v>109.429236</v>
      </c>
      <c r="AA70">
        <v>-7.4728000000000003</v>
      </c>
      <c r="AB70" t="s">
        <v>1257</v>
      </c>
      <c r="AC70" t="s">
        <v>235</v>
      </c>
      <c r="AL70" t="s">
        <v>217</v>
      </c>
      <c r="AM70" t="s">
        <v>1258</v>
      </c>
      <c r="AN70" t="s">
        <v>6</v>
      </c>
      <c r="AO70" s="57">
        <v>46032.611296296294</v>
      </c>
      <c r="AP70" s="57">
        <v>46297.458333333336</v>
      </c>
      <c r="AR70" t="s">
        <v>889</v>
      </c>
      <c r="AS70" t="s">
        <v>817</v>
      </c>
      <c r="AT70" t="s">
        <v>230</v>
      </c>
      <c r="AV70" t="s">
        <v>899</v>
      </c>
      <c r="AW70" t="s">
        <v>236</v>
      </c>
      <c r="AX70" t="s">
        <v>222</v>
      </c>
      <c r="BA70" s="57">
        <v>46297.458333333336</v>
      </c>
      <c r="BB70" t="s">
        <v>1258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e">
        <f>VLOOKUP(H70,Sheet2!$A$1:$B$270,2,FALSE)</f>
        <v>#N/A</v>
      </c>
    </row>
    <row r="71" spans="1:61" hidden="1">
      <c r="A71">
        <v>70</v>
      </c>
      <c r="B71">
        <v>1002617796</v>
      </c>
      <c r="C71">
        <v>3</v>
      </c>
      <c r="D71" t="s">
        <v>59</v>
      </c>
      <c r="E71">
        <v>4</v>
      </c>
      <c r="F71" t="s">
        <v>241</v>
      </c>
      <c r="G71" t="s">
        <v>821</v>
      </c>
      <c r="H71" t="s">
        <v>822</v>
      </c>
      <c r="I71" t="s">
        <v>212</v>
      </c>
      <c r="J71" t="s">
        <v>213</v>
      </c>
      <c r="K71" t="s">
        <v>149</v>
      </c>
      <c r="L71" t="s">
        <v>214</v>
      </c>
      <c r="M71" t="s">
        <v>930</v>
      </c>
      <c r="N71" t="s">
        <v>215</v>
      </c>
      <c r="O71" s="57">
        <v>46296.5469212963</v>
      </c>
      <c r="P71" s="57">
        <v>46297.558483796296</v>
      </c>
      <c r="Q71">
        <v>69402334</v>
      </c>
      <c r="S71">
        <v>141373127777</v>
      </c>
      <c r="T71" t="s">
        <v>1259</v>
      </c>
      <c r="U71" t="s">
        <v>1260</v>
      </c>
      <c r="V71" t="s">
        <v>1261</v>
      </c>
      <c r="Z71">
        <v>109.89601554506299</v>
      </c>
      <c r="AA71">
        <v>-7.3708467491672396</v>
      </c>
      <c r="AB71" t="s">
        <v>1262</v>
      </c>
      <c r="AC71" t="s">
        <v>235</v>
      </c>
      <c r="AL71" t="s">
        <v>217</v>
      </c>
      <c r="AM71" t="s">
        <v>1263</v>
      </c>
      <c r="AN71" t="s">
        <v>6</v>
      </c>
      <c r="AO71" s="57">
        <v>46032.559305555558</v>
      </c>
      <c r="AP71" s="57">
        <v>46297.458333333336</v>
      </c>
      <c r="AR71" t="s">
        <v>889</v>
      </c>
      <c r="AS71" t="s">
        <v>219</v>
      </c>
      <c r="AT71" t="s">
        <v>342</v>
      </c>
      <c r="AV71" t="s">
        <v>931</v>
      </c>
      <c r="AW71" t="s">
        <v>859</v>
      </c>
      <c r="AX71" t="s">
        <v>222</v>
      </c>
      <c r="BA71" s="57">
        <v>46297.458333333336</v>
      </c>
      <c r="BB71" t="s">
        <v>1263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e">
        <f>VLOOKUP(H71,Sheet2!$A$1:$B$270,2,FALSE)</f>
        <v>#N/A</v>
      </c>
    </row>
    <row r="72" spans="1:61" hidden="1">
      <c r="A72">
        <v>71</v>
      </c>
      <c r="B72">
        <v>1002618398</v>
      </c>
      <c r="C72">
        <v>3</v>
      </c>
      <c r="D72" t="s">
        <v>49</v>
      </c>
      <c r="E72">
        <v>4</v>
      </c>
      <c r="F72" t="s">
        <v>249</v>
      </c>
      <c r="G72" t="s">
        <v>537</v>
      </c>
      <c r="H72" t="s">
        <v>869</v>
      </c>
      <c r="I72" t="s">
        <v>212</v>
      </c>
      <c r="J72" t="s">
        <v>213</v>
      </c>
      <c r="K72" t="s">
        <v>149</v>
      </c>
      <c r="L72" t="s">
        <v>214</v>
      </c>
      <c r="M72" t="s">
        <v>238</v>
      </c>
      <c r="N72" t="s">
        <v>215</v>
      </c>
      <c r="O72" s="57">
        <v>46296.651782407411</v>
      </c>
      <c r="P72" s="57">
        <v>46296.652812499997</v>
      </c>
      <c r="Q72">
        <v>69402551</v>
      </c>
      <c r="S72">
        <v>142213107480</v>
      </c>
      <c r="T72" t="s">
        <v>1264</v>
      </c>
      <c r="U72" t="s">
        <v>1265</v>
      </c>
      <c r="V72" t="s">
        <v>1266</v>
      </c>
      <c r="Z72">
        <v>109.260865</v>
      </c>
      <c r="AA72">
        <v>-7.074757</v>
      </c>
      <c r="AB72" t="s">
        <v>1267</v>
      </c>
      <c r="AC72" t="s">
        <v>235</v>
      </c>
      <c r="AL72" t="s">
        <v>217</v>
      </c>
      <c r="AM72" t="s">
        <v>1268</v>
      </c>
      <c r="AN72" t="s">
        <v>6</v>
      </c>
      <c r="AO72" s="57">
        <v>46032.653252314813</v>
      </c>
      <c r="AP72" s="57">
        <v>46297.625</v>
      </c>
      <c r="AR72" t="s">
        <v>239</v>
      </c>
      <c r="AS72" t="s">
        <v>870</v>
      </c>
      <c r="AT72" t="s">
        <v>230</v>
      </c>
      <c r="AV72" t="s">
        <v>238</v>
      </c>
      <c r="AW72" t="s">
        <v>885</v>
      </c>
      <c r="AX72" t="s">
        <v>222</v>
      </c>
      <c r="BA72" s="57">
        <v>46297.625</v>
      </c>
      <c r="BB72" t="s">
        <v>1268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e">
        <f>VLOOKUP(H72,Sheet2!$A$1:$B$270,2,FALSE)</f>
        <v>#N/A</v>
      </c>
    </row>
    <row r="73" spans="1:61" hidden="1">
      <c r="A73">
        <v>72</v>
      </c>
      <c r="B73">
        <v>1002617123</v>
      </c>
      <c r="C73">
        <v>3</v>
      </c>
      <c r="D73" t="s">
        <v>59</v>
      </c>
      <c r="E73">
        <v>4</v>
      </c>
      <c r="F73" t="s">
        <v>223</v>
      </c>
      <c r="G73" t="s">
        <v>847</v>
      </c>
      <c r="H73" t="s">
        <v>871</v>
      </c>
      <c r="I73" t="s">
        <v>212</v>
      </c>
      <c r="J73" t="s">
        <v>213</v>
      </c>
      <c r="K73" t="s">
        <v>149</v>
      </c>
      <c r="L73" t="s">
        <v>214</v>
      </c>
      <c r="M73" t="s">
        <v>76</v>
      </c>
      <c r="N73" t="s">
        <v>215</v>
      </c>
      <c r="O73" s="57">
        <v>46296.401087962964</v>
      </c>
      <c r="P73" s="57">
        <v>46296.659687500003</v>
      </c>
      <c r="Q73">
        <v>69402096</v>
      </c>
      <c r="S73">
        <v>146394105462</v>
      </c>
      <c r="T73" t="s">
        <v>1269</v>
      </c>
      <c r="U73" t="s">
        <v>1270</v>
      </c>
      <c r="V73" t="s">
        <v>1271</v>
      </c>
      <c r="Z73">
        <v>109.36051447203801</v>
      </c>
      <c r="AA73">
        <v>-7.3363168771240703</v>
      </c>
      <c r="AB73" t="s">
        <v>1272</v>
      </c>
      <c r="AC73" t="s">
        <v>235</v>
      </c>
      <c r="AL73" t="s">
        <v>217</v>
      </c>
      <c r="AM73" t="s">
        <v>1273</v>
      </c>
      <c r="AN73" t="s">
        <v>6</v>
      </c>
      <c r="AO73" s="57">
        <v>46032.413738425923</v>
      </c>
      <c r="AP73" s="57">
        <v>46297.333333333336</v>
      </c>
      <c r="AR73" t="s">
        <v>218</v>
      </c>
      <c r="AS73" t="s">
        <v>872</v>
      </c>
      <c r="AT73" t="s">
        <v>230</v>
      </c>
      <c r="AU73">
        <v>20261001</v>
      </c>
      <c r="AV73" t="s">
        <v>221</v>
      </c>
      <c r="AW73" t="s">
        <v>883</v>
      </c>
      <c r="AX73" t="s">
        <v>222</v>
      </c>
      <c r="BA73" s="57">
        <v>46297.333333333336</v>
      </c>
      <c r="BB73" t="s">
        <v>1273</v>
      </c>
      <c r="BC73">
        <v>2026</v>
      </c>
      <c r="BD73">
        <v>10</v>
      </c>
      <c r="BE73">
        <v>1</v>
      </c>
      <c r="BF73" s="6">
        <f t="shared" si="3"/>
        <v>46296</v>
      </c>
      <c r="BG73">
        <f t="shared" si="4"/>
        <v>-1.3333333333357587</v>
      </c>
      <c r="BH73" t="str">
        <f t="shared" si="5"/>
        <v>COMPLY</v>
      </c>
      <c r="BI73" t="e">
        <f>VLOOKUP(H73,Sheet2!$A$1:$B$270,2,FALSE)</f>
        <v>#N/A</v>
      </c>
    </row>
    <row r="74" spans="1:61" hidden="1">
      <c r="A74">
        <v>73</v>
      </c>
      <c r="B74">
        <v>1002618704</v>
      </c>
      <c r="C74">
        <v>3</v>
      </c>
      <c r="D74" t="s">
        <v>49</v>
      </c>
      <c r="E74">
        <v>4</v>
      </c>
      <c r="F74" t="s">
        <v>249</v>
      </c>
      <c r="G74" t="s">
        <v>536</v>
      </c>
      <c r="H74" t="s">
        <v>858</v>
      </c>
      <c r="I74" t="s">
        <v>212</v>
      </c>
      <c r="J74" t="s">
        <v>213</v>
      </c>
      <c r="K74" t="s">
        <v>149</v>
      </c>
      <c r="L74" t="s">
        <v>214</v>
      </c>
      <c r="M74" t="s">
        <v>238</v>
      </c>
      <c r="N74" t="s">
        <v>215</v>
      </c>
      <c r="O74" s="57">
        <v>46296.718518518515</v>
      </c>
      <c r="P74" s="57">
        <v>46296.719456018516</v>
      </c>
      <c r="Q74">
        <v>69402619</v>
      </c>
      <c r="S74">
        <v>146284107775</v>
      </c>
      <c r="T74" t="s">
        <v>1274</v>
      </c>
      <c r="U74" t="s">
        <v>1275</v>
      </c>
      <c r="V74" t="s">
        <v>1276</v>
      </c>
      <c r="Z74">
        <v>109.067885</v>
      </c>
      <c r="AA74">
        <v>-6.8762809999999996</v>
      </c>
      <c r="AB74" t="s">
        <v>1277</v>
      </c>
      <c r="AC74" t="s">
        <v>235</v>
      </c>
      <c r="AL74" t="s">
        <v>217</v>
      </c>
      <c r="AM74" t="s">
        <v>1278</v>
      </c>
      <c r="AN74" t="s">
        <v>6</v>
      </c>
      <c r="AO74" s="57">
        <v>46032.726099537038</v>
      </c>
      <c r="AP74" s="57">
        <v>46298.333333333336</v>
      </c>
      <c r="AR74" t="s">
        <v>239</v>
      </c>
      <c r="AS74" t="s">
        <v>219</v>
      </c>
      <c r="AT74" t="s">
        <v>230</v>
      </c>
      <c r="AV74" t="s">
        <v>238</v>
      </c>
      <c r="AW74" t="s">
        <v>882</v>
      </c>
      <c r="AX74" t="s">
        <v>222</v>
      </c>
      <c r="BA74" s="57">
        <v>46298.333333333336</v>
      </c>
      <c r="BB74" t="s">
        <v>1278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e">
        <f>VLOOKUP(H74,Sheet2!$A$1:$B$270,2,FALSE)</f>
        <v>#N/A</v>
      </c>
    </row>
    <row r="75" spans="1:61" hidden="1">
      <c r="A75">
        <v>74</v>
      </c>
      <c r="B75">
        <v>1002618417</v>
      </c>
      <c r="C75">
        <v>3</v>
      </c>
      <c r="D75" t="s">
        <v>49</v>
      </c>
      <c r="E75">
        <v>4</v>
      </c>
      <c r="F75" t="s">
        <v>249</v>
      </c>
      <c r="G75" t="s">
        <v>536</v>
      </c>
      <c r="H75" t="s">
        <v>861</v>
      </c>
      <c r="I75" t="s">
        <v>212</v>
      </c>
      <c r="J75" t="s">
        <v>213</v>
      </c>
      <c r="K75" t="s">
        <v>149</v>
      </c>
      <c r="M75" t="s">
        <v>538</v>
      </c>
      <c r="N75" t="s">
        <v>215</v>
      </c>
      <c r="O75" s="57">
        <v>46296.655844907407</v>
      </c>
      <c r="P75" s="57">
        <v>46297.514166666668</v>
      </c>
      <c r="Q75">
        <v>69402558</v>
      </c>
      <c r="S75">
        <v>146281108645</v>
      </c>
      <c r="T75" t="s">
        <v>1279</v>
      </c>
      <c r="U75" t="s">
        <v>1280</v>
      </c>
      <c r="Z75">
        <v>109.0351962</v>
      </c>
      <c r="AA75">
        <v>-7.2957374000000002</v>
      </c>
      <c r="AB75" t="s">
        <v>1281</v>
      </c>
      <c r="AC75" t="s">
        <v>225</v>
      </c>
      <c r="AO75" s="57">
        <v>46032.694421296299</v>
      </c>
      <c r="AR75" t="s">
        <v>6</v>
      </c>
      <c r="AS75" t="s">
        <v>862</v>
      </c>
      <c r="AT75" t="s">
        <v>230</v>
      </c>
      <c r="AV75" t="s">
        <v>1282</v>
      </c>
      <c r="AW75" t="s">
        <v>540</v>
      </c>
      <c r="AX75" t="s">
        <v>222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e">
        <f>VLOOKUP(H75,Sheet2!$A$1:$B$270,2,FALSE)</f>
        <v>#N/A</v>
      </c>
    </row>
    <row r="76" spans="1:61" hidden="1">
      <c r="A76">
        <v>75</v>
      </c>
      <c r="B76">
        <v>1002618251</v>
      </c>
      <c r="C76">
        <v>3</v>
      </c>
      <c r="D76" t="s">
        <v>49</v>
      </c>
      <c r="E76">
        <v>4</v>
      </c>
      <c r="F76" t="s">
        <v>249</v>
      </c>
      <c r="G76" t="s">
        <v>536</v>
      </c>
      <c r="H76" t="s">
        <v>861</v>
      </c>
      <c r="I76" t="s">
        <v>212</v>
      </c>
      <c r="J76" t="s">
        <v>213</v>
      </c>
      <c r="K76" t="s">
        <v>149</v>
      </c>
      <c r="M76" t="s">
        <v>538</v>
      </c>
      <c r="N76" t="s">
        <v>215</v>
      </c>
      <c r="O76" s="57">
        <v>46296.630312499998</v>
      </c>
      <c r="P76" s="57">
        <v>46297.513715277775</v>
      </c>
      <c r="Q76">
        <v>69402491</v>
      </c>
      <c r="S76">
        <v>146281108643</v>
      </c>
      <c r="T76" t="s">
        <v>1279</v>
      </c>
      <c r="U76" t="s">
        <v>1280</v>
      </c>
      <c r="Z76">
        <v>109.0351962</v>
      </c>
      <c r="AA76">
        <v>-7.2957374000000002</v>
      </c>
      <c r="AB76" t="s">
        <v>1281</v>
      </c>
      <c r="AC76" t="s">
        <v>225</v>
      </c>
      <c r="AO76" s="57">
        <v>46032.632627314815</v>
      </c>
      <c r="AR76" t="s">
        <v>6</v>
      </c>
      <c r="AS76" t="s">
        <v>862</v>
      </c>
      <c r="AT76" t="s">
        <v>230</v>
      </c>
      <c r="AV76" t="s">
        <v>1282</v>
      </c>
      <c r="AW76" t="s">
        <v>540</v>
      </c>
      <c r="AX76" t="s">
        <v>222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e">
        <f>VLOOKUP(H76,Sheet2!$A$1:$B$270,2,FALSE)</f>
        <v>#N/A</v>
      </c>
    </row>
    <row r="77" spans="1:61" hidden="1">
      <c r="A77">
        <v>76</v>
      </c>
      <c r="B77">
        <v>1002618002</v>
      </c>
      <c r="C77">
        <v>3</v>
      </c>
      <c r="D77" t="s">
        <v>49</v>
      </c>
      <c r="E77">
        <v>4</v>
      </c>
      <c r="F77" t="s">
        <v>249</v>
      </c>
      <c r="G77" t="s">
        <v>875</v>
      </c>
      <c r="H77" t="s">
        <v>901</v>
      </c>
      <c r="I77" t="s">
        <v>212</v>
      </c>
      <c r="J77" t="s">
        <v>213</v>
      </c>
      <c r="K77" t="s">
        <v>149</v>
      </c>
      <c r="M77" t="s">
        <v>238</v>
      </c>
      <c r="N77" t="s">
        <v>903</v>
      </c>
      <c r="O77" s="57">
        <v>46296.586423611108</v>
      </c>
      <c r="P77" s="57">
        <v>46296.712627314817</v>
      </c>
      <c r="Q77">
        <v>69396047</v>
      </c>
      <c r="S77">
        <v>142203104994</v>
      </c>
      <c r="T77" t="s">
        <v>902</v>
      </c>
      <c r="U77" t="s">
        <v>1283</v>
      </c>
      <c r="V77" t="s">
        <v>1284</v>
      </c>
      <c r="Z77">
        <v>109.1015592</v>
      </c>
      <c r="AA77">
        <v>-6.8686486999999996</v>
      </c>
      <c r="AB77" t="s">
        <v>1285</v>
      </c>
      <c r="AC77" t="s">
        <v>225</v>
      </c>
      <c r="AL77" t="s">
        <v>217</v>
      </c>
      <c r="AM77" t="s">
        <v>1286</v>
      </c>
      <c r="AN77" t="s">
        <v>6</v>
      </c>
      <c r="AO77" s="57">
        <v>46032.590474537035</v>
      </c>
      <c r="AP77" s="57">
        <v>46298.333333333336</v>
      </c>
      <c r="AR77" t="s">
        <v>239</v>
      </c>
      <c r="AS77" t="s">
        <v>219</v>
      </c>
      <c r="AT77" t="s">
        <v>230</v>
      </c>
      <c r="AV77" t="s">
        <v>238</v>
      </c>
      <c r="AW77" t="s">
        <v>540</v>
      </c>
      <c r="AX77" t="s">
        <v>222</v>
      </c>
      <c r="BA77" s="57">
        <v>46298.333333333336</v>
      </c>
      <c r="BB77" t="s">
        <v>1286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e">
        <f>VLOOKUP(H77,Sheet2!$A$1:$B$270,2,FALSE)</f>
        <v>#N/A</v>
      </c>
    </row>
    <row r="78" spans="1:61" hidden="1">
      <c r="A78">
        <v>77</v>
      </c>
      <c r="B78">
        <v>1002617834</v>
      </c>
      <c r="C78">
        <v>3</v>
      </c>
      <c r="D78" t="s">
        <v>49</v>
      </c>
      <c r="E78">
        <v>4</v>
      </c>
      <c r="F78" t="s">
        <v>249</v>
      </c>
      <c r="G78" t="s">
        <v>875</v>
      </c>
      <c r="H78" t="s">
        <v>901</v>
      </c>
      <c r="I78" t="s">
        <v>212</v>
      </c>
      <c r="J78" t="s">
        <v>213</v>
      </c>
      <c r="K78" t="s">
        <v>149</v>
      </c>
      <c r="M78" t="s">
        <v>238</v>
      </c>
      <c r="N78" t="s">
        <v>903</v>
      </c>
      <c r="O78" s="57">
        <v>46296.557685185187</v>
      </c>
      <c r="P78" s="57">
        <v>46296.711134259262</v>
      </c>
      <c r="Q78">
        <v>69396047</v>
      </c>
      <c r="S78">
        <v>142203104993</v>
      </c>
      <c r="T78" t="s">
        <v>902</v>
      </c>
      <c r="U78" t="s">
        <v>904</v>
      </c>
      <c r="V78" t="s">
        <v>1287</v>
      </c>
      <c r="Z78">
        <v>109.1015592</v>
      </c>
      <c r="AA78">
        <v>-6.8686486999999996</v>
      </c>
      <c r="AB78" t="s">
        <v>1288</v>
      </c>
      <c r="AC78" t="s">
        <v>225</v>
      </c>
      <c r="AL78" t="s">
        <v>217</v>
      </c>
      <c r="AM78" t="s">
        <v>1286</v>
      </c>
      <c r="AN78" t="s">
        <v>6</v>
      </c>
      <c r="AO78" s="57">
        <v>46032.559305555558</v>
      </c>
      <c r="AP78" s="57">
        <v>46298.333333333336</v>
      </c>
      <c r="AR78" t="s">
        <v>239</v>
      </c>
      <c r="AS78" t="s">
        <v>219</v>
      </c>
      <c r="AT78" t="s">
        <v>230</v>
      </c>
      <c r="AV78" t="s">
        <v>238</v>
      </c>
      <c r="AW78" t="s">
        <v>540</v>
      </c>
      <c r="AX78" t="s">
        <v>222</v>
      </c>
      <c r="BA78" s="57">
        <v>46298.333333333336</v>
      </c>
      <c r="BB78" t="s">
        <v>1286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e">
        <f>VLOOKUP(H78,Sheet2!$A$1:$B$270,2,FALSE)</f>
        <v>#N/A</v>
      </c>
    </row>
    <row r="79" spans="1:61" hidden="1">
      <c r="A79">
        <v>78</v>
      </c>
      <c r="B79">
        <v>1002618011</v>
      </c>
      <c r="C79">
        <v>3</v>
      </c>
      <c r="D79" t="s">
        <v>49</v>
      </c>
      <c r="E79">
        <v>4</v>
      </c>
      <c r="F79" t="s">
        <v>249</v>
      </c>
      <c r="G79" t="s">
        <v>252</v>
      </c>
      <c r="H79" t="s">
        <v>795</v>
      </c>
      <c r="I79" t="s">
        <v>212</v>
      </c>
      <c r="J79" t="s">
        <v>213</v>
      </c>
      <c r="K79" t="s">
        <v>149</v>
      </c>
      <c r="L79" t="s">
        <v>214</v>
      </c>
      <c r="M79" t="s">
        <v>224</v>
      </c>
      <c r="N79" t="s">
        <v>215</v>
      </c>
      <c r="O79" s="57">
        <v>46296.586504629631</v>
      </c>
      <c r="P79" s="57">
        <v>46297.467604166668</v>
      </c>
      <c r="Q79">
        <v>69402401</v>
      </c>
      <c r="S79">
        <v>142206131448</v>
      </c>
      <c r="T79" t="s">
        <v>1289</v>
      </c>
      <c r="U79" t="s">
        <v>1290</v>
      </c>
      <c r="V79" t="s">
        <v>1291</v>
      </c>
      <c r="Z79">
        <v>109.150515</v>
      </c>
      <c r="AA79">
        <v>-7.1563602999999896</v>
      </c>
      <c r="AB79" t="s">
        <v>1292</v>
      </c>
      <c r="AC79" t="s">
        <v>235</v>
      </c>
      <c r="AL79" t="s">
        <v>217</v>
      </c>
      <c r="AM79" t="s">
        <v>1293</v>
      </c>
      <c r="AN79" t="s">
        <v>6</v>
      </c>
      <c r="AO79" s="57">
        <v>46032.590474537035</v>
      </c>
      <c r="AP79" s="57">
        <v>46297.458333333336</v>
      </c>
      <c r="AR79" t="s">
        <v>18</v>
      </c>
      <c r="AS79" t="s">
        <v>219</v>
      </c>
      <c r="AT79" t="s">
        <v>230</v>
      </c>
      <c r="AV79" t="s">
        <v>226</v>
      </c>
      <c r="AW79" t="s">
        <v>885</v>
      </c>
      <c r="AX79" t="s">
        <v>222</v>
      </c>
      <c r="BA79" s="57">
        <v>46297.458333333336</v>
      </c>
      <c r="BB79" t="s">
        <v>1293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e">
        <f>VLOOKUP(H79,Sheet2!$A$1:$B$270,2,FALSE)</f>
        <v>#N/A</v>
      </c>
    </row>
    <row r="80" spans="1:61" hidden="1">
      <c r="A80">
        <v>79</v>
      </c>
      <c r="B80">
        <v>1002617816</v>
      </c>
      <c r="C80">
        <v>3</v>
      </c>
      <c r="D80" t="s">
        <v>55</v>
      </c>
      <c r="E80">
        <v>5</v>
      </c>
      <c r="F80" t="s">
        <v>260</v>
      </c>
      <c r="G80" t="s">
        <v>122</v>
      </c>
      <c r="H80" t="s">
        <v>290</v>
      </c>
      <c r="I80" t="s">
        <v>212</v>
      </c>
      <c r="J80" t="s">
        <v>213</v>
      </c>
      <c r="K80" t="s">
        <v>149</v>
      </c>
      <c r="M80" t="s">
        <v>76</v>
      </c>
      <c r="N80" t="s">
        <v>215</v>
      </c>
      <c r="O80" s="57">
        <v>46296.552708333336</v>
      </c>
      <c r="P80" s="57">
        <v>46296.767199074071</v>
      </c>
      <c r="Q80">
        <v>69395522</v>
      </c>
      <c r="S80">
        <v>152446246558</v>
      </c>
      <c r="T80" t="s">
        <v>905</v>
      </c>
      <c r="U80" t="s">
        <v>1294</v>
      </c>
      <c r="V80" t="s">
        <v>1295</v>
      </c>
      <c r="Z80">
        <v>112.56014380000001</v>
      </c>
      <c r="AA80">
        <v>-7.2764436999999997</v>
      </c>
      <c r="AB80" t="s">
        <v>906</v>
      </c>
      <c r="AC80" t="s">
        <v>216</v>
      </c>
      <c r="AL80" t="s">
        <v>217</v>
      </c>
      <c r="AM80" t="s">
        <v>1296</v>
      </c>
      <c r="AN80" t="s">
        <v>6</v>
      </c>
      <c r="AO80" s="57">
        <v>46032.559305555558</v>
      </c>
      <c r="AR80" t="s">
        <v>218</v>
      </c>
      <c r="AS80" t="s">
        <v>829</v>
      </c>
      <c r="AT80" t="s">
        <v>230</v>
      </c>
      <c r="AU80">
        <v>20261001</v>
      </c>
      <c r="AV80" t="s">
        <v>221</v>
      </c>
      <c r="AW80" t="s">
        <v>577</v>
      </c>
      <c r="AX80" t="s">
        <v>222</v>
      </c>
      <c r="BA80" s="57">
        <v>46296.291666666664</v>
      </c>
      <c r="BB80" t="s">
        <v>1296</v>
      </c>
      <c r="BC80">
        <v>2026</v>
      </c>
      <c r="BD80">
        <v>10</v>
      </c>
      <c r="BE80">
        <v>1</v>
      </c>
      <c r="BF80" s="6">
        <f t="shared" si="3"/>
        <v>46296</v>
      </c>
      <c r="BG80">
        <f t="shared" si="4"/>
        <v>-0.29166666666424135</v>
      </c>
      <c r="BH80" t="str">
        <f t="shared" si="5"/>
        <v>COMPLY</v>
      </c>
      <c r="BI80" t="str">
        <f>VLOOKUP(H80,Sheet2!$A$1:$B$270,2,FALSE)</f>
        <v>GRESIK</v>
      </c>
    </row>
    <row r="81" spans="1:61" hidden="1">
      <c r="A81">
        <v>80</v>
      </c>
      <c r="B81">
        <v>1002617352</v>
      </c>
      <c r="C81">
        <v>3</v>
      </c>
      <c r="D81" t="s">
        <v>55</v>
      </c>
      <c r="E81">
        <v>5</v>
      </c>
      <c r="F81" t="s">
        <v>260</v>
      </c>
      <c r="G81" t="s">
        <v>122</v>
      </c>
      <c r="H81" t="s">
        <v>472</v>
      </c>
      <c r="I81" t="s">
        <v>212</v>
      </c>
      <c r="J81" t="s">
        <v>213</v>
      </c>
      <c r="K81" t="s">
        <v>149</v>
      </c>
      <c r="M81" t="s">
        <v>76</v>
      </c>
      <c r="N81" t="s">
        <v>215</v>
      </c>
      <c r="O81" s="57">
        <v>46296.44462962963</v>
      </c>
      <c r="P81" s="57">
        <v>46296.565462962964</v>
      </c>
      <c r="Q81">
        <v>69379599</v>
      </c>
      <c r="S81">
        <v>152453208697</v>
      </c>
      <c r="T81" t="s">
        <v>1297</v>
      </c>
      <c r="U81" t="s">
        <v>923</v>
      </c>
      <c r="V81" t="s">
        <v>1298</v>
      </c>
      <c r="Z81">
        <v>112.71185159683201</v>
      </c>
      <c r="AA81">
        <v>-5.83253487701701</v>
      </c>
      <c r="AB81" t="s">
        <v>1299</v>
      </c>
      <c r="AC81" t="s">
        <v>216</v>
      </c>
      <c r="AL81" t="s">
        <v>217</v>
      </c>
      <c r="AM81" t="s">
        <v>1300</v>
      </c>
      <c r="AN81" t="s">
        <v>6</v>
      </c>
      <c r="AO81" s="57">
        <v>46032.486342592594</v>
      </c>
      <c r="AR81" t="s">
        <v>218</v>
      </c>
      <c r="AS81" t="s">
        <v>122</v>
      </c>
      <c r="AT81" t="s">
        <v>230</v>
      </c>
      <c r="AU81">
        <v>20261001</v>
      </c>
      <c r="AV81" t="s">
        <v>221</v>
      </c>
      <c r="AW81" t="s">
        <v>541</v>
      </c>
      <c r="AX81" t="s">
        <v>222</v>
      </c>
      <c r="BA81" s="57">
        <v>46296.291666666664</v>
      </c>
      <c r="BB81" t="s">
        <v>1300</v>
      </c>
      <c r="BC81">
        <v>2026</v>
      </c>
      <c r="BD81">
        <v>10</v>
      </c>
      <c r="BE81">
        <v>1</v>
      </c>
      <c r="BF81" s="6">
        <f t="shared" si="3"/>
        <v>46296</v>
      </c>
      <c r="BG81">
        <f t="shared" si="4"/>
        <v>-0.29166666666424135</v>
      </c>
      <c r="BH81" t="str">
        <f t="shared" si="5"/>
        <v>COMPLY</v>
      </c>
      <c r="BI81" t="str">
        <f>VLOOKUP(H81,Sheet2!$A$1:$B$270,2,FALSE)</f>
        <v>GRESIK</v>
      </c>
    </row>
    <row r="82" spans="1:61" hidden="1">
      <c r="A82">
        <v>81</v>
      </c>
      <c r="B82">
        <v>1002618083</v>
      </c>
      <c r="C82">
        <v>3</v>
      </c>
      <c r="D82" t="s">
        <v>55</v>
      </c>
      <c r="E82">
        <v>5</v>
      </c>
      <c r="F82" t="s">
        <v>260</v>
      </c>
      <c r="G82" t="s">
        <v>125</v>
      </c>
      <c r="H82" t="s">
        <v>323</v>
      </c>
      <c r="I82" t="s">
        <v>212</v>
      </c>
      <c r="J82" t="s">
        <v>213</v>
      </c>
      <c r="K82" t="s">
        <v>149</v>
      </c>
      <c r="M82" t="s">
        <v>238</v>
      </c>
      <c r="N82" t="s">
        <v>215</v>
      </c>
      <c r="O82" s="57">
        <v>46296.599189814813</v>
      </c>
      <c r="P82" s="57">
        <v>46296.680636574078</v>
      </c>
      <c r="Q82">
        <v>69402452</v>
      </c>
      <c r="S82">
        <v>152441211669</v>
      </c>
      <c r="T82" t="s">
        <v>1301</v>
      </c>
      <c r="U82" t="s">
        <v>1302</v>
      </c>
      <c r="V82" t="s">
        <v>1303</v>
      </c>
      <c r="Z82">
        <v>112.2702089</v>
      </c>
      <c r="AA82">
        <v>-7.3003412000000001</v>
      </c>
      <c r="AB82" t="s">
        <v>1304</v>
      </c>
      <c r="AC82" t="s">
        <v>229</v>
      </c>
      <c r="AL82" t="s">
        <v>217</v>
      </c>
      <c r="AM82" t="s">
        <v>1305</v>
      </c>
      <c r="AN82" t="s">
        <v>6</v>
      </c>
      <c r="AO82" s="57">
        <v>46032.611296296294</v>
      </c>
      <c r="AP82" s="57">
        <v>46297.625</v>
      </c>
      <c r="AR82" t="s">
        <v>239</v>
      </c>
      <c r="AS82" t="s">
        <v>219</v>
      </c>
      <c r="AT82" t="s">
        <v>230</v>
      </c>
      <c r="AV82" t="s">
        <v>238</v>
      </c>
      <c r="AW82" t="s">
        <v>541</v>
      </c>
      <c r="AX82" t="s">
        <v>222</v>
      </c>
      <c r="BA82" s="57">
        <v>46297.625</v>
      </c>
      <c r="BB82" t="s">
        <v>1305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GRESIK</v>
      </c>
    </row>
    <row r="83" spans="1:61" hidden="1">
      <c r="A83">
        <v>82</v>
      </c>
      <c r="B83">
        <v>1002617657</v>
      </c>
      <c r="C83">
        <v>3</v>
      </c>
      <c r="D83" t="s">
        <v>55</v>
      </c>
      <c r="E83">
        <v>5</v>
      </c>
      <c r="F83" t="s">
        <v>260</v>
      </c>
      <c r="G83" t="s">
        <v>125</v>
      </c>
      <c r="H83" t="s">
        <v>405</v>
      </c>
      <c r="I83" t="s">
        <v>212</v>
      </c>
      <c r="J83" t="s">
        <v>213</v>
      </c>
      <c r="K83" t="s">
        <v>149</v>
      </c>
      <c r="L83" t="s">
        <v>214</v>
      </c>
      <c r="M83" t="s">
        <v>841</v>
      </c>
      <c r="N83" t="s">
        <v>215</v>
      </c>
      <c r="O83" s="57">
        <v>46296.491365740738</v>
      </c>
      <c r="P83" s="57">
        <v>46297.509652777779</v>
      </c>
      <c r="Q83">
        <v>69402283</v>
      </c>
      <c r="S83">
        <v>152448204121</v>
      </c>
      <c r="T83" t="s">
        <v>1306</v>
      </c>
      <c r="U83" t="s">
        <v>1307</v>
      </c>
      <c r="V83" t="s">
        <v>1308</v>
      </c>
      <c r="Z83">
        <v>112.357741</v>
      </c>
      <c r="AA83">
        <v>-6.8665966999999997</v>
      </c>
      <c r="AB83" t="s">
        <v>1309</v>
      </c>
      <c r="AC83" t="s">
        <v>235</v>
      </c>
      <c r="AL83" t="s">
        <v>217</v>
      </c>
      <c r="AM83" t="s">
        <v>1310</v>
      </c>
      <c r="AN83" t="s">
        <v>6</v>
      </c>
      <c r="AO83" s="57">
        <v>46032.517557870371</v>
      </c>
      <c r="AP83" s="57">
        <v>46297.416666666664</v>
      </c>
      <c r="AQ83" t="s">
        <v>840</v>
      </c>
      <c r="AR83" t="s">
        <v>842</v>
      </c>
      <c r="AS83" t="s">
        <v>219</v>
      </c>
      <c r="AT83" t="s">
        <v>230</v>
      </c>
      <c r="AV83" t="s">
        <v>1311</v>
      </c>
      <c r="AW83" t="s">
        <v>892</v>
      </c>
      <c r="AX83" t="s">
        <v>222</v>
      </c>
      <c r="BA83" s="57">
        <v>46297.416666666664</v>
      </c>
      <c r="BB83" t="s">
        <v>1310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GRESIK</v>
      </c>
    </row>
    <row r="84" spans="1:61" hidden="1">
      <c r="A84">
        <v>83</v>
      </c>
      <c r="B84">
        <v>1002616866</v>
      </c>
      <c r="C84">
        <v>3</v>
      </c>
      <c r="D84" t="s">
        <v>38</v>
      </c>
      <c r="E84">
        <v>5</v>
      </c>
      <c r="F84" t="s">
        <v>92</v>
      </c>
      <c r="G84" t="s">
        <v>89</v>
      </c>
      <c r="H84" t="s">
        <v>358</v>
      </c>
      <c r="I84" t="s">
        <v>212</v>
      </c>
      <c r="J84" t="s">
        <v>213</v>
      </c>
      <c r="K84" t="s">
        <v>149</v>
      </c>
      <c r="M84" t="s">
        <v>76</v>
      </c>
      <c r="N84" t="s">
        <v>215</v>
      </c>
      <c r="O84" s="57">
        <v>46296.348449074074</v>
      </c>
      <c r="P84" s="57">
        <v>46296.564571759256</v>
      </c>
      <c r="Q84">
        <v>69389383</v>
      </c>
      <c r="S84">
        <v>152644205147</v>
      </c>
      <c r="T84" t="s">
        <v>894</v>
      </c>
      <c r="U84" t="s">
        <v>936</v>
      </c>
      <c r="V84" t="s">
        <v>1312</v>
      </c>
      <c r="Z84">
        <v>111.616111</v>
      </c>
      <c r="AA84">
        <v>-7.268052</v>
      </c>
      <c r="AB84" t="s">
        <v>895</v>
      </c>
      <c r="AC84" t="s">
        <v>229</v>
      </c>
      <c r="AL84" t="s">
        <v>217</v>
      </c>
      <c r="AM84" t="s">
        <v>946</v>
      </c>
      <c r="AN84" t="s">
        <v>6</v>
      </c>
      <c r="AO84" s="57">
        <v>46032.351168981484</v>
      </c>
      <c r="AR84" t="s">
        <v>218</v>
      </c>
      <c r="AS84" t="s">
        <v>824</v>
      </c>
      <c r="AT84" t="s">
        <v>230</v>
      </c>
      <c r="AU84">
        <v>20261001</v>
      </c>
      <c r="AV84" t="s">
        <v>221</v>
      </c>
      <c r="AW84" t="s">
        <v>559</v>
      </c>
      <c r="AX84" t="s">
        <v>222</v>
      </c>
      <c r="BA84" s="57">
        <v>46296.291666666664</v>
      </c>
      <c r="BB84" t="s">
        <v>946</v>
      </c>
      <c r="BC84">
        <v>2026</v>
      </c>
      <c r="BD84">
        <v>10</v>
      </c>
      <c r="BE84">
        <v>1</v>
      </c>
      <c r="BF84" s="6">
        <f t="shared" si="3"/>
        <v>46296</v>
      </c>
      <c r="BG84">
        <f t="shared" si="4"/>
        <v>-0.29166666666424135</v>
      </c>
      <c r="BH84" t="str">
        <f t="shared" si="5"/>
        <v>COMPLY</v>
      </c>
      <c r="BI84" t="str">
        <f>VLOOKUP(H84,Sheet2!$A$1:$B$270,2,FALSE)</f>
        <v>BOJONEGORO</v>
      </c>
    </row>
    <row r="85" spans="1:61" hidden="1">
      <c r="A85">
        <v>84</v>
      </c>
      <c r="B85">
        <v>1002617935</v>
      </c>
      <c r="C85">
        <v>3</v>
      </c>
      <c r="D85" t="s">
        <v>38</v>
      </c>
      <c r="E85">
        <v>5</v>
      </c>
      <c r="F85" t="s">
        <v>92</v>
      </c>
      <c r="G85" t="s">
        <v>89</v>
      </c>
      <c r="H85" t="s">
        <v>395</v>
      </c>
      <c r="I85" t="s">
        <v>212</v>
      </c>
      <c r="J85" t="s">
        <v>213</v>
      </c>
      <c r="K85" t="s">
        <v>149</v>
      </c>
      <c r="L85" t="s">
        <v>214</v>
      </c>
      <c r="M85" t="s">
        <v>238</v>
      </c>
      <c r="N85" t="s">
        <v>215</v>
      </c>
      <c r="O85" s="57">
        <v>46296.57471064815</v>
      </c>
      <c r="P85" s="57">
        <v>46296.57640046296</v>
      </c>
      <c r="Q85">
        <v>69402382</v>
      </c>
      <c r="S85">
        <v>152642208838</v>
      </c>
      <c r="T85" t="s">
        <v>1313</v>
      </c>
      <c r="U85" t="s">
        <v>1314</v>
      </c>
      <c r="V85" t="s">
        <v>1315</v>
      </c>
      <c r="Z85">
        <v>112.04554980971299</v>
      </c>
      <c r="AA85">
        <v>-7.3014816862188603</v>
      </c>
      <c r="AB85" t="s">
        <v>1316</v>
      </c>
      <c r="AC85" t="s">
        <v>235</v>
      </c>
      <c r="AL85" t="s">
        <v>217</v>
      </c>
      <c r="AM85" t="s">
        <v>992</v>
      </c>
      <c r="AN85" t="s">
        <v>6</v>
      </c>
      <c r="AO85" s="57">
        <v>46032.579872685186</v>
      </c>
      <c r="AP85" s="57">
        <v>46297.625</v>
      </c>
      <c r="AR85" t="s">
        <v>239</v>
      </c>
      <c r="AS85" t="s">
        <v>824</v>
      </c>
      <c r="AT85" t="s">
        <v>220</v>
      </c>
      <c r="AV85" t="s">
        <v>238</v>
      </c>
      <c r="AW85" t="s">
        <v>1317</v>
      </c>
      <c r="AX85" t="s">
        <v>222</v>
      </c>
      <c r="BA85" s="57">
        <v>46297.625</v>
      </c>
      <c r="BB85" t="s">
        <v>992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BOJONEGORO</v>
      </c>
    </row>
    <row r="86" spans="1:61" hidden="1">
      <c r="A86">
        <v>85</v>
      </c>
      <c r="B86">
        <v>1002618689</v>
      </c>
      <c r="C86">
        <v>3</v>
      </c>
      <c r="D86" t="s">
        <v>38</v>
      </c>
      <c r="E86">
        <v>5</v>
      </c>
      <c r="F86" t="s">
        <v>92</v>
      </c>
      <c r="G86" t="s">
        <v>89</v>
      </c>
      <c r="H86" t="s">
        <v>395</v>
      </c>
      <c r="I86" t="s">
        <v>212</v>
      </c>
      <c r="J86" t="s">
        <v>213</v>
      </c>
      <c r="K86" t="s">
        <v>149</v>
      </c>
      <c r="L86" t="s">
        <v>214</v>
      </c>
      <c r="M86" t="s">
        <v>238</v>
      </c>
      <c r="N86" t="s">
        <v>215</v>
      </c>
      <c r="O86" s="57">
        <v>46296.712199074071</v>
      </c>
      <c r="P86" s="57">
        <v>46296.713900462964</v>
      </c>
      <c r="Q86">
        <v>69402583</v>
      </c>
      <c r="S86">
        <v>152642208839</v>
      </c>
      <c r="T86" t="s">
        <v>1313</v>
      </c>
      <c r="U86" t="s">
        <v>1314</v>
      </c>
      <c r="V86" t="s">
        <v>1318</v>
      </c>
      <c r="Z86">
        <v>112.045515559278</v>
      </c>
      <c r="AA86">
        <v>-7.3014879263283801</v>
      </c>
      <c r="AB86" t="s">
        <v>1319</v>
      </c>
      <c r="AC86" t="s">
        <v>235</v>
      </c>
      <c r="AL86" t="s">
        <v>217</v>
      </c>
      <c r="AM86" t="s">
        <v>1320</v>
      </c>
      <c r="AN86" t="s">
        <v>6</v>
      </c>
      <c r="AO86" s="57">
        <v>46032.726099537038</v>
      </c>
      <c r="AP86" s="57">
        <v>46297.625</v>
      </c>
      <c r="AR86" t="s">
        <v>239</v>
      </c>
      <c r="AS86" t="s">
        <v>824</v>
      </c>
      <c r="AT86" t="s">
        <v>220</v>
      </c>
      <c r="AV86" t="s">
        <v>238</v>
      </c>
      <c r="AW86" t="s">
        <v>1317</v>
      </c>
      <c r="AX86" t="s">
        <v>222</v>
      </c>
      <c r="BA86" s="57">
        <v>46297.625</v>
      </c>
      <c r="BB86" t="s">
        <v>1320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BOJONEGORO</v>
      </c>
    </row>
    <row r="87" spans="1:61" hidden="1">
      <c r="A87">
        <v>86</v>
      </c>
      <c r="B87">
        <v>1002618507</v>
      </c>
      <c r="C87">
        <v>3</v>
      </c>
      <c r="D87" t="s">
        <v>38</v>
      </c>
      <c r="E87">
        <v>5</v>
      </c>
      <c r="F87" t="s">
        <v>92</v>
      </c>
      <c r="G87" t="s">
        <v>97</v>
      </c>
      <c r="H87" t="s">
        <v>340</v>
      </c>
      <c r="I87" t="s">
        <v>212</v>
      </c>
      <c r="J87" t="s">
        <v>213</v>
      </c>
      <c r="K87" t="s">
        <v>149</v>
      </c>
      <c r="L87" t="s">
        <v>214</v>
      </c>
      <c r="M87" t="s">
        <v>238</v>
      </c>
      <c r="N87" t="s">
        <v>215</v>
      </c>
      <c r="O87" s="57">
        <v>46296.671979166669</v>
      </c>
      <c r="P87" s="57">
        <v>46296.673622685186</v>
      </c>
      <c r="Q87">
        <v>69402589</v>
      </c>
      <c r="S87">
        <v>152648207777</v>
      </c>
      <c r="T87" t="s">
        <v>1321</v>
      </c>
      <c r="U87" t="s">
        <v>1322</v>
      </c>
      <c r="V87" t="s">
        <v>1323</v>
      </c>
      <c r="Z87">
        <v>111.68781199999999</v>
      </c>
      <c r="AA87">
        <v>-6.7522900000000003</v>
      </c>
      <c r="AB87" t="s">
        <v>1324</v>
      </c>
      <c r="AC87" t="s">
        <v>235</v>
      </c>
      <c r="AL87" t="s">
        <v>217</v>
      </c>
      <c r="AM87" t="s">
        <v>992</v>
      </c>
      <c r="AN87" t="s">
        <v>6</v>
      </c>
      <c r="AO87" s="57">
        <v>46032.694421296299</v>
      </c>
      <c r="AP87" s="57">
        <v>46297.625</v>
      </c>
      <c r="AR87" t="s">
        <v>239</v>
      </c>
      <c r="AS87" t="s">
        <v>849</v>
      </c>
      <c r="AT87" t="s">
        <v>230</v>
      </c>
      <c r="AV87" t="s">
        <v>238</v>
      </c>
      <c r="AW87" t="s">
        <v>933</v>
      </c>
      <c r="AX87" t="s">
        <v>222</v>
      </c>
      <c r="BA87" s="57">
        <v>46297.625</v>
      </c>
      <c r="BB87" t="s">
        <v>992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BOJONEGORO</v>
      </c>
    </row>
    <row r="88" spans="1:61" hidden="1">
      <c r="A88">
        <v>87</v>
      </c>
      <c r="B88">
        <v>1002617098</v>
      </c>
      <c r="C88">
        <v>3</v>
      </c>
      <c r="D88" t="s">
        <v>38</v>
      </c>
      <c r="E88">
        <v>5</v>
      </c>
      <c r="F88" t="s">
        <v>92</v>
      </c>
      <c r="G88" t="s">
        <v>97</v>
      </c>
      <c r="H88" t="s">
        <v>388</v>
      </c>
      <c r="I88" t="s">
        <v>212</v>
      </c>
      <c r="J88" t="s">
        <v>213</v>
      </c>
      <c r="K88" t="s">
        <v>149</v>
      </c>
      <c r="L88" t="s">
        <v>214</v>
      </c>
      <c r="M88" t="s">
        <v>898</v>
      </c>
      <c r="N88" t="s">
        <v>215</v>
      </c>
      <c r="O88" s="57">
        <v>46296.397013888891</v>
      </c>
      <c r="P88" s="57">
        <v>46297.343599537038</v>
      </c>
      <c r="Q88">
        <v>69402092</v>
      </c>
      <c r="S88">
        <v>152645203155</v>
      </c>
      <c r="T88" t="s">
        <v>1325</v>
      </c>
      <c r="U88" t="s">
        <v>1326</v>
      </c>
      <c r="V88" t="s">
        <v>1327</v>
      </c>
      <c r="Z88">
        <v>111.79942200000001</v>
      </c>
      <c r="AA88">
        <v>-7.0242979999999999</v>
      </c>
      <c r="AB88" t="s">
        <v>1328</v>
      </c>
      <c r="AC88" t="s">
        <v>235</v>
      </c>
      <c r="AL88" t="s">
        <v>217</v>
      </c>
      <c r="AM88" t="s">
        <v>1329</v>
      </c>
      <c r="AN88" t="s">
        <v>6</v>
      </c>
      <c r="AO88" s="57">
        <v>46032.413738425923</v>
      </c>
      <c r="AP88" s="57">
        <v>46297.333333333336</v>
      </c>
      <c r="AR88" t="s">
        <v>889</v>
      </c>
      <c r="AS88" t="s">
        <v>849</v>
      </c>
      <c r="AT88" t="s">
        <v>230</v>
      </c>
      <c r="AV88" t="s">
        <v>899</v>
      </c>
      <c r="AW88" t="s">
        <v>887</v>
      </c>
      <c r="AX88" t="s">
        <v>222</v>
      </c>
      <c r="BA88" s="57">
        <v>46297.333333333336</v>
      </c>
      <c r="BB88" t="s">
        <v>1329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BOJONEGORO</v>
      </c>
    </row>
    <row r="89" spans="1:61" hidden="1">
      <c r="A89">
        <v>88</v>
      </c>
      <c r="B89">
        <v>1002616902</v>
      </c>
      <c r="C89">
        <v>3</v>
      </c>
      <c r="D89" t="s">
        <v>38</v>
      </c>
      <c r="E89">
        <v>5</v>
      </c>
      <c r="F89" t="s">
        <v>92</v>
      </c>
      <c r="G89" t="s">
        <v>97</v>
      </c>
      <c r="H89" t="s">
        <v>461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46296.358287037037</v>
      </c>
      <c r="P89" s="57">
        <v>46297.448020833333</v>
      </c>
      <c r="Q89">
        <v>69402022</v>
      </c>
      <c r="S89">
        <v>152646206273</v>
      </c>
      <c r="T89" t="s">
        <v>1330</v>
      </c>
      <c r="U89" t="s">
        <v>1331</v>
      </c>
      <c r="V89" t="s">
        <v>1332</v>
      </c>
      <c r="Z89">
        <v>111.96432128548599</v>
      </c>
      <c r="AA89">
        <v>-7.0930767066443199</v>
      </c>
      <c r="AB89" t="s">
        <v>1333</v>
      </c>
      <c r="AC89" t="s">
        <v>284</v>
      </c>
      <c r="AL89" t="s">
        <v>217</v>
      </c>
      <c r="AM89" t="s">
        <v>1334</v>
      </c>
      <c r="AN89" t="s">
        <v>6</v>
      </c>
      <c r="AO89" s="57">
        <v>46032.392847222225</v>
      </c>
      <c r="AP89" s="57">
        <v>46297.333333333336</v>
      </c>
      <c r="AR89" t="s">
        <v>218</v>
      </c>
      <c r="AS89" t="s">
        <v>849</v>
      </c>
      <c r="AT89" t="s">
        <v>230</v>
      </c>
      <c r="AU89">
        <v>20261002</v>
      </c>
      <c r="AV89" t="s">
        <v>221</v>
      </c>
      <c r="AW89" t="s">
        <v>540</v>
      </c>
      <c r="AX89" t="s">
        <v>222</v>
      </c>
      <c r="BA89" s="57">
        <v>46297.333333333336</v>
      </c>
      <c r="BB89" t="s">
        <v>1334</v>
      </c>
      <c r="BC89">
        <v>2026</v>
      </c>
      <c r="BD89">
        <v>10</v>
      </c>
      <c r="BE89">
        <v>2</v>
      </c>
      <c r="BF89" s="6">
        <f t="shared" si="3"/>
        <v>46297</v>
      </c>
      <c r="BG89">
        <f t="shared" si="4"/>
        <v>-0.33333333333575865</v>
      </c>
      <c r="BH89" t="str">
        <f t="shared" si="5"/>
        <v>COMPLY</v>
      </c>
      <c r="BI89" t="str">
        <f>VLOOKUP(H89,Sheet2!$A$1:$B$270,2,FALSE)</f>
        <v>BOJONEGORO</v>
      </c>
    </row>
    <row r="90" spans="1:61" hidden="1">
      <c r="A90">
        <v>89</v>
      </c>
      <c r="B90">
        <v>1002617187</v>
      </c>
      <c r="C90">
        <v>3</v>
      </c>
      <c r="D90" t="s">
        <v>45</v>
      </c>
      <c r="E90">
        <v>5</v>
      </c>
      <c r="F90" t="s">
        <v>113</v>
      </c>
      <c r="G90" t="s">
        <v>109</v>
      </c>
      <c r="H90" t="s">
        <v>300</v>
      </c>
      <c r="I90" t="s">
        <v>212</v>
      </c>
      <c r="J90" t="s">
        <v>213</v>
      </c>
      <c r="K90" t="s">
        <v>149</v>
      </c>
      <c r="L90" t="s">
        <v>214</v>
      </c>
      <c r="M90" t="s">
        <v>255</v>
      </c>
      <c r="N90" t="s">
        <v>215</v>
      </c>
      <c r="O90" s="57">
        <v>46296.410127314812</v>
      </c>
      <c r="P90" s="57">
        <v>46297.517395833333</v>
      </c>
      <c r="Q90">
        <v>69402104</v>
      </c>
      <c r="S90">
        <v>172521216812</v>
      </c>
      <c r="T90" t="s">
        <v>1335</v>
      </c>
      <c r="U90" t="s">
        <v>1336</v>
      </c>
      <c r="V90" t="s">
        <v>1337</v>
      </c>
      <c r="Z90">
        <v>124.890847764909</v>
      </c>
      <c r="AA90">
        <v>-9.0988937736841393</v>
      </c>
      <c r="AB90" t="s">
        <v>1338</v>
      </c>
      <c r="AC90" t="s">
        <v>216</v>
      </c>
      <c r="AL90" t="s">
        <v>217</v>
      </c>
      <c r="AM90" t="s">
        <v>1339</v>
      </c>
      <c r="AN90" t="s">
        <v>6</v>
      </c>
      <c r="AO90" s="57">
        <v>46032.413738425923</v>
      </c>
      <c r="AP90" s="57">
        <v>46298.625</v>
      </c>
      <c r="AR90" t="s">
        <v>256</v>
      </c>
      <c r="AS90" t="s">
        <v>219</v>
      </c>
      <c r="AT90" t="s">
        <v>230</v>
      </c>
      <c r="AV90" t="s">
        <v>257</v>
      </c>
      <c r="AW90" t="s">
        <v>890</v>
      </c>
      <c r="AX90" t="s">
        <v>222</v>
      </c>
      <c r="BA90" s="57">
        <v>46298.625</v>
      </c>
      <c r="BB90" t="s">
        <v>1339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ATAMBUA</v>
      </c>
    </row>
    <row r="91" spans="1:61" hidden="1">
      <c r="A91">
        <v>90</v>
      </c>
      <c r="B91">
        <v>1002617177</v>
      </c>
      <c r="C91">
        <v>3</v>
      </c>
      <c r="D91" t="s">
        <v>45</v>
      </c>
      <c r="E91">
        <v>5</v>
      </c>
      <c r="F91" t="s">
        <v>113</v>
      </c>
      <c r="G91" t="s">
        <v>113</v>
      </c>
      <c r="H91" t="s">
        <v>315</v>
      </c>
      <c r="I91" t="s">
        <v>212</v>
      </c>
      <c r="J91" t="s">
        <v>213</v>
      </c>
      <c r="K91" t="s">
        <v>149</v>
      </c>
      <c r="M91" t="s">
        <v>898</v>
      </c>
      <c r="N91" t="s">
        <v>903</v>
      </c>
      <c r="O91" s="57">
        <v>46296.409583333334</v>
      </c>
      <c r="P91" s="57">
        <v>46297.467106481483</v>
      </c>
      <c r="Q91">
        <v>69402110</v>
      </c>
      <c r="S91">
        <v>172503813931</v>
      </c>
      <c r="T91" t="s">
        <v>1340</v>
      </c>
      <c r="U91" t="s">
        <v>1341</v>
      </c>
      <c r="V91" t="s">
        <v>1342</v>
      </c>
      <c r="Z91">
        <v>123.6427059</v>
      </c>
      <c r="AA91">
        <v>-10.156912699999999</v>
      </c>
      <c r="AB91" t="s">
        <v>1343</v>
      </c>
      <c r="AC91" t="s">
        <v>283</v>
      </c>
      <c r="AL91" t="s">
        <v>217</v>
      </c>
      <c r="AM91" t="s">
        <v>1344</v>
      </c>
      <c r="AN91" t="s">
        <v>6</v>
      </c>
      <c r="AO91" s="57">
        <v>46032.413738425923</v>
      </c>
      <c r="AP91" s="57">
        <v>46297.458333333336</v>
      </c>
      <c r="AR91" t="s">
        <v>889</v>
      </c>
      <c r="AS91" t="s">
        <v>113</v>
      </c>
      <c r="AT91" t="s">
        <v>230</v>
      </c>
      <c r="AV91" t="s">
        <v>899</v>
      </c>
      <c r="AW91" t="s">
        <v>540</v>
      </c>
      <c r="AX91" t="s">
        <v>222</v>
      </c>
      <c r="BA91" s="57">
        <v>46297.458333333336</v>
      </c>
      <c r="BB91" t="s">
        <v>1344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KUPANG</v>
      </c>
    </row>
    <row r="92" spans="1:61" hidden="1">
      <c r="A92">
        <v>91</v>
      </c>
      <c r="B92">
        <v>1002617257</v>
      </c>
      <c r="C92">
        <v>3</v>
      </c>
      <c r="D92" t="s">
        <v>45</v>
      </c>
      <c r="E92">
        <v>5</v>
      </c>
      <c r="F92" t="s">
        <v>113</v>
      </c>
      <c r="G92" t="s">
        <v>113</v>
      </c>
      <c r="H92" t="s">
        <v>315</v>
      </c>
      <c r="I92" t="s">
        <v>212</v>
      </c>
      <c r="J92" t="s">
        <v>213</v>
      </c>
      <c r="K92" t="s">
        <v>149</v>
      </c>
      <c r="L92" t="s">
        <v>214</v>
      </c>
      <c r="M92" t="s">
        <v>542</v>
      </c>
      <c r="N92" t="s">
        <v>215</v>
      </c>
      <c r="O92" s="57">
        <v>46296.422013888892</v>
      </c>
      <c r="P92" s="57">
        <v>46296.422025462962</v>
      </c>
      <c r="Q92">
        <v>69397425</v>
      </c>
      <c r="T92" t="s">
        <v>911</v>
      </c>
      <c r="V92" t="s">
        <v>912</v>
      </c>
      <c r="Z92">
        <v>123.67400000000001</v>
      </c>
      <c r="AA92">
        <v>-10.186500000000001</v>
      </c>
      <c r="AB92" t="s">
        <v>913</v>
      </c>
      <c r="AC92" t="s">
        <v>216</v>
      </c>
      <c r="AL92" t="s">
        <v>217</v>
      </c>
      <c r="AM92" t="s">
        <v>910</v>
      </c>
      <c r="AN92" t="s">
        <v>6</v>
      </c>
      <c r="AO92" s="57">
        <v>46032.434247685182</v>
      </c>
      <c r="AP92" s="57">
        <v>46290</v>
      </c>
      <c r="AR92" t="s">
        <v>543</v>
      </c>
      <c r="AS92" t="s">
        <v>113</v>
      </c>
      <c r="AT92" t="s">
        <v>230</v>
      </c>
      <c r="AV92" t="s">
        <v>1345</v>
      </c>
      <c r="AW92" t="s">
        <v>888</v>
      </c>
      <c r="AX92" t="s">
        <v>222</v>
      </c>
      <c r="BA92" s="57">
        <v>46290.333333333336</v>
      </c>
      <c r="BB92" t="s">
        <v>910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KUPANG</v>
      </c>
    </row>
    <row r="93" spans="1:61" hidden="1">
      <c r="A93">
        <v>92</v>
      </c>
      <c r="B93">
        <v>1002617806</v>
      </c>
      <c r="C93">
        <v>3</v>
      </c>
      <c r="D93" t="s">
        <v>45</v>
      </c>
      <c r="E93">
        <v>5</v>
      </c>
      <c r="F93" t="s">
        <v>113</v>
      </c>
      <c r="G93" t="s">
        <v>113</v>
      </c>
      <c r="H93" t="s">
        <v>406</v>
      </c>
      <c r="I93" t="s">
        <v>212</v>
      </c>
      <c r="J93" t="s">
        <v>213</v>
      </c>
      <c r="K93" t="s">
        <v>149</v>
      </c>
      <c r="L93" t="s">
        <v>214</v>
      </c>
      <c r="M93" t="s">
        <v>930</v>
      </c>
      <c r="N93" t="s">
        <v>215</v>
      </c>
      <c r="O93" s="57">
        <v>46296.549062500002</v>
      </c>
      <c r="P93" s="57">
        <v>46297.557847222219</v>
      </c>
      <c r="Q93">
        <v>69402338</v>
      </c>
      <c r="S93">
        <v>172502813927</v>
      </c>
      <c r="T93" t="s">
        <v>1346</v>
      </c>
      <c r="U93" t="s">
        <v>1347</v>
      </c>
      <c r="V93" t="s">
        <v>1348</v>
      </c>
      <c r="Z93">
        <v>123.6017471</v>
      </c>
      <c r="AA93">
        <v>-10.176331599999999</v>
      </c>
      <c r="AB93" t="s">
        <v>1349</v>
      </c>
      <c r="AC93" t="s">
        <v>235</v>
      </c>
      <c r="AL93" t="s">
        <v>217</v>
      </c>
      <c r="AM93" t="s">
        <v>1350</v>
      </c>
      <c r="AN93" t="s">
        <v>6</v>
      </c>
      <c r="AO93" s="57">
        <v>46032.559305555558</v>
      </c>
      <c r="AP93" s="57">
        <v>46297.458333333336</v>
      </c>
      <c r="AR93" t="s">
        <v>889</v>
      </c>
      <c r="AS93" t="s">
        <v>113</v>
      </c>
      <c r="AT93" t="s">
        <v>230</v>
      </c>
      <c r="AV93" t="s">
        <v>931</v>
      </c>
      <c r="AW93" t="s">
        <v>802</v>
      </c>
      <c r="AX93" t="s">
        <v>222</v>
      </c>
      <c r="BA93" s="57">
        <v>46297.458333333336</v>
      </c>
      <c r="BB93" t="s">
        <v>1350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KUPANG</v>
      </c>
    </row>
    <row r="94" spans="1:61" hidden="1">
      <c r="A94">
        <v>93</v>
      </c>
      <c r="B94">
        <v>1002618763</v>
      </c>
      <c r="C94">
        <v>3</v>
      </c>
      <c r="D94" t="s">
        <v>45</v>
      </c>
      <c r="E94">
        <v>5</v>
      </c>
      <c r="F94" t="s">
        <v>113</v>
      </c>
      <c r="G94" t="s">
        <v>113</v>
      </c>
      <c r="H94" t="s">
        <v>406</v>
      </c>
      <c r="I94" t="s">
        <v>212</v>
      </c>
      <c r="J94" t="s">
        <v>213</v>
      </c>
      <c r="K94" t="s">
        <v>149</v>
      </c>
      <c r="L94" t="s">
        <v>214</v>
      </c>
      <c r="M94" t="s">
        <v>224</v>
      </c>
      <c r="N94" t="s">
        <v>215</v>
      </c>
      <c r="O94" s="57">
        <v>46296.743506944447</v>
      </c>
      <c r="P94" s="57">
        <v>46297.398321759261</v>
      </c>
      <c r="Q94">
        <v>69402662</v>
      </c>
      <c r="S94">
        <v>172502813216</v>
      </c>
      <c r="T94" t="s">
        <v>1351</v>
      </c>
      <c r="U94" t="s">
        <v>1352</v>
      </c>
      <c r="V94" t="s">
        <v>1353</v>
      </c>
      <c r="Z94">
        <v>123.59496660000001</v>
      </c>
      <c r="AA94">
        <v>-10.156082100000001</v>
      </c>
      <c r="AB94" t="s">
        <v>1354</v>
      </c>
      <c r="AC94" t="s">
        <v>216</v>
      </c>
      <c r="AL94" t="s">
        <v>217</v>
      </c>
      <c r="AM94" t="s">
        <v>1355</v>
      </c>
      <c r="AN94" t="s">
        <v>6</v>
      </c>
      <c r="AO94" s="57">
        <v>46032.746898148151</v>
      </c>
      <c r="AP94" s="57">
        <v>46297.625</v>
      </c>
      <c r="AR94" t="s">
        <v>18</v>
      </c>
      <c r="AS94" t="s">
        <v>113</v>
      </c>
      <c r="AT94" t="s">
        <v>230</v>
      </c>
      <c r="AV94" t="s">
        <v>226</v>
      </c>
      <c r="AW94" t="s">
        <v>881</v>
      </c>
      <c r="AX94" t="s">
        <v>222</v>
      </c>
      <c r="BA94" s="57">
        <v>46297.625</v>
      </c>
      <c r="BB94" t="s">
        <v>1355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KUPANG</v>
      </c>
    </row>
    <row r="95" spans="1:61" hidden="1">
      <c r="A95">
        <v>94</v>
      </c>
      <c r="B95">
        <v>1002618758</v>
      </c>
      <c r="C95">
        <v>3</v>
      </c>
      <c r="D95" t="s">
        <v>42</v>
      </c>
      <c r="E95">
        <v>5</v>
      </c>
      <c r="F95" t="s">
        <v>102</v>
      </c>
      <c r="G95" t="s">
        <v>99</v>
      </c>
      <c r="H95" t="s">
        <v>488</v>
      </c>
      <c r="I95" t="s">
        <v>212</v>
      </c>
      <c r="J95" t="s">
        <v>213</v>
      </c>
      <c r="K95" t="s">
        <v>149</v>
      </c>
      <c r="L95" t="s">
        <v>214</v>
      </c>
      <c r="M95" t="s">
        <v>76</v>
      </c>
      <c r="N95" t="s">
        <v>215</v>
      </c>
      <c r="O95" s="57">
        <v>46296.742754629631</v>
      </c>
      <c r="P95" s="57">
        <v>46297.480393518519</v>
      </c>
      <c r="Q95">
        <v>69402657</v>
      </c>
      <c r="S95">
        <v>152521203623</v>
      </c>
      <c r="T95" t="s">
        <v>1356</v>
      </c>
      <c r="U95" t="s">
        <v>1357</v>
      </c>
      <c r="V95" t="s">
        <v>1358</v>
      </c>
      <c r="Z95">
        <v>114.048638418316</v>
      </c>
      <c r="AA95">
        <v>-8.5835215538648306</v>
      </c>
      <c r="AB95" t="s">
        <v>1359</v>
      </c>
      <c r="AC95" t="s">
        <v>216</v>
      </c>
      <c r="AL95" t="s">
        <v>217</v>
      </c>
      <c r="AM95" t="s">
        <v>1360</v>
      </c>
      <c r="AN95" t="s">
        <v>6</v>
      </c>
      <c r="AO95" s="57">
        <v>46032.746898148151</v>
      </c>
      <c r="AP95" s="57">
        <v>46297.625</v>
      </c>
      <c r="AR95" t="s">
        <v>218</v>
      </c>
      <c r="AS95" t="s">
        <v>556</v>
      </c>
      <c r="AT95" t="s">
        <v>230</v>
      </c>
      <c r="AU95">
        <v>20261002</v>
      </c>
      <c r="AV95" t="s">
        <v>221</v>
      </c>
      <c r="AW95" t="s">
        <v>880</v>
      </c>
      <c r="AX95" t="s">
        <v>222</v>
      </c>
      <c r="BA95" s="57">
        <v>46297.625</v>
      </c>
      <c r="BB95" t="s">
        <v>1360</v>
      </c>
      <c r="BC95">
        <v>2026</v>
      </c>
      <c r="BD95">
        <v>10</v>
      </c>
      <c r="BE95">
        <v>2</v>
      </c>
      <c r="BF95" s="6">
        <f t="shared" si="3"/>
        <v>46297</v>
      </c>
      <c r="BG95">
        <f t="shared" si="4"/>
        <v>-0.625</v>
      </c>
      <c r="BH95" t="str">
        <f t="shared" si="5"/>
        <v>COMPLY</v>
      </c>
      <c r="BI95" t="str">
        <f>VLOOKUP(H95,Sheet2!$A$1:$B$270,2,FALSE)</f>
        <v>BANYUWANGI</v>
      </c>
    </row>
    <row r="96" spans="1:61" hidden="1">
      <c r="A96">
        <v>95</v>
      </c>
      <c r="B96">
        <v>1002618623</v>
      </c>
      <c r="C96">
        <v>3</v>
      </c>
      <c r="D96" t="s">
        <v>42</v>
      </c>
      <c r="E96">
        <v>5</v>
      </c>
      <c r="F96" t="s">
        <v>102</v>
      </c>
      <c r="G96" t="s">
        <v>108</v>
      </c>
      <c r="H96" t="s">
        <v>494</v>
      </c>
      <c r="I96" t="s">
        <v>212</v>
      </c>
      <c r="J96" t="s">
        <v>213</v>
      </c>
      <c r="K96" t="s">
        <v>149</v>
      </c>
      <c r="L96" t="s">
        <v>214</v>
      </c>
      <c r="M96" t="s">
        <v>238</v>
      </c>
      <c r="N96" t="s">
        <v>215</v>
      </c>
      <c r="O96" s="57">
        <v>46296.69699074074</v>
      </c>
      <c r="P96" s="57">
        <v>46296.698854166665</v>
      </c>
      <c r="Q96">
        <v>69402610</v>
      </c>
      <c r="S96">
        <v>152529201365</v>
      </c>
      <c r="T96" t="s">
        <v>1361</v>
      </c>
      <c r="U96" t="s">
        <v>1362</v>
      </c>
      <c r="V96" t="s">
        <v>1363</v>
      </c>
      <c r="Z96">
        <v>113.803239</v>
      </c>
      <c r="AA96">
        <v>-7.776408</v>
      </c>
      <c r="AB96" t="s">
        <v>1364</v>
      </c>
      <c r="AC96" t="s">
        <v>235</v>
      </c>
      <c r="AL96" t="s">
        <v>217</v>
      </c>
      <c r="AM96" t="s">
        <v>1365</v>
      </c>
      <c r="AN96" t="s">
        <v>6</v>
      </c>
      <c r="AO96" s="57">
        <v>46032.726099537038</v>
      </c>
      <c r="AP96" s="57">
        <v>46297.625</v>
      </c>
      <c r="AR96" t="s">
        <v>239</v>
      </c>
      <c r="AS96" t="s">
        <v>108</v>
      </c>
      <c r="AT96" t="s">
        <v>230</v>
      </c>
      <c r="AV96" t="s">
        <v>238</v>
      </c>
      <c r="AW96" t="s">
        <v>867</v>
      </c>
      <c r="AX96" t="s">
        <v>222</v>
      </c>
      <c r="BA96" s="57">
        <v>46297.625</v>
      </c>
      <c r="BB96" t="s">
        <v>1365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BANYUWANGI</v>
      </c>
    </row>
    <row r="97" spans="1:61" hidden="1">
      <c r="A97">
        <v>96</v>
      </c>
      <c r="B97">
        <v>1002617166</v>
      </c>
      <c r="C97">
        <v>3</v>
      </c>
      <c r="D97" t="s">
        <v>42</v>
      </c>
      <c r="E97">
        <v>5</v>
      </c>
      <c r="F97" t="s">
        <v>102</v>
      </c>
      <c r="G97" t="s">
        <v>102</v>
      </c>
      <c r="H97" t="s">
        <v>372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46296.408101851855</v>
      </c>
      <c r="P97" s="57">
        <v>46296.850081018521</v>
      </c>
      <c r="Q97">
        <v>69400906</v>
      </c>
      <c r="R97">
        <v>3368900010</v>
      </c>
      <c r="S97">
        <v>152539206020</v>
      </c>
      <c r="T97" t="s">
        <v>937</v>
      </c>
      <c r="U97" t="s">
        <v>1366</v>
      </c>
      <c r="V97" t="s">
        <v>1367</v>
      </c>
      <c r="Z97">
        <v>113.608535</v>
      </c>
      <c r="AA97">
        <v>-8.3398029999999999</v>
      </c>
      <c r="AB97" t="s">
        <v>938</v>
      </c>
      <c r="AC97" t="s">
        <v>229</v>
      </c>
      <c r="AL97" t="s">
        <v>217</v>
      </c>
      <c r="AM97" t="s">
        <v>1368</v>
      </c>
      <c r="AN97" t="s">
        <v>6</v>
      </c>
      <c r="AO97" s="57">
        <v>46032.413738425923</v>
      </c>
      <c r="AR97" t="s">
        <v>218</v>
      </c>
      <c r="AS97" t="s">
        <v>574</v>
      </c>
      <c r="AT97" t="s">
        <v>230</v>
      </c>
      <c r="AU97">
        <v>20261001</v>
      </c>
      <c r="AV97" t="s">
        <v>221</v>
      </c>
      <c r="AW97" t="s">
        <v>540</v>
      </c>
      <c r="AX97" t="s">
        <v>222</v>
      </c>
      <c r="BA97" s="57">
        <v>46296.291666666664</v>
      </c>
      <c r="BB97" t="s">
        <v>1368</v>
      </c>
      <c r="BC97">
        <v>2026</v>
      </c>
      <c r="BD97">
        <v>10</v>
      </c>
      <c r="BE97">
        <v>1</v>
      </c>
      <c r="BF97" s="6">
        <f t="shared" si="3"/>
        <v>46296</v>
      </c>
      <c r="BG97">
        <f t="shared" si="4"/>
        <v>-0.29166666666424135</v>
      </c>
      <c r="BH97" t="str">
        <f t="shared" si="5"/>
        <v>COMPLY</v>
      </c>
      <c r="BI97" t="str">
        <f>VLOOKUP(H97,Sheet2!$A$1:$B$270,2,FALSE)</f>
        <v>JEMBER</v>
      </c>
    </row>
    <row r="98" spans="1:61" hidden="1">
      <c r="A98">
        <v>97</v>
      </c>
      <c r="B98">
        <v>1002617727</v>
      </c>
      <c r="C98">
        <v>3</v>
      </c>
      <c r="D98" t="s">
        <v>42</v>
      </c>
      <c r="E98">
        <v>5</v>
      </c>
      <c r="F98" t="s">
        <v>102</v>
      </c>
      <c r="G98" t="s">
        <v>102</v>
      </c>
      <c r="H98" t="s">
        <v>360</v>
      </c>
      <c r="I98" t="s">
        <v>212</v>
      </c>
      <c r="J98" t="s">
        <v>213</v>
      </c>
      <c r="K98" t="s">
        <v>149</v>
      </c>
      <c r="L98" t="s">
        <v>214</v>
      </c>
      <c r="M98" t="s">
        <v>255</v>
      </c>
      <c r="N98" t="s">
        <v>215</v>
      </c>
      <c r="O98" s="57">
        <v>46296.519849537035</v>
      </c>
      <c r="P98" s="57">
        <v>46297.540451388886</v>
      </c>
      <c r="Q98">
        <v>69402313</v>
      </c>
      <c r="S98">
        <v>152501281067</v>
      </c>
      <c r="T98" t="s">
        <v>1369</v>
      </c>
      <c r="U98" t="s">
        <v>1370</v>
      </c>
      <c r="V98" t="s">
        <v>1371</v>
      </c>
      <c r="Z98">
        <v>113.705057166516</v>
      </c>
      <c r="AA98">
        <v>-8.16480285008255</v>
      </c>
      <c r="AB98" t="s">
        <v>1372</v>
      </c>
      <c r="AC98" t="s">
        <v>216</v>
      </c>
      <c r="AL98" t="s">
        <v>217</v>
      </c>
      <c r="AM98" t="s">
        <v>1373</v>
      </c>
      <c r="AN98" t="s">
        <v>6</v>
      </c>
      <c r="AO98" s="57">
        <v>46032.559305555558</v>
      </c>
      <c r="AP98" s="57">
        <v>46297.458333333336</v>
      </c>
      <c r="AR98" t="s">
        <v>256</v>
      </c>
      <c r="AS98" t="s">
        <v>102</v>
      </c>
      <c r="AT98" t="s">
        <v>230</v>
      </c>
      <c r="AV98" t="s">
        <v>257</v>
      </c>
      <c r="AW98" t="s">
        <v>884</v>
      </c>
      <c r="AX98" t="s">
        <v>222</v>
      </c>
      <c r="BA98" s="57">
        <v>46297.458333333336</v>
      </c>
      <c r="BB98" t="s">
        <v>1373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JEMBER</v>
      </c>
    </row>
    <row r="99" spans="1:61" hidden="1">
      <c r="A99">
        <v>98</v>
      </c>
      <c r="B99">
        <v>1002617896</v>
      </c>
      <c r="C99">
        <v>3</v>
      </c>
      <c r="D99" t="s">
        <v>42</v>
      </c>
      <c r="E99">
        <v>5</v>
      </c>
      <c r="F99" t="s">
        <v>106</v>
      </c>
      <c r="G99" t="s">
        <v>104</v>
      </c>
      <c r="H99" t="s">
        <v>495</v>
      </c>
      <c r="I99" t="s">
        <v>212</v>
      </c>
      <c r="J99" t="s">
        <v>213</v>
      </c>
      <c r="K99" t="s">
        <v>149</v>
      </c>
      <c r="M99" t="s">
        <v>76</v>
      </c>
      <c r="N99" t="s">
        <v>215</v>
      </c>
      <c r="O99" s="57">
        <v>46296.569930555554</v>
      </c>
      <c r="P99" s="57">
        <v>46296.696250000001</v>
      </c>
      <c r="Q99">
        <v>69401645</v>
      </c>
      <c r="S99">
        <v>152542208206</v>
      </c>
      <c r="T99" t="s">
        <v>947</v>
      </c>
      <c r="U99" t="s">
        <v>939</v>
      </c>
      <c r="V99" t="s">
        <v>1374</v>
      </c>
      <c r="Z99">
        <v>113.1216587</v>
      </c>
      <c r="AA99">
        <v>-8.2018167000000002</v>
      </c>
      <c r="AB99" t="s">
        <v>948</v>
      </c>
      <c r="AC99" t="s">
        <v>229</v>
      </c>
      <c r="AL99" t="s">
        <v>217</v>
      </c>
      <c r="AM99" t="s">
        <v>1375</v>
      </c>
      <c r="AN99" t="s">
        <v>6</v>
      </c>
      <c r="AO99" s="57">
        <v>46032.579872685186</v>
      </c>
      <c r="AR99" t="s">
        <v>218</v>
      </c>
      <c r="AS99" t="s">
        <v>219</v>
      </c>
      <c r="AT99" t="s">
        <v>220</v>
      </c>
      <c r="AU99">
        <v>20261001</v>
      </c>
      <c r="AV99" t="s">
        <v>221</v>
      </c>
      <c r="AW99" t="s">
        <v>576</v>
      </c>
      <c r="AX99" t="s">
        <v>222</v>
      </c>
      <c r="BA99" s="57">
        <v>46296.291666666664</v>
      </c>
      <c r="BB99" t="s">
        <v>1375</v>
      </c>
      <c r="BC99">
        <v>2026</v>
      </c>
      <c r="BD99">
        <v>10</v>
      </c>
      <c r="BE99">
        <v>1</v>
      </c>
      <c r="BF99" s="6">
        <f t="shared" si="3"/>
        <v>46296</v>
      </c>
      <c r="BG99">
        <f t="shared" si="4"/>
        <v>-0.29166666666424135</v>
      </c>
      <c r="BH99" t="str">
        <f t="shared" si="5"/>
        <v>COMPLY</v>
      </c>
      <c r="BI99" t="str">
        <f>VLOOKUP(H99,Sheet2!$A$1:$B$270,2,FALSE)</f>
        <v>PROBOLINGGO</v>
      </c>
    </row>
    <row r="100" spans="1:61" hidden="1">
      <c r="A100">
        <v>99</v>
      </c>
      <c r="B100">
        <v>1002617892</v>
      </c>
      <c r="C100">
        <v>3</v>
      </c>
      <c r="D100" t="s">
        <v>45</v>
      </c>
      <c r="E100">
        <v>5</v>
      </c>
      <c r="F100" t="s">
        <v>113</v>
      </c>
      <c r="G100" t="s">
        <v>111</v>
      </c>
      <c r="H100" t="s">
        <v>254</v>
      </c>
      <c r="I100" t="s">
        <v>212</v>
      </c>
      <c r="J100" t="s">
        <v>213</v>
      </c>
      <c r="K100" t="s">
        <v>149</v>
      </c>
      <c r="L100" t="s">
        <v>214</v>
      </c>
      <c r="M100" t="s">
        <v>255</v>
      </c>
      <c r="N100" t="s">
        <v>215</v>
      </c>
      <c r="O100" s="57">
        <v>46296.567824074074</v>
      </c>
      <c r="P100" s="57">
        <v>46297.407916666663</v>
      </c>
      <c r="Q100">
        <v>69402370</v>
      </c>
      <c r="S100">
        <v>172506789376</v>
      </c>
      <c r="T100" t="s">
        <v>1376</v>
      </c>
      <c r="U100" t="s">
        <v>1377</v>
      </c>
      <c r="V100" t="s">
        <v>1378</v>
      </c>
      <c r="Z100">
        <v>121.6568403</v>
      </c>
      <c r="AA100">
        <v>-8.8478326000000003</v>
      </c>
      <c r="AB100" t="s">
        <v>1379</v>
      </c>
      <c r="AC100" t="s">
        <v>235</v>
      </c>
      <c r="AL100" t="s">
        <v>217</v>
      </c>
      <c r="AM100" t="s">
        <v>1380</v>
      </c>
      <c r="AN100" t="s">
        <v>6</v>
      </c>
      <c r="AO100" s="57">
        <v>46032.569884259261</v>
      </c>
      <c r="AP100" s="57">
        <v>46299.333333333336</v>
      </c>
      <c r="AR100" t="s">
        <v>256</v>
      </c>
      <c r="AS100" t="s">
        <v>111</v>
      </c>
      <c r="AT100" t="s">
        <v>230</v>
      </c>
      <c r="AV100" t="s">
        <v>257</v>
      </c>
      <c r="AW100" t="s">
        <v>933</v>
      </c>
      <c r="AX100" t="s">
        <v>222</v>
      </c>
      <c r="BA100" s="57">
        <v>46299.333333333336</v>
      </c>
      <c r="BB100" t="s">
        <v>1380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ENDE</v>
      </c>
    </row>
    <row r="101" spans="1:61" hidden="1">
      <c r="A101">
        <v>100</v>
      </c>
      <c r="B101">
        <v>1002618764</v>
      </c>
      <c r="C101">
        <v>3</v>
      </c>
      <c r="D101" t="s">
        <v>45</v>
      </c>
      <c r="E101">
        <v>5</v>
      </c>
      <c r="F101" t="s">
        <v>113</v>
      </c>
      <c r="G101" t="s">
        <v>111</v>
      </c>
      <c r="H101" t="s">
        <v>254</v>
      </c>
      <c r="I101" t="s">
        <v>212</v>
      </c>
      <c r="J101" t="s">
        <v>213</v>
      </c>
      <c r="K101" t="s">
        <v>149</v>
      </c>
      <c r="L101" t="s">
        <v>214</v>
      </c>
      <c r="M101" t="s">
        <v>238</v>
      </c>
      <c r="N101" t="s">
        <v>215</v>
      </c>
      <c r="O101" s="57">
        <v>46296.74486111111</v>
      </c>
      <c r="P101" s="57">
        <v>46296.74590277778</v>
      </c>
      <c r="Q101">
        <v>69402663</v>
      </c>
      <c r="S101">
        <v>172506789383</v>
      </c>
      <c r="T101" t="s">
        <v>1381</v>
      </c>
      <c r="U101" t="s">
        <v>1382</v>
      </c>
      <c r="V101" t="s">
        <v>1383</v>
      </c>
      <c r="Z101">
        <v>121.6441032</v>
      </c>
      <c r="AA101">
        <v>-8.8523017999999993</v>
      </c>
      <c r="AB101" t="s">
        <v>1384</v>
      </c>
      <c r="AC101" t="s">
        <v>235</v>
      </c>
      <c r="AL101" t="s">
        <v>217</v>
      </c>
      <c r="AM101" t="s">
        <v>1385</v>
      </c>
      <c r="AN101" t="s">
        <v>6</v>
      </c>
      <c r="AO101" s="57">
        <v>46032.746898148151</v>
      </c>
      <c r="AP101" s="57">
        <v>46298.333333333336</v>
      </c>
      <c r="AR101" t="s">
        <v>239</v>
      </c>
      <c r="AS101" t="s">
        <v>111</v>
      </c>
      <c r="AT101" t="s">
        <v>230</v>
      </c>
      <c r="AV101" t="s">
        <v>238</v>
      </c>
      <c r="AW101" t="s">
        <v>882</v>
      </c>
      <c r="AX101" t="s">
        <v>222</v>
      </c>
      <c r="BA101" s="57">
        <v>46298.333333333336</v>
      </c>
      <c r="BB101" t="s">
        <v>1385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ENDE</v>
      </c>
    </row>
    <row r="102" spans="1:61" hidden="1">
      <c r="A102">
        <v>101</v>
      </c>
      <c r="B102">
        <v>1002617761</v>
      </c>
      <c r="C102">
        <v>3</v>
      </c>
      <c r="D102" t="s">
        <v>45</v>
      </c>
      <c r="E102">
        <v>5</v>
      </c>
      <c r="F102" t="s">
        <v>113</v>
      </c>
      <c r="G102" t="s">
        <v>114</v>
      </c>
      <c r="H102" t="s">
        <v>357</v>
      </c>
      <c r="I102" t="s">
        <v>212</v>
      </c>
      <c r="J102" t="s">
        <v>213</v>
      </c>
      <c r="K102" t="s">
        <v>149</v>
      </c>
      <c r="L102" t="s">
        <v>214</v>
      </c>
      <c r="M102" t="s">
        <v>255</v>
      </c>
      <c r="N102" t="s">
        <v>215</v>
      </c>
      <c r="O102" s="57">
        <v>46296.532442129632</v>
      </c>
      <c r="P102" s="57">
        <v>46297.546550925923</v>
      </c>
      <c r="Q102">
        <v>69402304</v>
      </c>
      <c r="S102">
        <v>172514217309</v>
      </c>
      <c r="T102" t="s">
        <v>1386</v>
      </c>
      <c r="U102" t="s">
        <v>1387</v>
      </c>
      <c r="V102" t="s">
        <v>1388</v>
      </c>
      <c r="Z102">
        <v>120.474511633902</v>
      </c>
      <c r="AA102">
        <v>-8.6045969281323096</v>
      </c>
      <c r="AB102" t="s">
        <v>1389</v>
      </c>
      <c r="AC102" t="s">
        <v>235</v>
      </c>
      <c r="AL102" t="s">
        <v>217</v>
      </c>
      <c r="AM102" t="s">
        <v>1390</v>
      </c>
      <c r="AN102" t="s">
        <v>6</v>
      </c>
      <c r="AO102" s="57">
        <v>46032.559305555558</v>
      </c>
      <c r="AP102" s="57">
        <v>46297.458333333336</v>
      </c>
      <c r="AR102" t="s">
        <v>256</v>
      </c>
      <c r="AS102" t="s">
        <v>219</v>
      </c>
      <c r="AT102" t="s">
        <v>230</v>
      </c>
      <c r="AV102" t="s">
        <v>257</v>
      </c>
      <c r="AW102" t="s">
        <v>882</v>
      </c>
      <c r="AX102" t="s">
        <v>222</v>
      </c>
      <c r="BA102" s="57">
        <v>46297.458333333336</v>
      </c>
      <c r="BB102" t="s">
        <v>1390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LABOAN BAJO</v>
      </c>
    </row>
    <row r="103" spans="1:61">
      <c r="A103">
        <v>102</v>
      </c>
      <c r="B103">
        <v>1002617688</v>
      </c>
      <c r="C103">
        <v>3</v>
      </c>
      <c r="D103" t="s">
        <v>34</v>
      </c>
      <c r="E103">
        <v>5</v>
      </c>
      <c r="F103" t="s">
        <v>546</v>
      </c>
      <c r="G103" t="s">
        <v>85</v>
      </c>
      <c r="H103" t="s">
        <v>355</v>
      </c>
      <c r="I103" t="s">
        <v>212</v>
      </c>
      <c r="J103" t="s">
        <v>213</v>
      </c>
      <c r="K103" t="s">
        <v>149</v>
      </c>
      <c r="M103" t="s">
        <v>255</v>
      </c>
      <c r="N103" t="s">
        <v>215</v>
      </c>
      <c r="O103" s="57">
        <v>46296.50371527778</v>
      </c>
      <c r="P103" s="57">
        <v>46297.471620370372</v>
      </c>
      <c r="Q103">
        <v>69402261</v>
      </c>
      <c r="S103">
        <v>172414214642</v>
      </c>
      <c r="T103" t="s">
        <v>1391</v>
      </c>
      <c r="U103" t="s">
        <v>1392</v>
      </c>
      <c r="V103" t="s">
        <v>1393</v>
      </c>
      <c r="Z103">
        <v>115.1615592</v>
      </c>
      <c r="AA103">
        <v>-8.3697926999999996</v>
      </c>
      <c r="AB103" t="s">
        <v>1394</v>
      </c>
      <c r="AC103" t="s">
        <v>229</v>
      </c>
      <c r="AL103" t="s">
        <v>217</v>
      </c>
      <c r="AM103" t="s">
        <v>1395</v>
      </c>
      <c r="AN103" t="s">
        <v>6</v>
      </c>
      <c r="AO103" s="57">
        <v>46032.517557870371</v>
      </c>
      <c r="AP103" s="57">
        <v>46297.458333333336</v>
      </c>
      <c r="AR103" t="s">
        <v>256</v>
      </c>
      <c r="AS103" t="s">
        <v>85</v>
      </c>
      <c r="AT103" t="s">
        <v>230</v>
      </c>
      <c r="AV103" t="s">
        <v>257</v>
      </c>
      <c r="AW103" t="s">
        <v>540</v>
      </c>
      <c r="AX103" t="s">
        <v>222</v>
      </c>
      <c r="BA103" s="57">
        <v>46297.458333333336</v>
      </c>
      <c r="BB103" t="s">
        <v>1395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TABANAN</v>
      </c>
    </row>
    <row r="104" spans="1:61">
      <c r="A104">
        <v>103</v>
      </c>
      <c r="B104">
        <v>1002617698</v>
      </c>
      <c r="C104">
        <v>3</v>
      </c>
      <c r="D104" t="s">
        <v>34</v>
      </c>
      <c r="E104">
        <v>5</v>
      </c>
      <c r="F104" t="s">
        <v>546</v>
      </c>
      <c r="G104" t="s">
        <v>85</v>
      </c>
      <c r="H104" t="s">
        <v>355</v>
      </c>
      <c r="I104" t="s">
        <v>212</v>
      </c>
      <c r="J104" t="s">
        <v>213</v>
      </c>
      <c r="K104" t="s">
        <v>149</v>
      </c>
      <c r="M104" t="s">
        <v>255</v>
      </c>
      <c r="N104" t="s">
        <v>215</v>
      </c>
      <c r="O104" s="57">
        <v>46296.506469907406</v>
      </c>
      <c r="P104" s="57">
        <v>46297.41138888889</v>
      </c>
      <c r="Q104">
        <v>69402262</v>
      </c>
      <c r="S104">
        <v>172414214639</v>
      </c>
      <c r="T104" t="s">
        <v>1396</v>
      </c>
      <c r="U104" t="s">
        <v>1397</v>
      </c>
      <c r="V104" t="s">
        <v>1398</v>
      </c>
      <c r="Z104">
        <v>115.14373620000001</v>
      </c>
      <c r="AA104">
        <v>-8.3613206000000009</v>
      </c>
      <c r="AB104" t="s">
        <v>1399</v>
      </c>
      <c r="AC104" t="s">
        <v>229</v>
      </c>
      <c r="AL104" t="s">
        <v>217</v>
      </c>
      <c r="AM104" t="s">
        <v>1400</v>
      </c>
      <c r="AN104" t="s">
        <v>6</v>
      </c>
      <c r="AO104" s="57">
        <v>46032.517557870371</v>
      </c>
      <c r="AP104" s="57">
        <v>46297.458333333336</v>
      </c>
      <c r="AR104" t="s">
        <v>256</v>
      </c>
      <c r="AS104" t="s">
        <v>85</v>
      </c>
      <c r="AT104" t="s">
        <v>230</v>
      </c>
      <c r="AV104" t="s">
        <v>257</v>
      </c>
      <c r="AW104" t="s">
        <v>540</v>
      </c>
      <c r="AX104" t="s">
        <v>222</v>
      </c>
      <c r="BA104" s="57">
        <v>46297.458333333336</v>
      </c>
      <c r="BB104" t="s">
        <v>1400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TABANAN</v>
      </c>
    </row>
    <row r="105" spans="1:61">
      <c r="A105">
        <v>104</v>
      </c>
      <c r="B105">
        <v>1002617925</v>
      </c>
      <c r="C105">
        <v>3</v>
      </c>
      <c r="D105" t="s">
        <v>34</v>
      </c>
      <c r="E105">
        <v>5</v>
      </c>
      <c r="F105" t="s">
        <v>553</v>
      </c>
      <c r="G105" t="s">
        <v>86</v>
      </c>
      <c r="H105" t="s">
        <v>271</v>
      </c>
      <c r="I105" t="s">
        <v>212</v>
      </c>
      <c r="J105" t="s">
        <v>213</v>
      </c>
      <c r="K105" t="s">
        <v>149</v>
      </c>
      <c r="M105" t="s">
        <v>898</v>
      </c>
      <c r="N105" t="s">
        <v>215</v>
      </c>
      <c r="O105" s="57">
        <v>46296.575636574074</v>
      </c>
      <c r="P105" s="57">
        <v>46297.488009259258</v>
      </c>
      <c r="Q105">
        <v>69402378</v>
      </c>
      <c r="S105">
        <v>172418758061</v>
      </c>
      <c r="T105" t="s">
        <v>1401</v>
      </c>
      <c r="U105" t="s">
        <v>1402</v>
      </c>
      <c r="V105" t="s">
        <v>1403</v>
      </c>
      <c r="Z105">
        <v>115.2218709</v>
      </c>
      <c r="AA105">
        <v>-8.6356625999999999</v>
      </c>
      <c r="AB105" t="s">
        <v>1404</v>
      </c>
      <c r="AC105" t="s">
        <v>225</v>
      </c>
      <c r="AL105" t="s">
        <v>217</v>
      </c>
      <c r="AM105" t="s">
        <v>1405</v>
      </c>
      <c r="AN105" t="s">
        <v>6</v>
      </c>
      <c r="AO105" s="57">
        <v>46032.579872685186</v>
      </c>
      <c r="AP105" s="57">
        <v>46297.458333333336</v>
      </c>
      <c r="AR105" t="s">
        <v>889</v>
      </c>
      <c r="AS105" t="s">
        <v>86</v>
      </c>
      <c r="AT105" t="s">
        <v>220</v>
      </c>
      <c r="AV105" t="s">
        <v>899</v>
      </c>
      <c r="AW105" t="s">
        <v>856</v>
      </c>
      <c r="AX105" t="s">
        <v>222</v>
      </c>
      <c r="BA105" s="57">
        <v>46297.458333333336</v>
      </c>
      <c r="BB105" t="s">
        <v>1405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UBUNG</v>
      </c>
    </row>
    <row r="106" spans="1:61">
      <c r="A106">
        <v>105</v>
      </c>
      <c r="B106">
        <v>1002616976</v>
      </c>
      <c r="C106">
        <v>3</v>
      </c>
      <c r="D106" t="s">
        <v>34</v>
      </c>
      <c r="E106">
        <v>5</v>
      </c>
      <c r="F106" t="s">
        <v>553</v>
      </c>
      <c r="G106" t="s">
        <v>86</v>
      </c>
      <c r="H106" t="s">
        <v>271</v>
      </c>
      <c r="I106" t="s">
        <v>212</v>
      </c>
      <c r="J106" t="s">
        <v>213</v>
      </c>
      <c r="K106" t="s">
        <v>149</v>
      </c>
      <c r="M106" t="s">
        <v>76</v>
      </c>
      <c r="N106" t="s">
        <v>215</v>
      </c>
      <c r="O106" s="57">
        <v>46296.374502314815</v>
      </c>
      <c r="P106" s="57">
        <v>46297.457881944443</v>
      </c>
      <c r="Q106">
        <v>69402057</v>
      </c>
      <c r="S106">
        <v>172418758697</v>
      </c>
      <c r="T106" t="s">
        <v>949</v>
      </c>
      <c r="U106" t="s">
        <v>950</v>
      </c>
      <c r="V106" t="s">
        <v>1406</v>
      </c>
      <c r="Z106">
        <v>115.2095704</v>
      </c>
      <c r="AA106">
        <v>-8.6576401000000001</v>
      </c>
      <c r="AB106" t="s">
        <v>951</v>
      </c>
      <c r="AC106" t="s">
        <v>229</v>
      </c>
      <c r="AL106" t="s">
        <v>217</v>
      </c>
      <c r="AM106" t="s">
        <v>1407</v>
      </c>
      <c r="AN106" t="s">
        <v>6</v>
      </c>
      <c r="AO106" s="57">
        <v>46032.392847222225</v>
      </c>
      <c r="AP106" s="57">
        <v>46297.333333333336</v>
      </c>
      <c r="AR106" t="s">
        <v>218</v>
      </c>
      <c r="AS106" t="s">
        <v>86</v>
      </c>
      <c r="AT106" t="s">
        <v>230</v>
      </c>
      <c r="AU106">
        <v>20261002</v>
      </c>
      <c r="AV106" t="s">
        <v>221</v>
      </c>
      <c r="AW106" t="s">
        <v>540</v>
      </c>
      <c r="AX106" t="s">
        <v>222</v>
      </c>
      <c r="BA106" s="57">
        <v>46297.333333333336</v>
      </c>
      <c r="BB106" t="s">
        <v>1407</v>
      </c>
      <c r="BC106">
        <v>2026</v>
      </c>
      <c r="BD106">
        <v>10</v>
      </c>
      <c r="BE106">
        <v>2</v>
      </c>
      <c r="BF106" s="6">
        <f t="shared" si="3"/>
        <v>46297</v>
      </c>
      <c r="BG106">
        <f t="shared" si="4"/>
        <v>-0.33333333333575865</v>
      </c>
      <c r="BH106" t="str">
        <f t="shared" si="5"/>
        <v>COMPLY</v>
      </c>
      <c r="BI106" t="str">
        <f>VLOOKUP(H106,Sheet2!$A$1:$B$270,2,FALSE)</f>
        <v>UBUNG</v>
      </c>
    </row>
    <row r="107" spans="1:61">
      <c r="A107">
        <v>106</v>
      </c>
      <c r="B107">
        <v>1002616933</v>
      </c>
      <c r="C107">
        <v>3</v>
      </c>
      <c r="D107" t="s">
        <v>34</v>
      </c>
      <c r="E107">
        <v>5</v>
      </c>
      <c r="F107" t="s">
        <v>553</v>
      </c>
      <c r="G107" t="s">
        <v>86</v>
      </c>
      <c r="H107" t="s">
        <v>271</v>
      </c>
      <c r="I107" t="s">
        <v>212</v>
      </c>
      <c r="J107" t="s">
        <v>213</v>
      </c>
      <c r="K107" t="s">
        <v>149</v>
      </c>
      <c r="M107" t="s">
        <v>224</v>
      </c>
      <c r="N107" t="s">
        <v>215</v>
      </c>
      <c r="O107" s="57">
        <v>46296.365520833337</v>
      </c>
      <c r="P107" s="57">
        <v>46296.370104166665</v>
      </c>
      <c r="Q107">
        <v>69401252</v>
      </c>
      <c r="S107">
        <v>172418758695</v>
      </c>
      <c r="T107" t="s">
        <v>949</v>
      </c>
      <c r="U107" t="s">
        <v>950</v>
      </c>
      <c r="V107" t="s">
        <v>1408</v>
      </c>
      <c r="Z107">
        <v>115.209762709739</v>
      </c>
      <c r="AA107">
        <v>-8.65767524401166</v>
      </c>
      <c r="AB107" t="s">
        <v>951</v>
      </c>
      <c r="AC107" t="s">
        <v>229</v>
      </c>
      <c r="AL107" t="s">
        <v>217</v>
      </c>
      <c r="AM107" t="s">
        <v>1409</v>
      </c>
      <c r="AN107" t="s">
        <v>6</v>
      </c>
      <c r="AO107" s="57">
        <v>46032.392847222225</v>
      </c>
      <c r="AR107" t="s">
        <v>18</v>
      </c>
      <c r="AS107" t="s">
        <v>86</v>
      </c>
      <c r="AT107" t="s">
        <v>342</v>
      </c>
      <c r="AV107" t="s">
        <v>226</v>
      </c>
      <c r="AW107" t="s">
        <v>907</v>
      </c>
      <c r="AX107" t="s">
        <v>222</v>
      </c>
      <c r="BA107" s="57">
        <v>46296.291666666664</v>
      </c>
      <c r="BB107" t="s">
        <v>1409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UBUNG</v>
      </c>
    </row>
    <row r="108" spans="1:61">
      <c r="A108">
        <v>107</v>
      </c>
      <c r="B108">
        <v>1002617750</v>
      </c>
      <c r="C108">
        <v>3</v>
      </c>
      <c r="D108" t="s">
        <v>34</v>
      </c>
      <c r="E108">
        <v>5</v>
      </c>
      <c r="F108" t="s">
        <v>546</v>
      </c>
      <c r="G108" t="s">
        <v>84</v>
      </c>
      <c r="H108" t="s">
        <v>408</v>
      </c>
      <c r="I108" t="s">
        <v>212</v>
      </c>
      <c r="J108" t="s">
        <v>213</v>
      </c>
      <c r="K108" t="s">
        <v>149</v>
      </c>
      <c r="M108" t="s">
        <v>238</v>
      </c>
      <c r="N108" t="s">
        <v>215</v>
      </c>
      <c r="O108" s="57">
        <v>46296.530219907407</v>
      </c>
      <c r="P108" s="57">
        <v>46296.650081018517</v>
      </c>
      <c r="Q108">
        <v>69402318</v>
      </c>
      <c r="S108">
        <v>172406213398</v>
      </c>
      <c r="T108" t="s">
        <v>1410</v>
      </c>
      <c r="U108" t="s">
        <v>1411</v>
      </c>
      <c r="V108" t="s">
        <v>1412</v>
      </c>
      <c r="Z108">
        <v>115.3283899</v>
      </c>
      <c r="AA108">
        <v>-8.2477935999999996</v>
      </c>
      <c r="AB108" t="s">
        <v>1413</v>
      </c>
      <c r="AC108" t="s">
        <v>229</v>
      </c>
      <c r="AL108" t="s">
        <v>217</v>
      </c>
      <c r="AM108" t="s">
        <v>1414</v>
      </c>
      <c r="AN108" t="s">
        <v>6</v>
      </c>
      <c r="AO108" s="57">
        <v>46032.559305555558</v>
      </c>
      <c r="AP108" s="57">
        <v>46297.625</v>
      </c>
      <c r="AR108" t="s">
        <v>239</v>
      </c>
      <c r="AS108" t="s">
        <v>219</v>
      </c>
      <c r="AT108" t="s">
        <v>220</v>
      </c>
      <c r="AV108" t="s">
        <v>238</v>
      </c>
      <c r="AW108" t="s">
        <v>940</v>
      </c>
      <c r="AX108" t="s">
        <v>222</v>
      </c>
      <c r="BA108" s="57">
        <v>46297.625</v>
      </c>
      <c r="BB108" t="s">
        <v>1414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SINGARAJA</v>
      </c>
    </row>
    <row r="109" spans="1:61" hidden="1">
      <c r="O109" s="57"/>
      <c r="P109" s="57"/>
      <c r="AP109" s="57"/>
      <c r="BA109" s="57"/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e">
        <f>VLOOKUP(H109,Sheet2!$A$1:$B$270,2,FALSE)</f>
        <v>#N/A</v>
      </c>
    </row>
    <row r="110" spans="1:61" hidden="1">
      <c r="O110" s="57"/>
      <c r="P110" s="57"/>
      <c r="AP110" s="57"/>
      <c r="BA110" s="57"/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e">
        <f>VLOOKUP(H110,Sheet2!$A$1:$B$270,2,FALSE)</f>
        <v>#N/A</v>
      </c>
    </row>
    <row r="111" spans="1:61" hidden="1">
      <c r="O111" s="57"/>
      <c r="P111" s="57"/>
      <c r="BA111" s="57"/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e">
        <f>VLOOKUP(H111,Sheet2!$A$1:$B$270,2,FALSE)</f>
        <v>#N/A</v>
      </c>
    </row>
    <row r="112" spans="1:61" hidden="1">
      <c r="O112" s="57"/>
      <c r="P112" s="57"/>
      <c r="AP112" s="57"/>
      <c r="BA112" s="57"/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e">
        <f>VLOOKUP(H112,Sheet2!$A$1:$B$270,2,FALSE)</f>
        <v>#N/A</v>
      </c>
    </row>
    <row r="113" spans="15:61" hidden="1">
      <c r="O113" s="57"/>
      <c r="P113" s="57"/>
      <c r="AP113" s="57"/>
      <c r="BA113" s="57"/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e">
        <f>VLOOKUP(H113,Sheet2!$A$1:$B$270,2,FALSE)</f>
        <v>#N/A</v>
      </c>
    </row>
    <row r="114" spans="15:61" hidden="1">
      <c r="O114" s="57"/>
      <c r="P114" s="57"/>
      <c r="AP114" s="57"/>
      <c r="BA114" s="57"/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e">
        <f>VLOOKUP(H114,Sheet2!$A$1:$B$270,2,FALSE)</f>
        <v>#N/A</v>
      </c>
    </row>
    <row r="115" spans="15:61" hidden="1">
      <c r="O115" s="57"/>
      <c r="P115" s="57"/>
      <c r="BA115" s="57"/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e">
        <f>VLOOKUP(H115,Sheet2!$A$1:$B$270,2,FALSE)</f>
        <v>#N/A</v>
      </c>
    </row>
    <row r="116" spans="15:61" hidden="1">
      <c r="O116" s="57"/>
      <c r="P116" s="57"/>
      <c r="BA116" s="57"/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e">
        <f>VLOOKUP(H116,Sheet2!$A$1:$B$270,2,FALSE)</f>
        <v>#N/A</v>
      </c>
    </row>
    <row r="117" spans="15:61" hidden="1">
      <c r="O117" s="57"/>
      <c r="P117" s="57"/>
      <c r="AP117" s="57"/>
      <c r="BA117" s="57"/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e">
        <f>VLOOKUP(H117,Sheet2!$A$1:$B$270,2,FALSE)</f>
        <v>#N/A</v>
      </c>
    </row>
    <row r="118" spans="15:61" hidden="1">
      <c r="O118" s="57"/>
      <c r="P118" s="57"/>
      <c r="AP118" s="57"/>
      <c r="BA118" s="57"/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e">
        <f>VLOOKUP(H118,Sheet2!$A$1:$B$270,2,FALSE)</f>
        <v>#N/A</v>
      </c>
    </row>
    <row r="119" spans="15:61" hidden="1">
      <c r="O119" s="57"/>
      <c r="P119" s="57"/>
      <c r="AP119" s="57"/>
      <c r="BA119" s="57"/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e">
        <f>VLOOKUP(H119,Sheet2!$A$1:$B$270,2,FALSE)</f>
        <v>#N/A</v>
      </c>
    </row>
    <row r="120" spans="15:61" hidden="1">
      <c r="O120" s="57"/>
      <c r="P120" s="57"/>
      <c r="AP120" s="57"/>
      <c r="BA120" s="57"/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e">
        <f>VLOOKUP(H120,Sheet2!$A$1:$B$270,2,FALSE)</f>
        <v>#N/A</v>
      </c>
    </row>
    <row r="121" spans="15:61" hidden="1">
      <c r="O121" s="57"/>
      <c r="P121" s="57"/>
      <c r="AP121" s="57"/>
      <c r="BA121" s="57"/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e">
        <f>VLOOKUP(H121,Sheet2!$A$1:$B$270,2,FALSE)</f>
        <v>#N/A</v>
      </c>
    </row>
    <row r="122" spans="15:61" hidden="1">
      <c r="O122" s="57"/>
      <c r="P122" s="57"/>
      <c r="AP122" s="57"/>
      <c r="BA122" s="57"/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e">
        <f>VLOOKUP(H122,Sheet2!$A$1:$B$270,2,FALSE)</f>
        <v>#N/A</v>
      </c>
    </row>
    <row r="123" spans="15:61" hidden="1">
      <c r="O123" s="57"/>
      <c r="P123" s="57"/>
      <c r="AP123" s="57"/>
      <c r="BA123" s="57"/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e">
        <f>VLOOKUP(H123,Sheet2!$A$1:$B$270,2,FALSE)</f>
        <v>#N/A</v>
      </c>
    </row>
    <row r="124" spans="15:61" hidden="1">
      <c r="O124" s="57"/>
      <c r="P124" s="57"/>
      <c r="AP124" s="57"/>
      <c r="BA124" s="57"/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e">
        <f>VLOOKUP(H124,Sheet2!$A$1:$B$270,2,FALSE)</f>
        <v>#N/A</v>
      </c>
    </row>
    <row r="125" spans="15:61" hidden="1">
      <c r="O125" s="57"/>
      <c r="P125" s="57"/>
      <c r="AP125" s="57"/>
      <c r="BA125" s="57"/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e">
        <f>VLOOKUP(H125,Sheet2!$A$1:$B$270,2,FALSE)</f>
        <v>#N/A</v>
      </c>
    </row>
    <row r="126" spans="15:61" hidden="1">
      <c r="O126" s="57"/>
      <c r="P126" s="57"/>
      <c r="AP126" s="57"/>
      <c r="BA126" s="57"/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e">
        <f>VLOOKUP(H126,Sheet2!$A$1:$B$270,2,FALSE)</f>
        <v>#N/A</v>
      </c>
    </row>
    <row r="127" spans="15:61" hidden="1">
      <c r="O127" s="57"/>
      <c r="P127" s="57"/>
      <c r="AP127" s="57"/>
      <c r="BA127" s="57"/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e">
        <f>VLOOKUP(H127,Sheet2!$A$1:$B$270,2,FALSE)</f>
        <v>#N/A</v>
      </c>
    </row>
    <row r="128" spans="15:61" hidden="1">
      <c r="O128" s="57"/>
      <c r="P128" s="57"/>
      <c r="BA128" s="57"/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e">
        <f>VLOOKUP(H128,Sheet2!$A$1:$B$270,2,FALSE)</f>
        <v>#N/A</v>
      </c>
    </row>
    <row r="129" spans="15:61" hidden="1">
      <c r="O129" s="57"/>
      <c r="P129" s="57"/>
      <c r="BA129" s="57"/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e">
        <f>VLOOKUP(H129,Sheet2!$A$1:$B$270,2,FALSE)</f>
        <v>#N/A</v>
      </c>
    </row>
    <row r="130" spans="15:61" hidden="1">
      <c r="O130" s="57"/>
      <c r="P130" s="57"/>
      <c r="AP130" s="57"/>
      <c r="BA130" s="57"/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e">
        <f>VLOOKUP(H130,Sheet2!$A$1:$B$270,2,FALSE)</f>
        <v>#N/A</v>
      </c>
    </row>
    <row r="131" spans="15:61" hidden="1">
      <c r="O131" s="57"/>
      <c r="P131" s="57"/>
      <c r="AP131" s="57"/>
      <c r="BA131" s="57"/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e">
        <f>VLOOKUP(H131,Sheet2!$A$1:$B$270,2,FALSE)</f>
        <v>#N/A</v>
      </c>
    </row>
    <row r="132" spans="15:61" hidden="1">
      <c r="O132" s="57"/>
      <c r="P132" s="57"/>
      <c r="AP132" s="57"/>
      <c r="BA132" s="57"/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e">
        <f>VLOOKUP(H132,Sheet2!$A$1:$B$270,2,FALSE)</f>
        <v>#N/A</v>
      </c>
    </row>
    <row r="133" spans="15:61" hidden="1">
      <c r="O133" s="57"/>
      <c r="P133" s="57"/>
      <c r="AP133" s="57"/>
      <c r="BA133" s="57"/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5:61" hidden="1">
      <c r="O134" s="57"/>
      <c r="P134" s="57"/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e">
        <f>VLOOKUP(H134,Sheet2!$A$1:$B$270,2,FALSE)</f>
        <v>#N/A</v>
      </c>
    </row>
    <row r="135" spans="15:61" hidden="1">
      <c r="O135" s="57"/>
      <c r="P135" s="57"/>
      <c r="AO135" s="57"/>
      <c r="AP135" s="57"/>
      <c r="BA135" s="57"/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5:61" hidden="1">
      <c r="O136" s="57"/>
      <c r="P136" s="57"/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e">
        <f>VLOOKUP(H136,Sheet2!$A$1:$B$270,2,FALSE)</f>
        <v>#N/A</v>
      </c>
    </row>
    <row r="137" spans="15:61" hidden="1">
      <c r="O137" s="57"/>
      <c r="P137" s="57"/>
      <c r="AP137" s="57"/>
      <c r="BA137" s="57"/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e">
        <f>VLOOKUP(H137,Sheet2!$A$1:$B$270,2,FALSE)</f>
        <v>#N/A</v>
      </c>
    </row>
    <row r="138" spans="15:61" hidden="1">
      <c r="O138" s="57"/>
      <c r="P138" s="57"/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e">
        <f>VLOOKUP(H138,Sheet2!$A$1:$B$270,2,FALSE)</f>
        <v>#N/A</v>
      </c>
    </row>
    <row r="139" spans="15:61" hidden="1">
      <c r="O139" s="57"/>
      <c r="P139" s="57"/>
      <c r="AP139" s="57"/>
      <c r="BA139" s="57"/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5:61" hidden="1">
      <c r="O140" s="57"/>
      <c r="P140" s="57"/>
      <c r="AP140" s="57"/>
      <c r="BA140" s="57"/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e">
        <f>VLOOKUP(H140,Sheet2!$A$1:$B$270,2,FALSE)</f>
        <v>#N/A</v>
      </c>
    </row>
    <row r="141" spans="15:61" hidden="1">
      <c r="O141" s="57"/>
      <c r="P141" s="57"/>
      <c r="AP141" s="57"/>
      <c r="BA141" s="57"/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e">
        <f>VLOOKUP(H141,Sheet2!$A$1:$B$270,2,FALSE)</f>
        <v>#N/A</v>
      </c>
    </row>
    <row r="142" spans="15:61" hidden="1">
      <c r="O142" s="57"/>
      <c r="P142" s="57"/>
      <c r="AO142" s="57"/>
      <c r="AP142" s="57"/>
      <c r="BA142" s="57"/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e">
        <f>VLOOKUP(H142,Sheet2!$A$1:$B$270,2,FALSE)</f>
        <v>#N/A</v>
      </c>
    </row>
    <row r="143" spans="15:61" hidden="1">
      <c r="O143" s="57"/>
      <c r="P143" s="57"/>
      <c r="AP143" s="57"/>
      <c r="BA143" s="57"/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e">
        <f>VLOOKUP(H143,Sheet2!$A$1:$B$270,2,FALSE)</f>
        <v>#N/A</v>
      </c>
    </row>
    <row r="144" spans="15:61" hidden="1">
      <c r="O144" s="57"/>
      <c r="P144" s="57"/>
      <c r="BA144" s="57"/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e">
        <f>VLOOKUP(H144,Sheet2!$A$1:$B$270,2,FALSE)</f>
        <v>#N/A</v>
      </c>
    </row>
    <row r="145" spans="15:61" hidden="1">
      <c r="O145" s="57"/>
      <c r="P145" s="57"/>
      <c r="AO145" s="57"/>
      <c r="AP145" s="57"/>
      <c r="BA145" s="57"/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e">
        <f>VLOOKUP(H145,Sheet2!$A$1:$B$270,2,FALSE)</f>
        <v>#N/A</v>
      </c>
    </row>
    <row r="146" spans="15:61" hidden="1">
      <c r="O146" s="57"/>
      <c r="P146" s="57"/>
      <c r="AO146" s="57"/>
      <c r="BA146" s="57"/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e">
        <f>VLOOKUP(H146,Sheet2!$A$1:$B$270,2,FALSE)</f>
        <v>#N/A</v>
      </c>
    </row>
    <row r="147" spans="15:61" hidden="1">
      <c r="O147" s="57"/>
      <c r="P147" s="57"/>
      <c r="AP147" s="57"/>
      <c r="BA147" s="57"/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e">
        <f>VLOOKUP(H147,Sheet2!$A$1:$B$270,2,FALSE)</f>
        <v>#N/A</v>
      </c>
    </row>
    <row r="148" spans="15:61" hidden="1">
      <c r="O148" s="57"/>
      <c r="P148" s="57"/>
      <c r="BA148" s="57"/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e">
        <f>VLOOKUP(H148,Sheet2!$A$1:$B$270,2,FALSE)</f>
        <v>#N/A</v>
      </c>
    </row>
    <row r="149" spans="15:61" hidden="1">
      <c r="O149" s="57"/>
      <c r="P149" s="57"/>
      <c r="BA149" s="57"/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e">
        <f>VLOOKUP(H149,Sheet2!$A$1:$B$270,2,FALSE)</f>
        <v>#N/A</v>
      </c>
    </row>
    <row r="150" spans="15:61" hidden="1">
      <c r="O150" s="57"/>
      <c r="P150" s="57"/>
      <c r="AO150" s="57"/>
      <c r="AP150" s="57"/>
      <c r="BA150" s="57"/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e">
        <f>VLOOKUP(H150,Sheet2!$A$1:$B$270,2,FALSE)</f>
        <v>#N/A</v>
      </c>
    </row>
    <row r="151" spans="15:61" hidden="1">
      <c r="O151" s="57"/>
      <c r="P151" s="57"/>
      <c r="AO151" s="57"/>
      <c r="AP151" s="57"/>
      <c r="BA151" s="57"/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5:61" hidden="1">
      <c r="O152" s="57"/>
      <c r="P152" s="57"/>
      <c r="AP152" s="57"/>
      <c r="BA152" s="57"/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e">
        <f>VLOOKUP(H152,Sheet2!$A$1:$B$270,2,FALSE)</f>
        <v>#N/A</v>
      </c>
    </row>
    <row r="153" spans="15:61" hidden="1">
      <c r="O153" s="57"/>
      <c r="P153" s="57"/>
      <c r="AP153" s="57"/>
      <c r="BA153" s="57"/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5:61" hidden="1">
      <c r="O154" s="57"/>
      <c r="P154" s="57"/>
      <c r="AO154" s="57"/>
      <c r="AP154" s="57"/>
      <c r="BA154" s="57"/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e">
        <f>VLOOKUP(H154,Sheet2!$A$1:$B$270,2,FALSE)</f>
        <v>#N/A</v>
      </c>
    </row>
    <row r="155" spans="15:61" hidden="1">
      <c r="O155" s="57"/>
      <c r="P155" s="57"/>
      <c r="AO155" s="57"/>
      <c r="AP155" s="57"/>
      <c r="BA155" s="57"/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e">
        <f>VLOOKUP(H155,Sheet2!$A$1:$B$270,2,FALSE)</f>
        <v>#N/A</v>
      </c>
    </row>
    <row r="156" spans="15:61" hidden="1">
      <c r="O156" s="57"/>
      <c r="P156" s="57"/>
      <c r="AO156" s="57"/>
      <c r="AP156" s="57"/>
      <c r="BA156" s="57"/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5:61" hidden="1">
      <c r="O157" s="57"/>
      <c r="P157" s="57"/>
      <c r="AO157" s="57"/>
      <c r="AP157" s="57"/>
      <c r="BA157" s="57"/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e">
        <f>VLOOKUP(H157,Sheet2!$A$1:$B$270,2,FALSE)</f>
        <v>#N/A</v>
      </c>
    </row>
    <row r="158" spans="15:61" hidden="1">
      <c r="O158" s="57"/>
      <c r="P158" s="57"/>
      <c r="AO158" s="57"/>
      <c r="BA158" s="57"/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e">
        <f>VLOOKUP(H158,Sheet2!$A$1:$B$270,2,FALSE)</f>
        <v>#N/A</v>
      </c>
    </row>
    <row r="159" spans="15:61" hidden="1">
      <c r="O159" s="57"/>
      <c r="P159" s="57"/>
      <c r="AO159" s="57"/>
      <c r="BA159" s="57"/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5:61" hidden="1">
      <c r="O160" s="57"/>
      <c r="P160" s="57"/>
      <c r="AO160" s="57"/>
      <c r="AP160" s="57"/>
      <c r="BA160" s="57"/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e">
        <f>VLOOKUP(H160,Sheet2!$A$1:$B$270,2,FALSE)</f>
        <v>#N/A</v>
      </c>
    </row>
    <row r="161" spans="15:61" hidden="1">
      <c r="O161" s="57"/>
      <c r="P161" s="57"/>
      <c r="AO161" s="57"/>
      <c r="AP161" s="57"/>
      <c r="BA161" s="57"/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e">
        <f>VLOOKUP(H161,Sheet2!$A$1:$B$270,2,FALSE)</f>
        <v>#N/A</v>
      </c>
    </row>
    <row r="162" spans="15:61" hidden="1">
      <c r="O162" s="57"/>
      <c r="P162" s="57"/>
      <c r="BA162" s="57"/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5:61" hidden="1">
      <c r="O163" s="57"/>
      <c r="P163" s="57"/>
      <c r="AP163" s="57"/>
      <c r="BA163" s="57"/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5:61" hidden="1">
      <c r="O164" s="57"/>
      <c r="P164" s="57"/>
      <c r="AP164" s="57"/>
      <c r="BA164" s="57"/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e">
        <f>VLOOKUP(H164,Sheet2!$A$1:$B$270,2,FALSE)</f>
        <v>#N/A</v>
      </c>
    </row>
    <row r="165" spans="15:61" hidden="1">
      <c r="O165" s="57"/>
      <c r="P165" s="57"/>
      <c r="AP165" s="57"/>
      <c r="BA165" s="57"/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e">
        <f>VLOOKUP(H165,Sheet2!$A$1:$B$270,2,FALSE)</f>
        <v>#N/A</v>
      </c>
    </row>
    <row r="166" spans="15:61" hidden="1">
      <c r="O166" s="57"/>
      <c r="P166" s="57"/>
      <c r="AP166" s="57"/>
      <c r="BA166" s="57"/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e">
        <f>VLOOKUP(H166,Sheet2!$A$1:$B$270,2,FALSE)</f>
        <v>#N/A</v>
      </c>
    </row>
    <row r="167" spans="15:61" hidden="1">
      <c r="O167" s="57"/>
      <c r="P167" s="57"/>
      <c r="AP167" s="57"/>
      <c r="BA167" s="57"/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5:61" hidden="1">
      <c r="O168" s="57"/>
      <c r="P168" s="57"/>
      <c r="AP168" s="57"/>
      <c r="BA168" s="57"/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e">
        <f>VLOOKUP(H168,Sheet2!$A$1:$B$270,2,FALSE)</f>
        <v>#N/A</v>
      </c>
    </row>
    <row r="169" spans="15:61" hidden="1">
      <c r="O169" s="57"/>
      <c r="P169" s="57"/>
      <c r="AP169" s="57"/>
      <c r="BA169" s="57"/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e">
        <f>VLOOKUP(H169,Sheet2!$A$1:$B$270,2,FALSE)</f>
        <v>#N/A</v>
      </c>
    </row>
    <row r="170" spans="15:61" hidden="1">
      <c r="O170" s="57"/>
      <c r="P170" s="57"/>
      <c r="AP170" s="57"/>
      <c r="BA170" s="57"/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5:61" hidden="1">
      <c r="O171" s="57"/>
      <c r="P171" s="57"/>
      <c r="AM171" s="58"/>
      <c r="BA171" s="57"/>
      <c r="BB171" s="58"/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e">
        <f>VLOOKUP(H171,Sheet2!$A$1:$B$270,2,FALSE)</f>
        <v>#N/A</v>
      </c>
    </row>
    <row r="172" spans="15:61" hidden="1">
      <c r="O172" s="57"/>
      <c r="P172" s="57"/>
      <c r="AP172" s="57"/>
      <c r="BA172" s="57"/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e">
        <f>VLOOKUP(H172,Sheet2!$A$1:$B$270,2,FALSE)</f>
        <v>#N/A</v>
      </c>
    </row>
    <row r="173" spans="15:61" hidden="1">
      <c r="O173" s="57"/>
      <c r="P173" s="57"/>
      <c r="AP173" s="57"/>
      <c r="BA173" s="57"/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5:61" hidden="1">
      <c r="O174" s="57"/>
      <c r="P174" s="57"/>
      <c r="AO174" s="57"/>
      <c r="BA174" s="57"/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e">
        <f>VLOOKUP(H174,Sheet2!$A$1:$B$270,2,FALSE)</f>
        <v>#N/A</v>
      </c>
    </row>
    <row r="175" spans="15:61" hidden="1">
      <c r="O175" s="57"/>
      <c r="P175" s="57"/>
      <c r="AP175" s="57"/>
      <c r="BA175" s="57"/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e">
        <f>VLOOKUP(H175,Sheet2!$A$1:$B$270,2,FALSE)</f>
        <v>#N/A</v>
      </c>
    </row>
    <row r="176" spans="15:61" hidden="1">
      <c r="O176" s="57"/>
      <c r="P176" s="57"/>
      <c r="AO176" s="57"/>
      <c r="AP176" s="57"/>
      <c r="BA176" s="57"/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5:61" hidden="1">
      <c r="O177" s="57"/>
      <c r="P177" s="57"/>
      <c r="AO177" s="57"/>
      <c r="AP177" s="57"/>
      <c r="BA177" s="57"/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e">
        <f>VLOOKUP(H177,Sheet2!$A$1:$B$270,2,FALSE)</f>
        <v>#N/A</v>
      </c>
    </row>
    <row r="178" spans="15:61" hidden="1">
      <c r="O178" s="57"/>
      <c r="P178" s="57"/>
      <c r="AO178" s="57"/>
      <c r="AP178" s="57"/>
      <c r="BA178" s="57"/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e">
        <f>VLOOKUP(H178,Sheet2!$A$1:$B$270,2,FALSE)</f>
        <v>#N/A</v>
      </c>
    </row>
    <row r="179" spans="15:61" hidden="1">
      <c r="O179" s="57"/>
      <c r="P179" s="57"/>
      <c r="AO179" s="57"/>
      <c r="AP179" s="57"/>
      <c r="BA179" s="57"/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5:61" hidden="1">
      <c r="O180" s="57"/>
      <c r="P180" s="57"/>
      <c r="AO180" s="57"/>
      <c r="AP180" s="57"/>
      <c r="BA180" s="57"/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e">
        <f>VLOOKUP(H180,Sheet2!$A$1:$B$270,2,FALSE)</f>
        <v>#N/A</v>
      </c>
    </row>
    <row r="181" spans="15:61" hidden="1">
      <c r="O181" s="57"/>
      <c r="P181" s="57"/>
      <c r="AO181" s="57"/>
      <c r="AP181" s="57"/>
      <c r="BA181" s="57"/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e">
        <f>VLOOKUP(H181,Sheet2!$A$1:$B$270,2,FALSE)</f>
        <v>#N/A</v>
      </c>
    </row>
    <row r="182" spans="15:61" hidden="1">
      <c r="O182" s="57"/>
      <c r="P182" s="57"/>
      <c r="AO182" s="57"/>
      <c r="AP182" s="57"/>
      <c r="BA182" s="57"/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e">
        <f>VLOOKUP(H182,Sheet2!$A$1:$B$270,2,FALSE)</f>
        <v>#N/A</v>
      </c>
    </row>
    <row r="183" spans="15:61" hidden="1">
      <c r="O183" s="57"/>
      <c r="P183" s="57"/>
      <c r="AO183" s="57"/>
      <c r="AP183" s="57"/>
      <c r="BA183" s="57"/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e">
        <f>VLOOKUP(H183,Sheet2!$A$1:$B$270,2,FALSE)</f>
        <v>#N/A</v>
      </c>
    </row>
    <row r="184" spans="15:61" hidden="1">
      <c r="O184" s="57"/>
      <c r="P184" s="57"/>
      <c r="BA184" s="57"/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e">
        <f>VLOOKUP(H184,Sheet2!$A$1:$B$270,2,FALSE)</f>
        <v>#N/A</v>
      </c>
    </row>
    <row r="185" spans="15:61" hidden="1">
      <c r="O185" s="57"/>
      <c r="P185" s="57"/>
      <c r="AP185" s="57"/>
      <c r="BA185" s="57"/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e">
        <f>VLOOKUP(H185,Sheet2!$A$1:$B$270,2,FALSE)</f>
        <v>#N/A</v>
      </c>
    </row>
    <row r="186" spans="15:61" hidden="1">
      <c r="O186" s="57"/>
      <c r="P186" s="57"/>
      <c r="AP186" s="57"/>
      <c r="BA186" s="57"/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e">
        <f>VLOOKUP(H186,Sheet2!$A$1:$B$270,2,FALSE)</f>
        <v>#N/A</v>
      </c>
    </row>
    <row r="187" spans="15:61" hidden="1">
      <c r="O187" s="57"/>
      <c r="P187" s="57"/>
      <c r="AP187" s="57"/>
      <c r="BA187" s="57"/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e">
        <f>VLOOKUP(H187,Sheet2!$A$1:$B$270,2,FALSE)</f>
        <v>#N/A</v>
      </c>
    </row>
    <row r="188" spans="15:61" hidden="1">
      <c r="O188" s="57"/>
      <c r="P188" s="57"/>
      <c r="AP188" s="57"/>
      <c r="BA188" s="57"/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e">
        <f>VLOOKUP(H188,Sheet2!$A$1:$B$270,2,FALSE)</f>
        <v>#N/A</v>
      </c>
    </row>
    <row r="189" spans="15:61" hidden="1">
      <c r="O189" s="57"/>
      <c r="P189" s="57"/>
      <c r="AP189" s="57"/>
      <c r="BA189" s="57"/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e">
        <f>VLOOKUP(H189,Sheet2!$A$1:$B$270,2,FALSE)</f>
        <v>#N/A</v>
      </c>
    </row>
    <row r="190" spans="15:61" hidden="1">
      <c r="O190" s="57"/>
      <c r="P190" s="57"/>
      <c r="AP190" s="57"/>
      <c r="BA190" s="57"/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e">
        <f>VLOOKUP(H190,Sheet2!$A$1:$B$270,2,FALSE)</f>
        <v>#N/A</v>
      </c>
    </row>
    <row r="191" spans="15:61" hidden="1">
      <c r="O191" s="57"/>
      <c r="P191" s="57"/>
      <c r="AP191" s="57"/>
      <c r="BA191" s="57"/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e">
        <f>VLOOKUP(H191,Sheet2!$A$1:$B$270,2,FALSE)</f>
        <v>#N/A</v>
      </c>
    </row>
    <row r="192" spans="15:61" hidden="1">
      <c r="O192" s="57"/>
      <c r="P192" s="57"/>
      <c r="AP192" s="57"/>
      <c r="BA192" s="57"/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e">
        <f>VLOOKUP(H192,Sheet2!$A$1:$B$270,2,FALSE)</f>
        <v>#N/A</v>
      </c>
    </row>
    <row r="193" spans="15:61" hidden="1">
      <c r="O193" s="57"/>
      <c r="P193" s="57"/>
      <c r="AO193" s="57"/>
      <c r="BA193" s="57"/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e">
        <f>VLOOKUP(H193,Sheet2!$A$1:$B$270,2,FALSE)</f>
        <v>#N/A</v>
      </c>
    </row>
    <row r="194" spans="15:61" hidden="1">
      <c r="O194" s="57"/>
      <c r="P194" s="57"/>
      <c r="AP194" s="57"/>
      <c r="BA194" s="57"/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e">
        <f>VLOOKUP(H194,Sheet2!$A$1:$B$270,2,FALSE)</f>
        <v>#N/A</v>
      </c>
    </row>
    <row r="195" spans="15:61" hidden="1">
      <c r="O195" s="57"/>
      <c r="P195" s="57"/>
      <c r="AO195" s="57"/>
      <c r="BA195" s="57"/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e">
        <f>VLOOKUP(H195,Sheet2!$A$1:$B$270,2,FALSE)</f>
        <v>#N/A</v>
      </c>
    </row>
    <row r="196" spans="15:61" hidden="1">
      <c r="O196" s="57"/>
      <c r="P196" s="57"/>
      <c r="AO196" s="57"/>
      <c r="BA196" s="57"/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5:61" hidden="1">
      <c r="O197" s="57"/>
      <c r="P197" s="57"/>
      <c r="AO197" s="57"/>
      <c r="AP197" s="57"/>
      <c r="BA197" s="57"/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e">
        <f>VLOOKUP(H197,Sheet2!$A$1:$B$270,2,FALSE)</f>
        <v>#N/A</v>
      </c>
    </row>
    <row r="198" spans="15:61" hidden="1">
      <c r="O198" s="57"/>
      <c r="P198" s="57"/>
      <c r="AO198" s="57"/>
      <c r="AP198" s="57"/>
      <c r="BA198" s="57"/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5:61" hidden="1">
      <c r="O199" s="57"/>
      <c r="P199" s="57"/>
      <c r="AO199" s="57"/>
      <c r="BA199" s="57"/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e">
        <f>VLOOKUP(H199,Sheet2!$A$1:$B$270,2,FALSE)</f>
        <v>#N/A</v>
      </c>
    </row>
    <row r="200" spans="15:61" hidden="1">
      <c r="O200" s="57"/>
      <c r="P200" s="57"/>
      <c r="AO200" s="57"/>
      <c r="BA200" s="57"/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e">
        <f>VLOOKUP(H200,Sheet2!$A$1:$B$270,2,FALSE)</f>
        <v>#N/A</v>
      </c>
    </row>
    <row r="201" spans="15:61" hidden="1">
      <c r="O201" s="57"/>
      <c r="P201" s="57"/>
      <c r="AO201" s="57"/>
      <c r="BA201" s="57"/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e">
        <f>VLOOKUP(H201,Sheet2!$A$1:$B$270,2,FALSE)</f>
        <v>#N/A</v>
      </c>
    </row>
    <row r="202" spans="15:61" hidden="1">
      <c r="O202" s="57"/>
      <c r="P202" s="57"/>
      <c r="AO202" s="57"/>
      <c r="BA202" s="57"/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e">
        <f>VLOOKUP(H202,Sheet2!$A$1:$B$270,2,FALSE)</f>
        <v>#N/A</v>
      </c>
    </row>
    <row r="203" spans="15:61" hidden="1">
      <c r="O203" s="57"/>
      <c r="P203" s="57"/>
      <c r="AO203" s="57"/>
      <c r="AP203" s="57"/>
      <c r="BA203" s="57"/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e">
        <f>VLOOKUP(H203,Sheet2!$A$1:$B$270,2,FALSE)</f>
        <v>#N/A</v>
      </c>
    </row>
    <row r="204" spans="15:61" hidden="1">
      <c r="O204" s="57"/>
      <c r="P204" s="57"/>
      <c r="AO204" s="57"/>
      <c r="BA204" s="57"/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e">
        <f>VLOOKUP(H204,Sheet2!$A$1:$B$270,2,FALSE)</f>
        <v>#N/A</v>
      </c>
    </row>
    <row r="205" spans="15:61" hidden="1">
      <c r="O205" s="57"/>
      <c r="P205" s="57"/>
      <c r="AO205" s="57"/>
      <c r="BA205" s="57"/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e">
        <f>VLOOKUP(H205,Sheet2!$A$1:$B$270,2,FALSE)</f>
        <v>#N/A</v>
      </c>
    </row>
    <row r="206" spans="15:61" hidden="1">
      <c r="O206" s="57"/>
      <c r="P206" s="57"/>
      <c r="AO206" s="57"/>
      <c r="BA206" s="57"/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e">
        <f>VLOOKUP(H206,Sheet2!$A$1:$B$270,2,FALSE)</f>
        <v>#N/A</v>
      </c>
    </row>
    <row r="207" spans="15:61" hidden="1">
      <c r="O207" s="57"/>
      <c r="P207" s="57"/>
      <c r="AO207" s="57"/>
      <c r="BA207" s="57"/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e">
        <f>VLOOKUP(H207,Sheet2!$A$1:$B$270,2,FALSE)</f>
        <v>#N/A</v>
      </c>
    </row>
    <row r="208" spans="15:61" hidden="1">
      <c r="O208" s="57"/>
      <c r="P208" s="57"/>
      <c r="AO208" s="57"/>
      <c r="BA208" s="57"/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e">
        <f>VLOOKUP(H208,Sheet2!$A$1:$B$270,2,FALSE)</f>
        <v>#N/A</v>
      </c>
    </row>
    <row r="209" spans="15:61" hidden="1">
      <c r="O209" s="57"/>
      <c r="P209" s="57"/>
      <c r="AO209" s="57"/>
      <c r="BA209" s="57"/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e">
        <f>VLOOKUP(H209,Sheet2!$A$1:$B$270,2,FALSE)</f>
        <v>#N/A</v>
      </c>
    </row>
    <row r="210" spans="15:61" hidden="1">
      <c r="O210" s="57"/>
      <c r="P210" s="57"/>
      <c r="AO210" s="57"/>
      <c r="AP210" s="57"/>
      <c r="BA210" s="57"/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e">
        <f>VLOOKUP(H210,Sheet2!$A$1:$B$270,2,FALSE)</f>
        <v>#N/A</v>
      </c>
    </row>
    <row r="211" spans="15:61" hidden="1">
      <c r="O211" s="57"/>
      <c r="P211" s="57"/>
      <c r="AO211" s="57"/>
      <c r="BA211" s="57"/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e">
        <f>VLOOKUP(H211,Sheet2!$A$1:$B$270,2,FALSE)</f>
        <v>#N/A</v>
      </c>
    </row>
    <row r="212" spans="15:61" hidden="1">
      <c r="O212" s="57"/>
      <c r="P212" s="57"/>
      <c r="BA212" s="57"/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e">
        <f>VLOOKUP(H212,Sheet2!$A$1:$B$270,2,FALSE)</f>
        <v>#N/A</v>
      </c>
    </row>
    <row r="213" spans="15:61" hidden="1">
      <c r="O213" s="57"/>
      <c r="P213" s="57"/>
      <c r="BA213" s="57"/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e">
        <f>VLOOKUP(H213,Sheet2!$A$1:$B$270,2,FALSE)</f>
        <v>#N/A</v>
      </c>
    </row>
    <row r="214" spans="15:61" hidden="1">
      <c r="O214" s="57"/>
      <c r="P214" s="57"/>
      <c r="BA214" s="57"/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5:61" hidden="1">
      <c r="O215" s="57"/>
      <c r="P215" s="57"/>
      <c r="BA215" s="57"/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e">
        <f>VLOOKUP(H215,Sheet2!$A$1:$B$270,2,FALSE)</f>
        <v>#N/A</v>
      </c>
    </row>
    <row r="216" spans="15:61" hidden="1">
      <c r="O216" s="57"/>
      <c r="P216" s="57"/>
      <c r="AP216" s="57"/>
      <c r="BA216" s="57"/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e">
        <f>VLOOKUP(H216,Sheet2!$A$1:$B$270,2,FALSE)</f>
        <v>#N/A</v>
      </c>
    </row>
    <row r="217" spans="15:61" hidden="1">
      <c r="O217" s="57"/>
      <c r="P217" s="57"/>
      <c r="AP217" s="57"/>
      <c r="BA217" s="57"/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e">
        <f>VLOOKUP(H217,Sheet2!$A$1:$B$270,2,FALSE)</f>
        <v>#N/A</v>
      </c>
    </row>
    <row r="218" spans="15:61" hidden="1">
      <c r="O218" s="57"/>
      <c r="P218" s="57"/>
      <c r="BA218" s="57"/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5:61" hidden="1">
      <c r="O219" s="57"/>
      <c r="P219" s="57"/>
      <c r="BA219" s="57"/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5:61" hidden="1">
      <c r="O220" s="57"/>
      <c r="P220" s="57"/>
      <c r="BA220" s="57"/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e">
        <f>VLOOKUP(H220,Sheet2!$A$1:$B$270,2,FALSE)</f>
        <v>#N/A</v>
      </c>
    </row>
    <row r="221" spans="15:61" hidden="1">
      <c r="O221" s="57"/>
      <c r="P221" s="57"/>
      <c r="BA221" s="57"/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e">
        <f>VLOOKUP(H221,Sheet2!$A$1:$B$270,2,FALSE)</f>
        <v>#N/A</v>
      </c>
    </row>
    <row r="222" spans="15:61" hidden="1">
      <c r="O222" s="57"/>
      <c r="P222" s="57"/>
      <c r="AP222" s="57"/>
      <c r="BA222" s="57"/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5:61" hidden="1">
      <c r="O223" s="57"/>
      <c r="P223" s="57"/>
      <c r="AP223" s="57"/>
      <c r="BA223" s="57"/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e">
        <f>VLOOKUP(H223,Sheet2!$A$1:$B$270,2,FALSE)</f>
        <v>#N/A</v>
      </c>
    </row>
    <row r="224" spans="15:61" hidden="1">
      <c r="O224" s="57"/>
      <c r="P224" s="57"/>
      <c r="AP224" s="57"/>
      <c r="BA224" s="57"/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e">
        <f>VLOOKUP(H224,Sheet2!$A$1:$B$270,2,FALSE)</f>
        <v>#N/A</v>
      </c>
    </row>
    <row r="225" spans="15:61" hidden="1">
      <c r="O225" s="57"/>
      <c r="P225" s="57"/>
      <c r="AP225" s="57"/>
      <c r="BA225" s="57"/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5:61" hidden="1">
      <c r="O226" s="57"/>
      <c r="P226" s="57"/>
      <c r="AM226" s="58"/>
      <c r="BA226" s="57"/>
      <c r="BB226" s="58"/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5:61" hidden="1">
      <c r="O227" s="57"/>
      <c r="P227" s="57"/>
      <c r="AP227" s="57"/>
      <c r="BA227" s="57"/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e">
        <f>VLOOKUP(H227,Sheet2!$A$1:$B$270,2,FALSE)</f>
        <v>#N/A</v>
      </c>
    </row>
    <row r="228" spans="15:61" hidden="1">
      <c r="O228" s="57"/>
      <c r="P228" s="57"/>
      <c r="AO228" s="57"/>
      <c r="AP228" s="57"/>
      <c r="BA228" s="57"/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e">
        <f>VLOOKUP(H228,Sheet2!$A$1:$B$270,2,FALSE)</f>
        <v>#N/A</v>
      </c>
    </row>
    <row r="229" spans="15:61" hidden="1">
      <c r="O229" s="57"/>
      <c r="P229" s="57"/>
      <c r="AO229" s="57"/>
      <c r="AP229" s="57"/>
      <c r="BA229" s="57"/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5:61" hidden="1">
      <c r="O230" s="57"/>
      <c r="P230" s="57"/>
      <c r="AO230" s="57"/>
      <c r="BA230" s="57"/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5:61" hidden="1">
      <c r="O231" s="57"/>
      <c r="P231" s="57"/>
      <c r="AO231" s="57"/>
      <c r="AP231" s="57"/>
      <c r="BA231" s="57"/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e">
        <f>VLOOKUP(H231,Sheet2!$A$1:$B$270,2,FALSE)</f>
        <v>#N/A</v>
      </c>
    </row>
    <row r="232" spans="15:61" hidden="1">
      <c r="O232" s="57"/>
      <c r="P232" s="57"/>
      <c r="AO232" s="57"/>
      <c r="AP232" s="57"/>
      <c r="BA232" s="57"/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5:61" hidden="1">
      <c r="O233" s="57"/>
      <c r="P233" s="57"/>
      <c r="AO233" s="57"/>
      <c r="AP233" s="57"/>
      <c r="BA233" s="57"/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e">
        <f>VLOOKUP(H233,Sheet2!$A$1:$B$270,2,FALSE)</f>
        <v>#N/A</v>
      </c>
    </row>
    <row r="234" spans="15:61" hidden="1">
      <c r="O234" s="57"/>
      <c r="P234" s="57"/>
      <c r="AO234" s="57"/>
      <c r="BA234" s="57"/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5:61" hidden="1">
      <c r="O235" s="57"/>
      <c r="P235" s="57"/>
      <c r="BA235" s="57"/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e">
        <f>VLOOKUP(H235,Sheet2!$A$1:$B$270,2,FALSE)</f>
        <v>#N/A</v>
      </c>
    </row>
    <row r="236" spans="15:61" hidden="1">
      <c r="O236" s="57"/>
      <c r="P236" s="57"/>
      <c r="AP236" s="57"/>
      <c r="BA236" s="57"/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e">
        <f>VLOOKUP(H236,Sheet2!$A$1:$B$270,2,FALSE)</f>
        <v>#N/A</v>
      </c>
    </row>
    <row r="237" spans="15:61" hidden="1">
      <c r="O237" s="57"/>
      <c r="P237" s="57"/>
      <c r="BA237" s="57"/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e">
        <f>VLOOKUP(H237,Sheet2!$A$1:$B$270,2,FALSE)</f>
        <v>#N/A</v>
      </c>
    </row>
    <row r="238" spans="15:61" hidden="1">
      <c r="O238" s="57"/>
      <c r="P238" s="57"/>
      <c r="BA238" s="57"/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e">
        <f>VLOOKUP(H238,Sheet2!$A$1:$B$270,2,FALSE)</f>
        <v>#N/A</v>
      </c>
    </row>
    <row r="239" spans="15:61" hidden="1">
      <c r="O239" s="57"/>
      <c r="P239" s="57"/>
      <c r="AP239" s="57"/>
      <c r="BA239" s="57"/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e">
        <f>VLOOKUP(H239,Sheet2!$A$1:$B$270,2,FALSE)</f>
        <v>#N/A</v>
      </c>
    </row>
    <row r="240" spans="15:61" hidden="1">
      <c r="O240" s="57"/>
      <c r="P240" s="57"/>
      <c r="BA240" s="57"/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e">
        <f>VLOOKUP(H240,Sheet2!$A$1:$B$270,2,FALSE)</f>
        <v>#N/A</v>
      </c>
    </row>
    <row r="241" spans="15:61" hidden="1">
      <c r="O241" s="57"/>
      <c r="P241" s="57"/>
      <c r="AP241" s="57"/>
      <c r="BA241" s="57"/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e">
        <f>VLOOKUP(H241,Sheet2!$A$1:$B$270,2,FALSE)</f>
        <v>#N/A</v>
      </c>
    </row>
    <row r="242" spans="15:61" hidden="1">
      <c r="O242" s="57"/>
      <c r="P242" s="57"/>
      <c r="AP242" s="57"/>
      <c r="BA242" s="57"/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e">
        <f>VLOOKUP(H242,Sheet2!$A$1:$B$270,2,FALSE)</f>
        <v>#N/A</v>
      </c>
    </row>
    <row r="243" spans="15:61" hidden="1">
      <c r="O243" s="57"/>
      <c r="P243" s="57"/>
      <c r="BA243" s="57"/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5:61" hidden="1">
      <c r="O244" s="57"/>
      <c r="P244" s="57"/>
      <c r="AP244" s="57"/>
      <c r="BA244" s="57"/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e">
        <f>VLOOKUP(H244,Sheet2!$A$1:$B$270,2,FALSE)</f>
        <v>#N/A</v>
      </c>
    </row>
    <row r="245" spans="15:61" hidden="1">
      <c r="O245" s="57"/>
      <c r="P245" s="57"/>
      <c r="AP245" s="57"/>
      <c r="BA245" s="57"/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e">
        <f>VLOOKUP(H245,Sheet2!$A$1:$B$270,2,FALSE)</f>
        <v>#N/A</v>
      </c>
    </row>
    <row r="246" spans="15:61" hidden="1">
      <c r="O246" s="57"/>
      <c r="P246" s="57"/>
      <c r="AP246" s="57"/>
      <c r="BA246" s="57"/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e">
        <f>VLOOKUP(H246,Sheet2!$A$1:$B$270,2,FALSE)</f>
        <v>#N/A</v>
      </c>
    </row>
    <row r="247" spans="15:61" hidden="1">
      <c r="O247" s="57"/>
      <c r="P247" s="57"/>
      <c r="AO247" s="57"/>
      <c r="AP247" s="57"/>
      <c r="BA247" s="57"/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5:61" hidden="1">
      <c r="O248" s="57"/>
      <c r="P248" s="57"/>
      <c r="AO248" s="57"/>
      <c r="AP248" s="57"/>
      <c r="BA248" s="57"/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e">
        <f>VLOOKUP(H248,Sheet2!$A$1:$B$270,2,FALSE)</f>
        <v>#N/A</v>
      </c>
    </row>
    <row r="249" spans="15:61" hidden="1">
      <c r="O249" s="57"/>
      <c r="P249" s="57"/>
      <c r="AP249" s="57"/>
      <c r="BA249" s="57"/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e">
        <f>VLOOKUP(H249,Sheet2!$A$1:$B$270,2,FALSE)</f>
        <v>#N/A</v>
      </c>
    </row>
    <row r="250" spans="15:61" hidden="1">
      <c r="O250" s="57"/>
      <c r="P250" s="57"/>
      <c r="BA250" s="57"/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e">
        <f>VLOOKUP(H250,Sheet2!$A$1:$B$270,2,FALSE)</f>
        <v>#N/A</v>
      </c>
    </row>
    <row r="251" spans="15:61" hidden="1">
      <c r="O251" s="57"/>
      <c r="P251" s="57"/>
      <c r="BA251" s="57"/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e">
        <f>VLOOKUP(H251,Sheet2!$A$1:$B$270,2,FALSE)</f>
        <v>#N/A</v>
      </c>
    </row>
    <row r="252" spans="15:61" hidden="1">
      <c r="O252" s="57"/>
      <c r="P252" s="57"/>
      <c r="BA252" s="57"/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e">
        <f>VLOOKUP(H252,Sheet2!$A$1:$B$270,2,FALSE)</f>
        <v>#N/A</v>
      </c>
    </row>
    <row r="253" spans="15:61" hidden="1">
      <c r="O253" s="57"/>
      <c r="P253" s="57"/>
      <c r="AO253" s="57"/>
      <c r="BA253" s="57"/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e">
        <f>VLOOKUP(H253,Sheet2!$A$1:$B$270,2,FALSE)</f>
        <v>#N/A</v>
      </c>
    </row>
    <row r="254" spans="15:61" hidden="1">
      <c r="O254" s="57"/>
      <c r="P254" s="57"/>
      <c r="AO254" s="57"/>
      <c r="BA254" s="57"/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e">
        <f>VLOOKUP(H254,Sheet2!$A$1:$B$270,2,FALSE)</f>
        <v>#N/A</v>
      </c>
    </row>
    <row r="255" spans="15:61" hidden="1">
      <c r="O255" s="57"/>
      <c r="P255" s="57"/>
      <c r="AO255" s="57"/>
      <c r="AP255" s="57"/>
      <c r="BA255" s="57"/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e">
        <f>VLOOKUP(H255,Sheet2!$A$1:$B$270,2,FALSE)</f>
        <v>#N/A</v>
      </c>
    </row>
    <row r="256" spans="15:61" hidden="1">
      <c r="O256" s="57"/>
      <c r="P256" s="57"/>
      <c r="AO256" s="57"/>
      <c r="AP256" s="57"/>
      <c r="BA256" s="57"/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e">
        <f>VLOOKUP(H256,Sheet2!$A$1:$B$270,2,FALSE)</f>
        <v>#N/A</v>
      </c>
    </row>
    <row r="257" spans="15:61" hidden="1">
      <c r="O257" s="57"/>
      <c r="P257" s="57"/>
      <c r="AO257" s="57"/>
      <c r="AP257" s="57"/>
      <c r="BA257" s="57"/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e">
        <f>VLOOKUP(H257,Sheet2!$A$1:$B$270,2,FALSE)</f>
        <v>#N/A</v>
      </c>
    </row>
    <row r="258" spans="15:61" hidden="1">
      <c r="O258" s="57"/>
      <c r="P258" s="57"/>
      <c r="AO258" s="57"/>
      <c r="AP258" s="57"/>
      <c r="BA258" s="57"/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e">
        <f>VLOOKUP(H258,Sheet2!$A$1:$B$270,2,FALSE)</f>
        <v>#N/A</v>
      </c>
    </row>
    <row r="259" spans="15:61" hidden="1">
      <c r="O259" s="57"/>
      <c r="P259" s="57"/>
      <c r="AO259" s="57"/>
      <c r="AP259" s="57"/>
      <c r="BA259" s="57"/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e">
        <f>VLOOKUP(H259,Sheet2!$A$1:$B$270,2,FALSE)</f>
        <v>#N/A</v>
      </c>
    </row>
    <row r="260" spans="15:61" hidden="1">
      <c r="O260" s="57"/>
      <c r="P260" s="57"/>
      <c r="AO260" s="57"/>
      <c r="BA260" s="57"/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e">
        <f>VLOOKUP(H260,Sheet2!$A$1:$B$270,2,FALSE)</f>
        <v>#N/A</v>
      </c>
    </row>
    <row r="261" spans="15:61" hidden="1">
      <c r="O261" s="57"/>
      <c r="P261" s="57"/>
      <c r="AO261" s="57"/>
      <c r="BA261" s="57"/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e">
        <f>VLOOKUP(H261,Sheet2!$A$1:$B$270,2,FALSE)</f>
        <v>#N/A</v>
      </c>
    </row>
    <row r="262" spans="15:61" hidden="1">
      <c r="O262" s="57"/>
      <c r="P262" s="57"/>
      <c r="AO262" s="57"/>
      <c r="BA262" s="57"/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e">
        <f>VLOOKUP(H262,Sheet2!$A$1:$B$270,2,FALSE)</f>
        <v>#N/A</v>
      </c>
    </row>
    <row r="263" spans="15:61" hidden="1">
      <c r="O263" s="57"/>
      <c r="P263" s="57"/>
      <c r="AP263" s="57"/>
      <c r="BA263" s="57"/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5:61" hidden="1">
      <c r="O264" s="57"/>
      <c r="P264" s="57"/>
      <c r="BA264" s="57"/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5:61" hidden="1">
      <c r="O265" s="57"/>
      <c r="P265" s="57"/>
      <c r="BA265" s="57"/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5:61" hidden="1">
      <c r="O266" s="57"/>
      <c r="P266" s="57"/>
      <c r="AP266" s="57"/>
      <c r="BA266" s="57"/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5:61" hidden="1">
      <c r="O267" s="57"/>
      <c r="P267" s="57"/>
      <c r="BA267" s="57"/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e">
        <f>VLOOKUP(H267,Sheet2!$A$1:$B$270,2,FALSE)</f>
        <v>#N/A</v>
      </c>
    </row>
    <row r="268" spans="15:61" hidden="1">
      <c r="O268" s="57"/>
      <c r="P268" s="57"/>
      <c r="AP268" s="57"/>
      <c r="BA268" s="57"/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5:61" hidden="1">
      <c r="O269" s="57"/>
      <c r="P269" s="57"/>
      <c r="BA269" s="57"/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5:61" hidden="1">
      <c r="O270" s="57"/>
      <c r="P270" s="57"/>
      <c r="BA270" s="57"/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5:61" hidden="1">
      <c r="O271" s="57"/>
      <c r="P271" s="57"/>
      <c r="BA271" s="57"/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5:61" hidden="1">
      <c r="O272" s="57"/>
      <c r="P272" s="57"/>
      <c r="AP272" s="57"/>
      <c r="BA272" s="57"/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e">
        <f>VLOOKUP(H272,Sheet2!$A$1:$B$270,2,FALSE)</f>
        <v>#N/A</v>
      </c>
    </row>
    <row r="273" spans="15:61" hidden="1">
      <c r="O273" s="57"/>
      <c r="P273" s="57"/>
      <c r="AP273" s="57"/>
      <c r="BA273" s="57"/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e">
        <f>VLOOKUP(H273,Sheet2!$A$1:$B$270,2,FALSE)</f>
        <v>#N/A</v>
      </c>
    </row>
    <row r="274" spans="15:61" hidden="1">
      <c r="O274" s="57"/>
      <c r="P274" s="57"/>
      <c r="AP274" s="57"/>
      <c r="BA274" s="57"/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e">
        <f>VLOOKUP(H274,Sheet2!$A$1:$B$270,2,FALSE)</f>
        <v>#N/A</v>
      </c>
    </row>
    <row r="275" spans="15:61" hidden="1">
      <c r="O275" s="57"/>
      <c r="P275" s="57"/>
      <c r="AP275" s="57"/>
      <c r="BA275" s="57"/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5:61" hidden="1">
      <c r="O276" s="57"/>
      <c r="P276" s="57"/>
      <c r="BA276" s="57"/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e">
        <f>VLOOKUP(H276,Sheet2!$A$1:$B$270,2,FALSE)</f>
        <v>#N/A</v>
      </c>
    </row>
    <row r="277" spans="15:61" hidden="1">
      <c r="O277" s="57"/>
      <c r="P277" s="57"/>
      <c r="BA277" s="57"/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5:61" hidden="1">
      <c r="O278" s="57"/>
      <c r="P278" s="57"/>
      <c r="AP278" s="57"/>
      <c r="BA278" s="57"/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5:61" hidden="1">
      <c r="O279" s="57"/>
      <c r="P279" s="57"/>
      <c r="AP279" s="57"/>
      <c r="BA279" s="57"/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e">
        <f>VLOOKUP(H279,Sheet2!$A$1:$B$270,2,FALSE)</f>
        <v>#N/A</v>
      </c>
    </row>
    <row r="280" spans="15:61" hidden="1">
      <c r="O280" s="57"/>
      <c r="P280" s="57"/>
      <c r="AP280" s="57"/>
      <c r="BA280" s="57"/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e">
        <f>VLOOKUP(H280,Sheet2!$A$1:$B$270,2,FALSE)</f>
        <v>#N/A</v>
      </c>
    </row>
    <row r="281" spans="15:61" hidden="1">
      <c r="O281" s="57"/>
      <c r="P281" s="57"/>
      <c r="AP281" s="57"/>
      <c r="BA281" s="57"/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5:61" hidden="1">
      <c r="O282" s="57"/>
      <c r="P282" s="57"/>
      <c r="BA282" s="57"/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5:61" hidden="1">
      <c r="O283" s="57"/>
      <c r="P283" s="57"/>
      <c r="BA283" s="57"/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5:61" hidden="1">
      <c r="O284" s="57"/>
      <c r="P284" s="57"/>
      <c r="AP284" s="57"/>
      <c r="BA284" s="57"/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5:61" hidden="1">
      <c r="O285" s="57"/>
      <c r="P285" s="57"/>
      <c r="BA285" s="57"/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5:61" hidden="1">
      <c r="O286" s="57"/>
      <c r="P286" s="57"/>
      <c r="BA286" s="57"/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5:61" hidden="1">
      <c r="O287" s="57"/>
      <c r="P287" s="57"/>
      <c r="BA287" s="57"/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e">
        <f>VLOOKUP(H287,Sheet2!$A$1:$B$270,2,FALSE)</f>
        <v>#N/A</v>
      </c>
    </row>
    <row r="288" spans="15:61" hidden="1">
      <c r="O288" s="57"/>
      <c r="P288" s="57"/>
      <c r="BA288" s="57"/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e">
        <f>VLOOKUP(H288,Sheet2!$A$1:$B$270,2,FALSE)</f>
        <v>#N/A</v>
      </c>
    </row>
    <row r="289" spans="15:61" hidden="1">
      <c r="O289" s="57"/>
      <c r="P289" s="57"/>
      <c r="AP289" s="57"/>
      <c r="BA289" s="57"/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5:61" hidden="1">
      <c r="O290" s="57"/>
      <c r="P290" s="57"/>
      <c r="AP290" s="57"/>
      <c r="BA290" s="57"/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5:61" hidden="1">
      <c r="O291" s="57"/>
      <c r="P291" s="57"/>
      <c r="AP291" s="57"/>
      <c r="BA291" s="57"/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e">
        <f>VLOOKUP(H291,Sheet2!$A$1:$B$270,2,FALSE)</f>
        <v>#N/A</v>
      </c>
    </row>
    <row r="292" spans="15:61" hidden="1">
      <c r="O292" s="57"/>
      <c r="P292" s="57"/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5:61" hidden="1">
      <c r="O293" s="57"/>
      <c r="P293" s="57"/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e">
        <f>VLOOKUP(H293,Sheet2!$A$1:$B$270,2,FALSE)</f>
        <v>#N/A</v>
      </c>
    </row>
    <row r="294" spans="15:61" hidden="1">
      <c r="O294" s="57"/>
      <c r="P294" s="57"/>
      <c r="AP294" s="57"/>
      <c r="BA294" s="57"/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e">
        <f>VLOOKUP(H294,Sheet2!$A$1:$B$270,2,FALSE)</f>
        <v>#N/A</v>
      </c>
    </row>
    <row r="295" spans="15:61" hidden="1">
      <c r="O295" s="57"/>
      <c r="P295" s="57"/>
      <c r="AP295" s="57"/>
      <c r="BA295" s="57"/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5:61" hidden="1">
      <c r="O296" s="57"/>
      <c r="P296" s="57"/>
      <c r="AO296" s="57"/>
      <c r="AP296" s="57"/>
      <c r="BA296" s="57"/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5:61" hidden="1">
      <c r="O297" s="57"/>
      <c r="P297" s="57"/>
      <c r="AP297" s="57"/>
      <c r="BA297" s="57"/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5:61" hidden="1">
      <c r="O298" s="57"/>
      <c r="P298" s="57"/>
      <c r="AP298" s="57"/>
      <c r="BA298" s="57"/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e">
        <f>VLOOKUP(H298,Sheet2!$A$1:$B$270,2,FALSE)</f>
        <v>#N/A</v>
      </c>
    </row>
    <row r="299" spans="15:61" hidden="1">
      <c r="O299" s="57"/>
      <c r="P299" s="57"/>
      <c r="AP299" s="57"/>
      <c r="BA299" s="57"/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5:61" hidden="1">
      <c r="O300" s="57"/>
      <c r="P300" s="57"/>
      <c r="AP300" s="57"/>
      <c r="BA300" s="57"/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5:61" hidden="1">
      <c r="O301" s="57"/>
      <c r="P301" s="57"/>
      <c r="AP301" s="57"/>
      <c r="BA301" s="57"/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e">
        <f>VLOOKUP(H301,Sheet2!$A$1:$B$270,2,FALSE)</f>
        <v>#N/A</v>
      </c>
    </row>
    <row r="302" spans="15:61" hidden="1">
      <c r="O302" s="57"/>
      <c r="P302" s="57"/>
      <c r="AP302" s="57"/>
      <c r="BA302" s="57"/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5:61" hidden="1">
      <c r="O303" s="57"/>
      <c r="P303" s="57"/>
      <c r="AP303" s="57"/>
      <c r="BA303" s="57"/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e">
        <f>VLOOKUP(H303,Sheet2!$A$1:$B$270,2,FALSE)</f>
        <v>#N/A</v>
      </c>
    </row>
    <row r="304" spans="15:61" hidden="1">
      <c r="O304" s="57"/>
      <c r="P304" s="57"/>
      <c r="AO304" s="57"/>
      <c r="BA304" s="57"/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5:61" hidden="1">
      <c r="O305" s="57"/>
      <c r="P305" s="57"/>
      <c r="AO305" s="57"/>
      <c r="BA305" s="57"/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e">
        <f>VLOOKUP(H305,Sheet2!$A$1:$B$270,2,FALSE)</f>
        <v>#N/A</v>
      </c>
    </row>
    <row r="306" spans="15:61" hidden="1">
      <c r="O306" s="57"/>
      <c r="P306" s="57"/>
      <c r="AO306" s="57"/>
      <c r="AP306" s="57"/>
      <c r="BA306" s="57"/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5:61" hidden="1">
      <c r="O307" s="57"/>
      <c r="P307" s="57"/>
      <c r="AP307" s="57"/>
      <c r="BA307" s="57"/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e">
        <f>VLOOKUP(H307,Sheet2!$A$1:$B$270,2,FALSE)</f>
        <v>#N/A</v>
      </c>
    </row>
    <row r="308" spans="15:61" hidden="1">
      <c r="O308" s="57"/>
      <c r="P308" s="57"/>
      <c r="AP308" s="57"/>
      <c r="BA308" s="57"/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e">
        <f>VLOOKUP(H308,Sheet2!$A$1:$B$270,2,FALSE)</f>
        <v>#N/A</v>
      </c>
    </row>
    <row r="309" spans="15:61" hidden="1">
      <c r="O309" s="57"/>
      <c r="P309" s="57"/>
      <c r="BA309" s="57"/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e">
        <f>VLOOKUP(H309,Sheet2!$A$1:$B$270,2,FALSE)</f>
        <v>#N/A</v>
      </c>
    </row>
    <row r="310" spans="15:61" hidden="1">
      <c r="O310" s="57"/>
      <c r="P310" s="57"/>
      <c r="BA310" s="57"/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e">
        <f>VLOOKUP(H310,Sheet2!$A$1:$B$270,2,FALSE)</f>
        <v>#N/A</v>
      </c>
    </row>
    <row r="311" spans="15:61" hidden="1">
      <c r="O311" s="57"/>
      <c r="P311" s="57"/>
      <c r="BA311" s="57"/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5:61" hidden="1">
      <c r="O312" s="57"/>
      <c r="P312" s="57"/>
      <c r="BA312" s="57"/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5:61" hidden="1">
      <c r="O313" s="57"/>
      <c r="P313" s="57"/>
      <c r="BA313" s="57"/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5:61" hidden="1">
      <c r="O314" s="57"/>
      <c r="P314" s="57"/>
      <c r="AP314" s="57"/>
      <c r="BA314" s="57"/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5:61" hidden="1">
      <c r="O315" s="57"/>
      <c r="P315" s="57"/>
      <c r="AO315" s="57"/>
      <c r="AP315" s="57"/>
      <c r="BA315" s="57"/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e">
        <f>VLOOKUP(H315,Sheet2!$A$1:$B$270,2,FALSE)</f>
        <v>#N/A</v>
      </c>
    </row>
    <row r="316" spans="15:61" hidden="1">
      <c r="O316" s="57"/>
      <c r="P316" s="57"/>
      <c r="AO316" s="57"/>
      <c r="AP316" s="57"/>
      <c r="BA316" s="57"/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e">
        <f>VLOOKUP(H316,Sheet2!$A$1:$B$270,2,FALSE)</f>
        <v>#N/A</v>
      </c>
    </row>
    <row r="317" spans="15:61" hidden="1">
      <c r="O317" s="57"/>
      <c r="P317" s="57"/>
      <c r="BA317" s="57"/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5:61" hidden="1">
      <c r="O318" s="57"/>
      <c r="P318" s="57"/>
      <c r="BA318" s="57"/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5:61" hidden="1">
      <c r="O319" s="57"/>
      <c r="P319" s="57"/>
      <c r="AO319" s="57"/>
      <c r="AP319" s="57"/>
      <c r="BA319" s="57"/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5:61" hidden="1">
      <c r="O320" s="57"/>
      <c r="P320" s="57"/>
      <c r="AO320" s="57"/>
      <c r="AP320" s="57"/>
      <c r="BA320" s="57"/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5:61" hidden="1">
      <c r="O321" s="57"/>
      <c r="P321" s="57"/>
      <c r="AP321" s="57"/>
      <c r="BA321" s="57"/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e">
        <f>VLOOKUP(H321,Sheet2!$A$1:$B$270,2,FALSE)</f>
        <v>#N/A</v>
      </c>
    </row>
    <row r="322" spans="15:61" hidden="1">
      <c r="O322" s="57"/>
      <c r="P322" s="57"/>
      <c r="AP322" s="57"/>
      <c r="BA322" s="57"/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5:61" hidden="1">
      <c r="O323" s="57"/>
      <c r="P323" s="57"/>
      <c r="AP323" s="57"/>
      <c r="BA323" s="57"/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e">
        <f>VLOOKUP(H323,Sheet2!$A$1:$B$270,2,FALSE)</f>
        <v>#N/A</v>
      </c>
    </row>
    <row r="324" spans="15:61" hidden="1">
      <c r="O324" s="57"/>
      <c r="P324" s="57"/>
      <c r="AP324" s="57"/>
      <c r="BA324" s="57"/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e">
        <f>VLOOKUP(H324,Sheet2!$A$1:$B$270,2,FALSE)</f>
        <v>#N/A</v>
      </c>
    </row>
    <row r="325" spans="15:61" hidden="1">
      <c r="O325" s="57"/>
      <c r="P325" s="57"/>
      <c r="AP325" s="57"/>
      <c r="BA325" s="57"/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5:61" hidden="1">
      <c r="O326" s="57"/>
      <c r="P326" s="57"/>
      <c r="AO326" s="57"/>
      <c r="BA326" s="57"/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5:61" hidden="1">
      <c r="O327" s="57"/>
      <c r="P327" s="57"/>
      <c r="AO327" s="57"/>
      <c r="BA327" s="57"/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5:61" hidden="1">
      <c r="O328" s="57"/>
      <c r="P328" s="57"/>
      <c r="AP328" s="57"/>
      <c r="BA328" s="57"/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e">
        <f>VLOOKUP(H328,Sheet2!$A$1:$B$270,2,FALSE)</f>
        <v>#N/A</v>
      </c>
    </row>
    <row r="329" spans="15:61" hidden="1">
      <c r="O329" s="57"/>
      <c r="P329" s="57"/>
      <c r="BA329" s="57"/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5:61" hidden="1">
      <c r="O330" s="57"/>
      <c r="P330" s="57"/>
      <c r="BA330" s="57"/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5:61" hidden="1">
      <c r="O331" s="57"/>
      <c r="P331" s="57"/>
      <c r="BA331" s="57"/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e">
        <f>VLOOKUP(H331,Sheet2!$A$1:$B$270,2,FALSE)</f>
        <v>#N/A</v>
      </c>
    </row>
    <row r="332" spans="15:61" hidden="1">
      <c r="O332" s="57"/>
      <c r="P332" s="57"/>
      <c r="BA332" s="57"/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e">
        <f>VLOOKUP(H332,Sheet2!$A$1:$B$270,2,FALSE)</f>
        <v>#N/A</v>
      </c>
    </row>
    <row r="333" spans="15:61" hidden="1">
      <c r="O333" s="57"/>
      <c r="P333" s="57"/>
      <c r="AO333" s="57"/>
      <c r="AP333" s="57"/>
      <c r="BA333" s="57"/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5:61" hidden="1">
      <c r="O334" s="57"/>
      <c r="P334" s="57"/>
      <c r="AO334" s="57"/>
      <c r="AP334" s="57"/>
      <c r="BA334" s="57"/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5:61" hidden="1">
      <c r="O335" s="57"/>
      <c r="P335" s="57"/>
      <c r="BA335" s="57"/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e">
        <f>VLOOKUP(H335,Sheet2!$A$1:$B$270,2,FALSE)</f>
        <v>#N/A</v>
      </c>
    </row>
    <row r="336" spans="15:61" hidden="1">
      <c r="O336" s="57"/>
      <c r="P336" s="57"/>
      <c r="AP336" s="57"/>
      <c r="BA336" s="57"/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5:61" hidden="1">
      <c r="O337" s="57"/>
      <c r="P337" s="57"/>
      <c r="BA337" s="57"/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5:61" hidden="1">
      <c r="O338" s="57"/>
      <c r="P338" s="57"/>
      <c r="BA338" s="57"/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5:61" hidden="1">
      <c r="O339" s="57"/>
      <c r="P339" s="57"/>
      <c r="BA339" s="57"/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e">
        <f>VLOOKUP(H339,Sheet2!$A$1:$B$270,2,FALSE)</f>
        <v>#N/A</v>
      </c>
    </row>
    <row r="340" spans="15:61" hidden="1">
      <c r="O340" s="57"/>
      <c r="P340" s="57"/>
      <c r="AO340" s="57"/>
      <c r="AP340" s="57"/>
      <c r="BA340" s="57"/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e">
        <f>VLOOKUP(H340,Sheet2!$A$1:$B$270,2,FALSE)</f>
        <v>#N/A</v>
      </c>
    </row>
    <row r="341" spans="15:61" hidden="1">
      <c r="O341" s="57"/>
      <c r="P341" s="57"/>
      <c r="BA341" s="57"/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e">
        <f>VLOOKUP(H341,Sheet2!$A$1:$B$270,2,FALSE)</f>
        <v>#N/A</v>
      </c>
    </row>
    <row r="342" spans="15:61" hidden="1">
      <c r="O342" s="57"/>
      <c r="P342" s="57"/>
      <c r="BA342" s="57"/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5:61" hidden="1">
      <c r="O343" s="57"/>
      <c r="P343" s="57"/>
      <c r="BA343" s="57"/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5:61" hidden="1">
      <c r="O344" s="57"/>
      <c r="P344" s="57"/>
      <c r="BA344" s="57"/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5:61" hidden="1">
      <c r="O345" s="57"/>
      <c r="P345" s="57"/>
      <c r="BA345" s="57"/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5:61" hidden="1">
      <c r="O346" s="57"/>
      <c r="P346" s="57"/>
      <c r="AP346" s="57"/>
      <c r="BA346" s="57"/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e">
        <f>VLOOKUP(H346,Sheet2!$A$1:$B$270,2,FALSE)</f>
        <v>#N/A</v>
      </c>
    </row>
    <row r="347" spans="15:61" hidden="1">
      <c r="O347" s="57"/>
      <c r="P347" s="57"/>
      <c r="AP347" s="57"/>
      <c r="BA347" s="57"/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e">
        <f>VLOOKUP(H347,Sheet2!$A$1:$B$270,2,FALSE)</f>
        <v>#N/A</v>
      </c>
    </row>
    <row r="348" spans="15:61" hidden="1">
      <c r="O348" s="57"/>
      <c r="P348" s="57"/>
      <c r="AP348" s="57"/>
      <c r="BA348" s="57"/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e">
        <f>VLOOKUP(H348,Sheet2!$A$1:$B$270,2,FALSE)</f>
        <v>#N/A</v>
      </c>
    </row>
    <row r="349" spans="15:61" hidden="1">
      <c r="O349" s="57"/>
      <c r="P349" s="57"/>
      <c r="AO349" s="57"/>
      <c r="AP349" s="57"/>
      <c r="BA349" s="57"/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5:61" hidden="1">
      <c r="O350" s="57"/>
      <c r="P350" s="57"/>
      <c r="AO350" s="57"/>
      <c r="AP350" s="57"/>
      <c r="BA350" s="57"/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e">
        <f>VLOOKUP(H350,Sheet2!$A$1:$B$270,2,FALSE)</f>
        <v>#N/A</v>
      </c>
    </row>
    <row r="351" spans="15:61" hidden="1">
      <c r="O351" s="57"/>
      <c r="P351" s="57"/>
      <c r="AO351" s="57"/>
      <c r="AP351" s="57"/>
      <c r="BA351" s="57"/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5:61" hidden="1">
      <c r="O352" s="57"/>
      <c r="P352" s="57"/>
      <c r="AO352" s="57"/>
      <c r="BA352" s="57"/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5:61" hidden="1">
      <c r="O353" s="57"/>
      <c r="P353" s="57"/>
      <c r="AO353" s="57"/>
      <c r="AP353" s="57"/>
      <c r="BA353" s="57"/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5:61" hidden="1">
      <c r="O354" s="57"/>
      <c r="P354" s="57"/>
      <c r="AP354" s="57"/>
      <c r="BA354" s="57"/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5:61" hidden="1">
      <c r="O355" s="57"/>
      <c r="P355" s="57"/>
      <c r="BA355" s="57"/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5:61" hidden="1">
      <c r="O356" s="57"/>
      <c r="P356" s="57"/>
      <c r="AO356" s="57"/>
      <c r="BA356" s="57"/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5:61" hidden="1">
      <c r="O357" s="57"/>
      <c r="P357" s="57"/>
      <c r="BA357" s="57"/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5:61" hidden="1">
      <c r="O358" s="57"/>
      <c r="P358" s="57"/>
      <c r="BA358" s="57"/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5:61" hidden="1">
      <c r="O359" s="57"/>
      <c r="P359" s="57"/>
      <c r="BA359" s="57"/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5:61" hidden="1">
      <c r="O360" s="57"/>
      <c r="P360" s="57"/>
      <c r="BA360" s="57"/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e">
        <f>VLOOKUP(H360,Sheet2!$A$1:$B$270,2,FALSE)</f>
        <v>#N/A</v>
      </c>
    </row>
    <row r="361" spans="15:61" hidden="1">
      <c r="O361" s="57"/>
      <c r="P361" s="57"/>
      <c r="AO361" s="57"/>
      <c r="AP361" s="57"/>
      <c r="BA361" s="57"/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5:61" hidden="1">
      <c r="O362" s="57"/>
      <c r="P362" s="57"/>
      <c r="AO362" s="57"/>
      <c r="AP362" s="57"/>
      <c r="BA362" s="57"/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5:61" hidden="1">
      <c r="O363" s="57"/>
      <c r="P363" s="57"/>
      <c r="AO363" s="57"/>
      <c r="AP363" s="57"/>
      <c r="BA363" s="57"/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5:61" hidden="1">
      <c r="O364" s="57"/>
      <c r="P364" s="57"/>
      <c r="AO364" s="57"/>
      <c r="BA364" s="57"/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e">
        <f>VLOOKUP(H364,Sheet2!$A$1:$B$270,2,FALSE)</f>
        <v>#N/A</v>
      </c>
    </row>
    <row r="365" spans="15:61" hidden="1">
      <c r="O365" s="57"/>
      <c r="P365" s="57"/>
      <c r="AO365" s="57"/>
      <c r="AP365" s="57"/>
      <c r="BA365" s="57"/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5:61" hidden="1">
      <c r="O366" s="57"/>
      <c r="P366" s="57"/>
      <c r="AP366" s="57"/>
      <c r="BA366" s="57"/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5:61" hidden="1">
      <c r="O367" s="57"/>
      <c r="P367" s="57"/>
      <c r="AP367" s="57"/>
      <c r="BA367" s="57"/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5:61" hidden="1">
      <c r="O368" s="57"/>
      <c r="P368" s="57"/>
      <c r="AP368" s="57"/>
      <c r="BA368" s="57"/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5:61" hidden="1">
      <c r="O369" s="57"/>
      <c r="P369" s="57"/>
      <c r="AP369" s="57"/>
      <c r="BA369" s="57"/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5:61" hidden="1">
      <c r="O370" s="57"/>
      <c r="P370" s="57"/>
      <c r="AP370" s="57"/>
      <c r="BA370" s="57"/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e">
        <f>VLOOKUP(H370,Sheet2!$A$1:$B$270,2,FALSE)</f>
        <v>#N/A</v>
      </c>
    </row>
    <row r="371" spans="15:61" hidden="1">
      <c r="O371" s="57"/>
      <c r="P371" s="57"/>
      <c r="AO371" s="57"/>
      <c r="AP371" s="57"/>
      <c r="BA371" s="57"/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5:61" hidden="1">
      <c r="O372" s="57"/>
      <c r="P372" s="57"/>
      <c r="AO372" s="57"/>
      <c r="AP372" s="57"/>
      <c r="BA372" s="57"/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5:61" hidden="1">
      <c r="O373" s="57"/>
      <c r="P373" s="57"/>
      <c r="AO373" s="57"/>
      <c r="AP373" s="57"/>
      <c r="BA373" s="57"/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5:61" hidden="1">
      <c r="O374" s="57"/>
      <c r="P374" s="57"/>
      <c r="AO374" s="57"/>
      <c r="AP374" s="57"/>
      <c r="BA374" s="57"/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5:61" hidden="1">
      <c r="O375" s="57"/>
      <c r="P375" s="57"/>
      <c r="AO375" s="57"/>
      <c r="BA375" s="57"/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5:61" hidden="1">
      <c r="O376" s="57"/>
      <c r="P376" s="57"/>
      <c r="AO376" s="57"/>
      <c r="AP376" s="57"/>
      <c r="BA376" s="57"/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5:61" hidden="1">
      <c r="O377" s="57"/>
      <c r="P377" s="57"/>
      <c r="AO377" s="57"/>
      <c r="AP377" s="57"/>
      <c r="BA377" s="57"/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5:61" hidden="1">
      <c r="O378" s="57"/>
      <c r="P378" s="57"/>
      <c r="AO378" s="57"/>
      <c r="AP378" s="57"/>
      <c r="BA378" s="57"/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5:61" hidden="1">
      <c r="O379" s="57"/>
      <c r="P379" s="57"/>
      <c r="AO379" s="57"/>
      <c r="AP379" s="57"/>
      <c r="BA379" s="57"/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5:61" hidden="1">
      <c r="O380" s="57"/>
      <c r="P380" s="57"/>
      <c r="AO380" s="57"/>
      <c r="BA380" s="57"/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5:61" hidden="1">
      <c r="O381" s="57"/>
      <c r="P381" s="57"/>
      <c r="AO381" s="57"/>
      <c r="BA381" s="57"/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5:61" hidden="1">
      <c r="O382" s="57"/>
      <c r="P382" s="57"/>
      <c r="AO382" s="57"/>
      <c r="BA382" s="57"/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5:61" hidden="1">
      <c r="O383" s="57"/>
      <c r="P383" s="57"/>
      <c r="AO383" s="57"/>
      <c r="AP383" s="57"/>
      <c r="BA383" s="57"/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5:61" hidden="1">
      <c r="O384" s="57"/>
      <c r="P384" s="57"/>
      <c r="AP384" s="57"/>
      <c r="BA384" s="57"/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5:61" hidden="1">
      <c r="O385" s="57"/>
      <c r="P385" s="57"/>
      <c r="AP385" s="57"/>
      <c r="BA385" s="57"/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e">
        <f>VLOOKUP(H385,Sheet2!$A$1:$B$270,2,FALSE)</f>
        <v>#N/A</v>
      </c>
    </row>
    <row r="386" spans="15:61" hidden="1">
      <c r="O386" s="57"/>
      <c r="P386" s="57"/>
      <c r="BA386" s="57"/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e">
        <f>VLOOKUP(H386,Sheet2!$A$1:$B$270,2,FALSE)</f>
        <v>#N/A</v>
      </c>
    </row>
    <row r="387" spans="15:61" hidden="1">
      <c r="O387" s="57"/>
      <c r="P387" s="57"/>
      <c r="AP387" s="57"/>
      <c r="BA387" s="57"/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e">
        <f>VLOOKUP(H387,Sheet2!$A$1:$B$270,2,FALSE)</f>
        <v>#N/A</v>
      </c>
    </row>
    <row r="388" spans="15:61" hidden="1">
      <c r="O388" s="57"/>
      <c r="P388" s="57"/>
      <c r="AP388" s="57"/>
      <c r="BA388" s="57"/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e">
        <f>VLOOKUP(H388,Sheet2!$A$1:$B$270,2,FALSE)</f>
        <v>#N/A</v>
      </c>
    </row>
    <row r="389" spans="15:61" hidden="1">
      <c r="O389" s="57"/>
      <c r="P389" s="57"/>
      <c r="AP389" s="57"/>
      <c r="BA389" s="57"/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e">
        <f>VLOOKUP(H389,Sheet2!$A$1:$B$270,2,FALSE)</f>
        <v>#N/A</v>
      </c>
    </row>
    <row r="390" spans="15:61" hidden="1">
      <c r="O390" s="57"/>
      <c r="P390" s="57"/>
      <c r="BA390" s="57"/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e">
        <f>VLOOKUP(H390,Sheet2!$A$1:$B$270,2,FALSE)</f>
        <v>#N/A</v>
      </c>
    </row>
    <row r="391" spans="15:61" hidden="1">
      <c r="O391" s="57"/>
      <c r="P391" s="57"/>
      <c r="AP391" s="57"/>
      <c r="BA391" s="57"/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5:61" hidden="1">
      <c r="O392" s="57"/>
      <c r="P392" s="57"/>
      <c r="BA392" s="57"/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5:61" hidden="1">
      <c r="O393" s="57"/>
      <c r="P393" s="57"/>
      <c r="AP393" s="57"/>
      <c r="BA393" s="57"/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5:61" hidden="1">
      <c r="O394" s="57"/>
      <c r="P394" s="57"/>
      <c r="BA394" s="57"/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e">
        <f>VLOOKUP(H394,Sheet2!$A$1:$B$270,2,FALSE)</f>
        <v>#N/A</v>
      </c>
    </row>
    <row r="395" spans="15:61" hidden="1">
      <c r="O395" s="57"/>
      <c r="P395" s="57"/>
      <c r="AP395" s="57"/>
      <c r="BA395" s="57"/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5:61" hidden="1">
      <c r="O396" s="57"/>
      <c r="P396" s="57"/>
      <c r="AP396" s="57"/>
      <c r="BA396" s="57"/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5:61" hidden="1">
      <c r="O397" s="57"/>
      <c r="P397" s="57"/>
      <c r="BA397" s="57"/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5:61" hidden="1">
      <c r="O398" s="57"/>
      <c r="P398" s="57"/>
      <c r="AP398" s="57"/>
      <c r="BA398" s="57"/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5:61" hidden="1">
      <c r="O399" s="57"/>
      <c r="P399" s="57"/>
      <c r="AP399" s="57"/>
      <c r="BA399" s="57"/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5:61" hidden="1">
      <c r="O400" s="57"/>
      <c r="P400" s="57"/>
      <c r="AO400" s="57"/>
      <c r="AP400" s="57"/>
      <c r="BA400" s="57"/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5:61" hidden="1">
      <c r="O401" s="57"/>
      <c r="P401" s="57"/>
      <c r="AP401" s="57"/>
      <c r="BA401" s="57"/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e">
        <f>VLOOKUP(H401,Sheet2!$A$1:$B$270,2,FALSE)</f>
        <v>#N/A</v>
      </c>
    </row>
    <row r="402" spans="15:61" hidden="1">
      <c r="O402" s="57"/>
      <c r="P402" s="57"/>
      <c r="AP402" s="57"/>
      <c r="BA402" s="57"/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e">
        <f>VLOOKUP(H402,Sheet2!$A$1:$B$270,2,FALSE)</f>
        <v>#N/A</v>
      </c>
    </row>
    <row r="403" spans="15:61" hidden="1">
      <c r="O403" s="57"/>
      <c r="P403" s="57"/>
      <c r="AP403" s="57"/>
      <c r="BA403" s="57"/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e">
        <f>VLOOKUP(H403,Sheet2!$A$1:$B$270,2,FALSE)</f>
        <v>#N/A</v>
      </c>
    </row>
    <row r="404" spans="15:61" hidden="1">
      <c r="O404" s="57"/>
      <c r="P404" s="57"/>
      <c r="AM404" s="58"/>
      <c r="BA404" s="57"/>
      <c r="BB404" s="58"/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5:61" hidden="1">
      <c r="O405" s="57"/>
      <c r="P405" s="57"/>
      <c r="AP405" s="57"/>
      <c r="BA405" s="57"/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5:61" hidden="1">
      <c r="O406" s="57"/>
      <c r="P406" s="57"/>
      <c r="AO406" s="57"/>
      <c r="AP406" s="57"/>
      <c r="BA406" s="57"/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5:61" hidden="1">
      <c r="O407" s="57"/>
      <c r="P407" s="57"/>
      <c r="AO407" s="57"/>
      <c r="AP407" s="57"/>
      <c r="BA407" s="57"/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5:61" hidden="1">
      <c r="O408" s="57"/>
      <c r="P408" s="57"/>
      <c r="AO408" s="57"/>
      <c r="BA408" s="57"/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5:61" hidden="1">
      <c r="O409" s="57"/>
      <c r="P409" s="57"/>
      <c r="AO409" s="57"/>
      <c r="BA409" s="57"/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5:61" hidden="1">
      <c r="O410" s="57"/>
      <c r="P410" s="57"/>
      <c r="AO410" s="57"/>
      <c r="BA410" s="57"/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5:61" hidden="1">
      <c r="O411" s="57"/>
      <c r="P411" s="57"/>
      <c r="AO411" s="57"/>
      <c r="BA411" s="57"/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5:61" hidden="1">
      <c r="O412" s="57"/>
      <c r="P412" s="57"/>
      <c r="AO412" s="57"/>
      <c r="BA412" s="57"/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e">
        <f>VLOOKUP(H412,Sheet2!$A$1:$B$270,2,FALSE)</f>
        <v>#N/A</v>
      </c>
    </row>
    <row r="413" spans="15:61" hidden="1">
      <c r="O413" s="57"/>
      <c r="P413" s="57"/>
      <c r="AO413" s="57"/>
      <c r="BA413" s="57"/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5:61" hidden="1">
      <c r="O414" s="57"/>
      <c r="P414" s="57"/>
      <c r="AO414" s="57"/>
      <c r="BA414" s="57"/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5:61" hidden="1">
      <c r="O415" s="57"/>
      <c r="P415" s="57"/>
      <c r="AO415" s="57"/>
      <c r="BA415" s="57"/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5:61" hidden="1">
      <c r="O416" s="57"/>
      <c r="P416" s="57"/>
      <c r="AO416" s="57"/>
      <c r="BA416" s="57"/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e">
        <f>VLOOKUP(H416,Sheet2!$A$1:$B$270,2,FALSE)</f>
        <v>#N/A</v>
      </c>
    </row>
    <row r="417" spans="15:61" hidden="1">
      <c r="O417" s="57"/>
      <c r="P417" s="57"/>
      <c r="AO417" s="57"/>
      <c r="AP417" s="57"/>
      <c r="BA417" s="57"/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5:61" hidden="1">
      <c r="O418" s="57"/>
      <c r="P418" s="57"/>
      <c r="AO418" s="57"/>
      <c r="AP418" s="57"/>
      <c r="BA418" s="57"/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5:61" hidden="1">
      <c r="O419" s="57"/>
      <c r="P419" s="57"/>
      <c r="AO419" s="57"/>
      <c r="AP419" s="57"/>
      <c r="BA419" s="57"/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5:61" hidden="1">
      <c r="O420" s="57"/>
      <c r="P420" s="57"/>
      <c r="AO420" s="57"/>
      <c r="AP420" s="57"/>
      <c r="BA420" s="57"/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5:61" hidden="1">
      <c r="O421" s="57"/>
      <c r="P421" s="57"/>
      <c r="AO421" s="57"/>
      <c r="BA421" s="57"/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5:61" hidden="1">
      <c r="O422" s="57"/>
      <c r="P422" s="57"/>
      <c r="AO422" s="57"/>
      <c r="BA422" s="57"/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5:61" hidden="1">
      <c r="O423" s="57"/>
      <c r="P423" s="57"/>
      <c r="AO423" s="57"/>
      <c r="BA423" s="57"/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5:61" hidden="1">
      <c r="O424" s="57"/>
      <c r="P424" s="57"/>
      <c r="AO424" s="57"/>
      <c r="BA424" s="57"/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5:61" hidden="1">
      <c r="O425" s="57"/>
      <c r="P425" s="57"/>
      <c r="AO425" s="57"/>
      <c r="BA425" s="57"/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5:61" hidden="1">
      <c r="O426" s="57"/>
      <c r="P426" s="57"/>
      <c r="AO426" s="57"/>
      <c r="BA426" s="57"/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5:61" hidden="1">
      <c r="O427" s="57"/>
      <c r="P427" s="57"/>
      <c r="BA427" s="57"/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5:61" hidden="1">
      <c r="O428" s="57"/>
      <c r="P428" s="57"/>
      <c r="BA428" s="57"/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5:61" hidden="1">
      <c r="O429" s="57"/>
      <c r="P429" s="57"/>
      <c r="BA429" s="57"/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5:61" hidden="1">
      <c r="O430" s="57"/>
      <c r="P430" s="57"/>
      <c r="BA430" s="57"/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5:61" hidden="1">
      <c r="O431" s="57"/>
      <c r="P431" s="57"/>
      <c r="BA431" s="57"/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5:61" hidden="1">
      <c r="O432" s="57"/>
      <c r="P432" s="57"/>
      <c r="BA432" s="57"/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e">
        <f>VLOOKUP(H432,Sheet2!$A$1:$B$270,2,FALSE)</f>
        <v>#N/A</v>
      </c>
    </row>
    <row r="433" spans="15:61" hidden="1">
      <c r="O433" s="57"/>
      <c r="P433" s="57"/>
      <c r="AP433" s="57"/>
      <c r="BA433" s="57"/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5:61" hidden="1">
      <c r="O434" s="57"/>
      <c r="P434" s="57"/>
      <c r="BA434" s="57"/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e">
        <f>VLOOKUP(H434,Sheet2!$A$1:$B$270,2,FALSE)</f>
        <v>#N/A</v>
      </c>
    </row>
    <row r="435" spans="15:61" hidden="1">
      <c r="O435" s="57"/>
      <c r="P435" s="57"/>
      <c r="BA435" s="57"/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5:61" hidden="1">
      <c r="O436" s="57"/>
      <c r="P436" s="57"/>
      <c r="BA436" s="57"/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5:61" hidden="1">
      <c r="O437" s="57"/>
      <c r="P437" s="57"/>
      <c r="AP437" s="57"/>
      <c r="BA437" s="57"/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5:61" hidden="1">
      <c r="O438" s="57"/>
      <c r="P438" s="57"/>
      <c r="BA438" s="57"/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5:61" hidden="1">
      <c r="O439" s="57"/>
      <c r="P439" s="57"/>
      <c r="BA439" s="57"/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5:61" hidden="1">
      <c r="O440" s="57"/>
      <c r="P440" s="57"/>
      <c r="BA440" s="57"/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5:61" hidden="1">
      <c r="O441" s="57"/>
      <c r="P441" s="57"/>
      <c r="BA441" s="57"/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5:61" hidden="1">
      <c r="O442" s="57"/>
      <c r="P442" s="57"/>
      <c r="BA442" s="57"/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5:61" hidden="1">
      <c r="O443" s="57"/>
      <c r="P443" s="57"/>
      <c r="AP443" s="57"/>
      <c r="BA443" s="57"/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5:61" hidden="1">
      <c r="O444" s="57"/>
      <c r="P444" s="57"/>
      <c r="AP444" s="57"/>
      <c r="BA444" s="57"/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5:61" hidden="1">
      <c r="O445" s="57"/>
      <c r="P445" s="57"/>
      <c r="AP445" s="57"/>
      <c r="BA445" s="57"/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5:61" hidden="1">
      <c r="O446" s="57"/>
      <c r="P446" s="57"/>
      <c r="AO446" s="57"/>
      <c r="BA446" s="57"/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5:61" hidden="1">
      <c r="O447" s="57"/>
      <c r="P447" s="57"/>
      <c r="AO447" s="57"/>
      <c r="BA447" s="57"/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5:61" hidden="1">
      <c r="O448" s="57"/>
      <c r="P448" s="57"/>
      <c r="AO448" s="57"/>
      <c r="BA448" s="57"/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e">
        <f>VLOOKUP(H448,Sheet2!$A$1:$B$270,2,FALSE)</f>
        <v>#N/A</v>
      </c>
    </row>
    <row r="449" spans="15:61" hidden="1">
      <c r="O449" s="57"/>
      <c r="P449" s="57"/>
      <c r="AO449" s="57"/>
      <c r="BA449" s="57"/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e">
        <f>VLOOKUP(H449,Sheet2!$A$1:$B$270,2,FALSE)</f>
        <v>#N/A</v>
      </c>
    </row>
    <row r="450" spans="15:61" hidden="1">
      <c r="O450" s="57"/>
      <c r="P450" s="57"/>
      <c r="AO450" s="57"/>
      <c r="AP450" s="57"/>
      <c r="BA450" s="57"/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e">
        <f>VLOOKUP(H450,Sheet2!$A$1:$B$270,2,FALSE)</f>
        <v>#N/A</v>
      </c>
    </row>
    <row r="451" spans="15:61" hidden="1">
      <c r="O451" s="57"/>
      <c r="P451" s="57"/>
      <c r="AO451" s="57"/>
      <c r="BA451" s="57"/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e">
        <f>VLOOKUP(H451,Sheet2!$A$1:$B$270,2,FALSE)</f>
        <v>#N/A</v>
      </c>
    </row>
    <row r="452" spans="15:61" hidden="1">
      <c r="O452" s="57"/>
      <c r="P452" s="57"/>
      <c r="AO452" s="57"/>
      <c r="BA452" s="57"/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5:61" hidden="1">
      <c r="O453" s="57"/>
      <c r="P453" s="57"/>
      <c r="AO453" s="57"/>
      <c r="BA453" s="57"/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5:61" hidden="1">
      <c r="O454" s="57"/>
      <c r="P454" s="57"/>
      <c r="AO454" s="57"/>
      <c r="BA454" s="57"/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5:61" hidden="1">
      <c r="O455" s="57"/>
      <c r="P455" s="57"/>
      <c r="AO455" s="57"/>
      <c r="BA455" s="57"/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5:61" hidden="1">
      <c r="O456" s="57"/>
      <c r="P456" s="57"/>
      <c r="AO456" s="57"/>
      <c r="BA456" s="57"/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5:61" hidden="1">
      <c r="O457" s="57"/>
      <c r="P457" s="57"/>
      <c r="AO457" s="57"/>
      <c r="BA457" s="57"/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5:61" hidden="1">
      <c r="O458" s="57"/>
      <c r="P458" s="57"/>
      <c r="AO458" s="57"/>
      <c r="BA458" s="57"/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e">
        <f>VLOOKUP(H458,Sheet2!$A$1:$B$270,2,FALSE)</f>
        <v>#N/A</v>
      </c>
    </row>
    <row r="459" spans="15:61" hidden="1">
      <c r="O459" s="57"/>
      <c r="P459" s="57"/>
      <c r="BA459" s="57"/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5:61" hidden="1">
      <c r="O460" s="57"/>
      <c r="P460" s="57"/>
      <c r="BA460" s="57"/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5:61" hidden="1">
      <c r="O461" s="57"/>
      <c r="P461" s="57"/>
      <c r="BA461" s="57"/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e">
        <f>VLOOKUP(H461,Sheet2!$A$1:$B$270,2,FALSE)</f>
        <v>#N/A</v>
      </c>
    </row>
    <row r="462" spans="15:61" hidden="1">
      <c r="O462" s="57"/>
      <c r="P462" s="57"/>
      <c r="BA462" s="57"/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5:61" hidden="1">
      <c r="O463" s="57"/>
      <c r="P463" s="57"/>
      <c r="BA463" s="57"/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5:61" hidden="1">
      <c r="O464" s="57"/>
      <c r="P464" s="57"/>
      <c r="BA464" s="57"/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5:61" hidden="1">
      <c r="O465" s="57"/>
      <c r="P465" s="57"/>
      <c r="BA465" s="57"/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5:61" hidden="1">
      <c r="O466" s="57"/>
      <c r="P466" s="57"/>
      <c r="BA466" s="57"/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5:61" hidden="1">
      <c r="O467" s="57"/>
      <c r="P467" s="57"/>
      <c r="BA467" s="57"/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5:61" hidden="1">
      <c r="O468" s="57"/>
      <c r="P468" s="57"/>
      <c r="BA468" s="57"/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5:61" hidden="1">
      <c r="O469" s="57"/>
      <c r="P469" s="57"/>
      <c r="BA469" s="57"/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e">
        <f>VLOOKUP(H469,Sheet2!$A$1:$B$270,2,FALSE)</f>
        <v>#N/A</v>
      </c>
    </row>
    <row r="470" spans="15:61" hidden="1">
      <c r="O470" s="57"/>
      <c r="P470" s="57"/>
      <c r="BA470" s="57"/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5:61" hidden="1">
      <c r="O471" s="57"/>
      <c r="P471" s="57"/>
      <c r="BA471" s="57"/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5:61" hidden="1">
      <c r="O472" s="57"/>
      <c r="P472" s="57"/>
      <c r="BA472" s="57"/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5:61" hidden="1">
      <c r="O473" s="57"/>
      <c r="P473" s="57"/>
      <c r="BA473" s="57"/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5:61" hidden="1">
      <c r="O474" s="57"/>
      <c r="P474" s="57"/>
      <c r="BA474" s="57"/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5:61" hidden="1">
      <c r="O475" s="57"/>
      <c r="P475" s="57"/>
      <c r="BA475" s="57"/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5:61" hidden="1">
      <c r="O476" s="57"/>
      <c r="P476" s="57"/>
      <c r="BA476" s="57"/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5:61" hidden="1">
      <c r="O477" s="57"/>
      <c r="P477" s="57"/>
      <c r="BA477" s="57"/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5:61" hidden="1">
      <c r="O478" s="57"/>
      <c r="P478" s="57"/>
      <c r="BA478" s="57"/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5:61" hidden="1">
      <c r="O479" s="57"/>
      <c r="P479" s="57"/>
      <c r="BA479" s="57"/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5:61" hidden="1">
      <c r="O480" s="57"/>
      <c r="P480" s="57"/>
      <c r="BA480" s="57"/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5:61" hidden="1">
      <c r="O481" s="57"/>
      <c r="P481" s="57"/>
      <c r="BA481" s="57"/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5:61" hidden="1">
      <c r="O482" s="57"/>
      <c r="P482" s="57"/>
      <c r="BA482" s="57"/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5:61" hidden="1">
      <c r="O483" s="57"/>
      <c r="P483" s="57"/>
      <c r="BA483" s="57"/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e">
        <f>VLOOKUP(H483,Sheet2!$A$1:$B$270,2,FALSE)</f>
        <v>#N/A</v>
      </c>
    </row>
    <row r="484" spans="15:61" hidden="1">
      <c r="O484" s="57"/>
      <c r="P484" s="57"/>
      <c r="BA484" s="57"/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5:61" hidden="1">
      <c r="O485" s="57"/>
      <c r="P485" s="57"/>
      <c r="BA485" s="57"/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5:61" hidden="1">
      <c r="O486" s="57"/>
      <c r="P486" s="57"/>
      <c r="AP486" s="57"/>
      <c r="BA486" s="57"/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e">
        <f>VLOOKUP(H486,Sheet2!$A$1:$B$270,2,FALSE)</f>
        <v>#N/A</v>
      </c>
    </row>
    <row r="487" spans="15:61" hidden="1">
      <c r="O487" s="57"/>
      <c r="P487" s="57"/>
      <c r="AO487" s="57"/>
      <c r="AP487" s="57"/>
      <c r="BA487" s="57"/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e">
        <f>VLOOKUP(H487,Sheet2!$A$1:$B$270,2,FALSE)</f>
        <v>#N/A</v>
      </c>
    </row>
    <row r="488" spans="15:61" hidden="1">
      <c r="O488" s="57"/>
      <c r="P488" s="57"/>
      <c r="AO488" s="57"/>
      <c r="AP488" s="57"/>
      <c r="BA488" s="57"/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5:61" hidden="1">
      <c r="O489" s="57"/>
      <c r="P489" s="57"/>
      <c r="AO489" s="57"/>
      <c r="AP489" s="57"/>
      <c r="BA489" s="57"/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5:61" hidden="1">
      <c r="O490" s="57"/>
      <c r="P490" s="57"/>
      <c r="AO490" s="57"/>
      <c r="AP490" s="57"/>
      <c r="BA490" s="57"/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5:61" hidden="1">
      <c r="O491" s="57"/>
      <c r="P491" s="57"/>
      <c r="AO491" s="57"/>
      <c r="AP491" s="57"/>
      <c r="BA491" s="57"/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5:61" hidden="1">
      <c r="O492" s="57"/>
      <c r="P492" s="57"/>
      <c r="AP492" s="57"/>
      <c r="BA492" s="57"/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5:61" hidden="1">
      <c r="O493" s="57"/>
      <c r="P493" s="57"/>
      <c r="AP493" s="57"/>
      <c r="BA493" s="57"/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5:61" hidden="1">
      <c r="O494" s="57"/>
      <c r="P494" s="57"/>
      <c r="AP494" s="57"/>
      <c r="BA494" s="57"/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5:61" hidden="1">
      <c r="O495" s="57"/>
      <c r="P495" s="57"/>
      <c r="AP495" s="57"/>
      <c r="BA495" s="57"/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5:61" hidden="1">
      <c r="O496" s="57"/>
      <c r="P496" s="57"/>
      <c r="BA496" s="57"/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5:61" hidden="1">
      <c r="O497" s="57"/>
      <c r="P497" s="57"/>
      <c r="AP497" s="57"/>
      <c r="BA497" s="57"/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5:61" hidden="1">
      <c r="O498" s="57"/>
      <c r="P498" s="57"/>
      <c r="AP498" s="57"/>
      <c r="BA498" s="57"/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5:61" hidden="1">
      <c r="O499" s="57"/>
      <c r="P499" s="57"/>
      <c r="AP499" s="57"/>
      <c r="BA499" s="57"/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5:61" hidden="1">
      <c r="O500" s="57"/>
      <c r="P500" s="57"/>
      <c r="AP500" s="57"/>
      <c r="BA500" s="57"/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5:61" hidden="1">
      <c r="O501" s="57"/>
      <c r="P501" s="57"/>
      <c r="AP501" s="57"/>
      <c r="BA501" s="57"/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5:61" hidden="1">
      <c r="O502" s="57"/>
      <c r="P502" s="57"/>
      <c r="AP502" s="57"/>
      <c r="BA502" s="57"/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5:61" hidden="1">
      <c r="O503" s="57"/>
      <c r="P503" s="57"/>
      <c r="AM503" s="58"/>
      <c r="AO503" s="57"/>
      <c r="BA503" s="57"/>
      <c r="BB503" s="58"/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5:61" hidden="1">
      <c r="O504" s="57"/>
      <c r="P504" s="57"/>
      <c r="AO504" s="57"/>
      <c r="BA504" s="57"/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5:61" hidden="1">
      <c r="O505" s="57"/>
      <c r="P505" s="57"/>
      <c r="AO505" s="57"/>
      <c r="BA505" s="57"/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5:61" hidden="1">
      <c r="O506" s="57"/>
      <c r="P506" s="57"/>
      <c r="AO506" s="57"/>
      <c r="BA506" s="57"/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5:61" hidden="1">
      <c r="O507" s="57"/>
      <c r="P507" s="57"/>
      <c r="AO507" s="57"/>
      <c r="BA507" s="57"/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5:61" hidden="1">
      <c r="O508" s="57"/>
      <c r="P508" s="57"/>
      <c r="BA508" s="57"/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5:61" hidden="1">
      <c r="O509" s="57"/>
      <c r="P509" s="57"/>
      <c r="BA509" s="57"/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5:61" hidden="1">
      <c r="O510" s="57"/>
      <c r="P510" s="57"/>
      <c r="AP510" s="57"/>
      <c r="BA510" s="57"/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5:61" hidden="1">
      <c r="O511" s="57"/>
      <c r="P511" s="57"/>
      <c r="AP511" s="57"/>
      <c r="BA511" s="57"/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5:61" hidden="1">
      <c r="O512" s="57"/>
      <c r="P512" s="57"/>
      <c r="AP512" s="57"/>
      <c r="BA512" s="57"/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5:61" hidden="1">
      <c r="O513" s="57"/>
      <c r="P513" s="57"/>
      <c r="AP513" s="57"/>
      <c r="BA513" s="57"/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5:61" hidden="1">
      <c r="O514" s="57"/>
      <c r="P514" s="57"/>
      <c r="AP514" s="57"/>
      <c r="BA514" s="57"/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5:61" hidden="1">
      <c r="O515" s="57"/>
      <c r="P515" s="57"/>
      <c r="AP515" s="57"/>
      <c r="BA515" s="57"/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5:61" hidden="1">
      <c r="O516" s="57"/>
      <c r="P516" s="57"/>
      <c r="AP516" s="57"/>
      <c r="BA516" s="57"/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5:61" hidden="1">
      <c r="O517" s="57"/>
      <c r="P517" s="57"/>
      <c r="AP517" s="57"/>
      <c r="BA517" s="57"/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5:61" hidden="1">
      <c r="O518" s="57"/>
      <c r="P518" s="57"/>
      <c r="AP518" s="57"/>
      <c r="BA518" s="57"/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5:61" hidden="1">
      <c r="O519" s="57"/>
      <c r="P519" s="57"/>
      <c r="AP519" s="57"/>
      <c r="BA519" s="57"/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5:61" hidden="1">
      <c r="O520" s="57"/>
      <c r="P520" s="57"/>
      <c r="AP520" s="57"/>
      <c r="BA520" s="57"/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5:61" hidden="1">
      <c r="O521" s="57"/>
      <c r="P521" s="57"/>
      <c r="AP521" s="57"/>
      <c r="BA521" s="57"/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e">
        <f>VLOOKUP(H521,Sheet2!$A$1:$B$270,2,FALSE)</f>
        <v>#N/A</v>
      </c>
    </row>
    <row r="522" spans="15:61" hidden="1">
      <c r="O522" s="57"/>
      <c r="P522" s="57"/>
      <c r="BA522" s="57"/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5:61" hidden="1">
      <c r="O523" s="57"/>
      <c r="P523" s="57"/>
      <c r="AP523" s="57"/>
      <c r="BA523" s="57"/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5:61" hidden="1">
      <c r="O524" s="57"/>
      <c r="P524" s="57"/>
      <c r="BA524" s="57"/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5:61" hidden="1">
      <c r="O525" s="57"/>
      <c r="P525" s="57"/>
      <c r="AP525" s="57"/>
      <c r="BA525" s="57"/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5:61" hidden="1">
      <c r="O526" s="57"/>
      <c r="P526" s="57"/>
      <c r="AP526" s="57"/>
      <c r="BA526" s="57"/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5:61" hidden="1">
      <c r="O527" s="57"/>
      <c r="P527" s="57"/>
      <c r="BA527" s="57"/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5:61" hidden="1">
      <c r="O528" s="57"/>
      <c r="P528" s="57"/>
      <c r="AP528" s="57"/>
      <c r="BA528" s="57"/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5:61" hidden="1">
      <c r="O529" s="57"/>
      <c r="P529" s="57"/>
      <c r="BA529" s="57"/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5:61" hidden="1">
      <c r="O530" s="57"/>
      <c r="P530" s="57"/>
      <c r="AP530" s="57"/>
      <c r="BA530" s="57"/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5:61" hidden="1">
      <c r="O531" s="57"/>
      <c r="P531" s="57"/>
      <c r="BA531" s="57"/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5:61" hidden="1">
      <c r="O532" s="57"/>
      <c r="P532" s="57"/>
      <c r="AO532" s="57"/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5:61" hidden="1">
      <c r="O533" s="57"/>
      <c r="P533" s="57"/>
      <c r="AP533" s="57"/>
      <c r="BA533" s="57"/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5:61" hidden="1">
      <c r="O534" s="57"/>
      <c r="P534" s="57"/>
      <c r="AO534" s="57"/>
      <c r="AP534" s="57"/>
      <c r="BA534" s="57"/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5:61" hidden="1">
      <c r="O535" s="57"/>
      <c r="P535" s="57"/>
      <c r="AO535" s="57"/>
      <c r="AP535" s="57"/>
      <c r="BA535" s="57"/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5:61" hidden="1">
      <c r="O536" s="57"/>
      <c r="P536" s="57"/>
      <c r="AO536" s="57"/>
      <c r="AP536" s="57"/>
      <c r="BA536" s="57"/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5:61" hidden="1">
      <c r="O537" s="57"/>
      <c r="P537" s="57"/>
      <c r="AO537" s="57"/>
      <c r="AP537" s="57"/>
      <c r="BA537" s="57"/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5:61" hidden="1">
      <c r="O538" s="57"/>
      <c r="P538" s="57"/>
      <c r="AO538" s="57"/>
      <c r="AP538" s="57"/>
      <c r="BA538" s="57"/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5:61" hidden="1">
      <c r="O539" s="57"/>
      <c r="P539" s="57"/>
      <c r="AP539" s="57"/>
      <c r="BA539" s="57"/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5:61" hidden="1">
      <c r="O540" s="57"/>
      <c r="P540" s="57"/>
      <c r="AP540" s="57"/>
      <c r="BA540" s="57"/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5:61" hidden="1">
      <c r="O541" s="57"/>
      <c r="P541" s="57"/>
      <c r="AP541" s="57"/>
      <c r="BA541" s="57"/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5:61" hidden="1">
      <c r="O542" s="57"/>
      <c r="P542" s="57"/>
      <c r="AP542" s="57"/>
      <c r="BA542" s="57"/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5:61" hidden="1">
      <c r="O543" s="57"/>
      <c r="P543" s="57"/>
      <c r="BA543" s="57"/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5:61" hidden="1">
      <c r="O544" s="57"/>
      <c r="P544" s="57"/>
      <c r="BA544" s="57"/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5:61" hidden="1">
      <c r="O545" s="57"/>
      <c r="P545" s="57"/>
      <c r="AP545" s="57"/>
      <c r="BA545" s="57"/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5:61" hidden="1">
      <c r="O546" s="57"/>
      <c r="P546" s="57"/>
      <c r="AO546" s="57"/>
      <c r="BA546" s="57"/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5:61" hidden="1">
      <c r="O547" s="57"/>
      <c r="P547" s="57"/>
      <c r="AO547" s="57"/>
      <c r="BA547" s="57"/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5:61" hidden="1">
      <c r="O548" s="57"/>
      <c r="P548" s="57"/>
      <c r="AO548" s="57"/>
      <c r="BA548" s="57"/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5:61" hidden="1">
      <c r="O549" s="57"/>
      <c r="P549" s="57"/>
      <c r="AO549" s="57"/>
      <c r="BA549" s="57"/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5:61" hidden="1">
      <c r="O550" s="57"/>
      <c r="P550" s="57"/>
      <c r="AO550" s="57"/>
      <c r="BA550" s="57"/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5:61" hidden="1">
      <c r="O551" s="57"/>
      <c r="P551" s="57"/>
      <c r="BA551" s="57"/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5:61" hidden="1">
      <c r="O552" s="57"/>
      <c r="P552" s="57"/>
      <c r="AP552" s="57"/>
      <c r="BA552" s="57"/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5:61" hidden="1">
      <c r="O553" s="57"/>
      <c r="P553" s="57"/>
      <c r="BA553" s="57"/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5:61" hidden="1">
      <c r="O554" s="57"/>
      <c r="P554" s="57"/>
      <c r="BA554" s="57"/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5:61" hidden="1">
      <c r="O555" s="57"/>
      <c r="P555" s="57"/>
      <c r="AP555" s="57"/>
      <c r="BA555" s="57"/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5:61" hidden="1">
      <c r="O556" s="57"/>
      <c r="P556" s="57"/>
      <c r="BA556" s="57"/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5:61" hidden="1">
      <c r="O557" s="57"/>
      <c r="P557" s="57"/>
      <c r="BA557" s="57"/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5:61" hidden="1">
      <c r="O558" s="57"/>
      <c r="P558" s="57"/>
      <c r="BA558" s="57"/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5:61" hidden="1">
      <c r="O559" s="57"/>
      <c r="P559" s="57"/>
      <c r="BA559" s="57"/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5:61" hidden="1">
      <c r="O560" s="57"/>
      <c r="P560" s="57"/>
      <c r="AP560" s="57"/>
      <c r="BA560" s="57"/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5:61" hidden="1">
      <c r="O561" s="57"/>
      <c r="P561" s="57"/>
      <c r="BA561" s="57"/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5:61" hidden="1">
      <c r="O562" s="57"/>
      <c r="P562" s="57"/>
      <c r="AP562" s="57"/>
      <c r="BA562" s="57"/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5:61" hidden="1">
      <c r="O563" s="57"/>
      <c r="P563" s="57"/>
      <c r="AP563" s="57"/>
      <c r="BA563" s="57"/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5:61" hidden="1">
      <c r="O564" s="57"/>
      <c r="P564" s="57"/>
      <c r="AP564" s="57"/>
      <c r="BA564" s="57"/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5:61" hidden="1">
      <c r="O565" s="57"/>
      <c r="P565" s="57"/>
      <c r="AP565" s="57"/>
      <c r="BA565" s="57"/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5:61" hidden="1">
      <c r="O566" s="57"/>
      <c r="P566" s="57"/>
      <c r="AP566" s="57"/>
      <c r="BA566" s="57"/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5:61" hidden="1">
      <c r="O567" s="57"/>
      <c r="P567" s="57"/>
      <c r="BA567" s="57"/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5:61" hidden="1">
      <c r="O568" s="57"/>
      <c r="P568" s="57"/>
      <c r="AP568" s="57"/>
      <c r="BA568" s="57"/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5:61" hidden="1">
      <c r="O569" s="57"/>
      <c r="P569" s="57"/>
      <c r="AP569" s="57"/>
      <c r="BA569" s="57"/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5:61" hidden="1">
      <c r="O570" s="57"/>
      <c r="P570" s="57"/>
      <c r="AP570" s="57"/>
      <c r="BA570" s="57"/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5:61" hidden="1">
      <c r="O571" s="57"/>
      <c r="P571" s="57"/>
      <c r="AO571" s="57"/>
      <c r="AP571" s="57"/>
      <c r="BA571" s="57"/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5:61" hidden="1">
      <c r="O572" s="57"/>
      <c r="P572" s="57"/>
      <c r="BA572" s="57"/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5:61" hidden="1">
      <c r="O573" s="57"/>
      <c r="P573" s="57"/>
      <c r="AO573" s="57"/>
      <c r="AP573" s="57"/>
      <c r="BA573" s="57"/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5:61" hidden="1">
      <c r="O574" s="57"/>
      <c r="P574" s="57"/>
      <c r="AO574" s="57"/>
      <c r="AP574" s="57"/>
      <c r="BA574" s="57"/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5:61" hidden="1">
      <c r="O575" s="57"/>
      <c r="P575" s="57"/>
      <c r="AO575" s="57"/>
      <c r="AP575" s="57"/>
      <c r="BA575" s="57"/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5:61" hidden="1">
      <c r="O576" s="57"/>
      <c r="P576" s="57"/>
      <c r="AO576" s="57"/>
      <c r="AP576" s="57"/>
      <c r="BA576" s="57"/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5:61" hidden="1">
      <c r="O577" s="57"/>
      <c r="P577" s="57"/>
      <c r="AO577" s="57"/>
      <c r="AP577" s="57"/>
      <c r="BA577" s="57"/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5:61" hidden="1">
      <c r="O578" s="57"/>
      <c r="P578" s="57"/>
      <c r="AP578" s="57"/>
      <c r="BA578" s="57"/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5:61" hidden="1">
      <c r="O579" s="57"/>
      <c r="P579" s="57"/>
      <c r="AP579" s="57"/>
      <c r="BA579" s="57"/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5:61" hidden="1">
      <c r="O580" s="57"/>
      <c r="P580" s="57"/>
      <c r="AP580" s="57"/>
      <c r="BA580" s="57"/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5:61" hidden="1">
      <c r="O581" s="57"/>
      <c r="P581" s="57"/>
      <c r="AP581" s="57"/>
      <c r="BA581" s="57"/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5:61" hidden="1">
      <c r="O582" s="57"/>
      <c r="P582" s="57"/>
      <c r="AP582" s="57"/>
      <c r="BA582" s="57"/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5:61" hidden="1">
      <c r="O583" s="57"/>
      <c r="P583" s="57"/>
      <c r="AO583" s="57"/>
      <c r="AP583" s="57"/>
      <c r="BA583" s="57"/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5:61" hidden="1">
      <c r="O584" s="57"/>
      <c r="P584" s="57"/>
      <c r="AO584" s="57"/>
      <c r="AP584" s="57"/>
      <c r="BA584" s="57"/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5:61" hidden="1">
      <c r="O585" s="57"/>
      <c r="P585" s="57"/>
      <c r="AP585" s="57"/>
      <c r="BA585" s="57"/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5:61" hidden="1">
      <c r="O586" s="57"/>
      <c r="P586" s="57"/>
      <c r="AP586" s="57"/>
      <c r="BA586" s="57"/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5:61" hidden="1">
      <c r="O587" s="57"/>
      <c r="P587" s="57"/>
      <c r="AO587" s="57"/>
      <c r="AP587" s="57"/>
      <c r="BA587" s="57"/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5:61" hidden="1">
      <c r="O588" s="57"/>
      <c r="P588" s="57"/>
      <c r="AO588" s="57"/>
      <c r="AP588" s="57"/>
      <c r="BA588" s="57"/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5:61" hidden="1">
      <c r="O589" s="57"/>
      <c r="P589" s="57"/>
      <c r="AP589" s="57"/>
      <c r="BA589" s="57"/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5:61" hidden="1">
      <c r="O590" s="57"/>
      <c r="P590" s="57"/>
      <c r="AP590" s="57"/>
      <c r="BA590" s="57"/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5:61" hidden="1">
      <c r="O591" s="57"/>
      <c r="P591" s="57"/>
      <c r="AP591" s="57"/>
      <c r="BA591" s="57"/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5:61" hidden="1">
      <c r="O592" s="57"/>
      <c r="P592" s="57"/>
      <c r="AO592" s="57"/>
      <c r="AP592" s="57"/>
      <c r="BA592" s="57"/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5:61" hidden="1">
      <c r="O593" s="57"/>
      <c r="P593" s="57"/>
      <c r="AP593" s="57"/>
      <c r="BA593" s="57"/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5:61" hidden="1">
      <c r="O594" s="57"/>
      <c r="P594" s="57"/>
      <c r="BA594" s="57"/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5:61" hidden="1">
      <c r="O595" s="57"/>
      <c r="P595" s="57"/>
      <c r="AP595" s="57"/>
      <c r="BA595" s="57"/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5:61" hidden="1">
      <c r="O596" s="57"/>
      <c r="P596" s="57"/>
      <c r="AP596" s="57"/>
      <c r="BA596" s="57"/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5:61" hidden="1">
      <c r="O597" s="57"/>
      <c r="P597" s="57"/>
      <c r="AO597" s="57"/>
      <c r="AP597" s="57"/>
      <c r="BA597" s="57"/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5:61" hidden="1">
      <c r="O598" s="57"/>
      <c r="P598" s="57"/>
      <c r="AO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5:61" hidden="1">
      <c r="O599" s="57"/>
      <c r="P599" s="57"/>
      <c r="AO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5:61" hidden="1">
      <c r="O600" s="57"/>
      <c r="P600" s="57"/>
      <c r="AO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5:61" hidden="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5:61" hidden="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5:61" hidden="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5:61" hidden="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5:61" hidden="1">
      <c r="O605" s="57"/>
      <c r="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5:61" hidden="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5:61" hidden="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5:61" hidden="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 hidden="1">
      <c r="O609" s="57"/>
      <c r="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 hidden="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 hidden="1">
      <c r="O611" s="57"/>
      <c r="P611" s="57"/>
      <c r="AO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 hidden="1">
      <c r="O612" s="57"/>
      <c r="P612" s="57"/>
      <c r="AO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 hidden="1">
      <c r="O613" s="57"/>
      <c r="P613" s="57"/>
      <c r="AO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 hidden="1">
      <c r="O614" s="57"/>
      <c r="P614" s="57"/>
      <c r="AO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 hidden="1">
      <c r="O615" s="57"/>
      <c r="P615" s="57"/>
      <c r="AO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 hidden="1">
      <c r="O616" s="57"/>
      <c r="P616" s="57"/>
      <c r="AO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 hidden="1">
      <c r="O617" s="57"/>
      <c r="P617" s="57"/>
      <c r="AO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 hidden="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 hidden="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 hidden="1">
      <c r="O620" s="57"/>
      <c r="P620" s="57"/>
      <c r="AO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 hidden="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 hidden="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 hidden="1">
      <c r="O623" s="57"/>
      <c r="P623" s="57"/>
      <c r="AO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 hidden="1">
      <c r="O624" s="57"/>
      <c r="P624" s="57"/>
      <c r="AO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 hidden="1">
      <c r="O625" s="57"/>
      <c r="P625" s="57"/>
      <c r="AO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 hidden="1">
      <c r="O626" s="57"/>
      <c r="P626" s="57"/>
      <c r="AO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 hidden="1">
      <c r="O627" s="57"/>
      <c r="P627" s="57"/>
      <c r="AO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 hidden="1">
      <c r="O628" s="57"/>
      <c r="P628" s="57"/>
      <c r="AO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 hidden="1">
      <c r="O629" s="57"/>
      <c r="P629" s="57"/>
      <c r="AO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 hidden="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 hidden="1">
      <c r="O631" s="57"/>
      <c r="P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 hidden="1">
      <c r="O632" s="57"/>
      <c r="P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 hidden="1">
      <c r="O633" s="57"/>
      <c r="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 hidden="1">
      <c r="O634" s="57"/>
      <c r="P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 hidden="1">
      <c r="O635" s="57"/>
      <c r="P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 hidden="1">
      <c r="O636" s="57"/>
      <c r="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 hidden="1">
      <c r="O637" s="57"/>
      <c r="P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 hidden="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 hidden="1">
      <c r="O639" s="57"/>
      <c r="P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 hidden="1">
      <c r="O640" s="57"/>
      <c r="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 hidden="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 hidden="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 hidden="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 hidden="1">
      <c r="O644" s="57"/>
      <c r="P644" s="57"/>
      <c r="AO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 hidden="1">
      <c r="O645" s="57"/>
      <c r="P645" s="57"/>
      <c r="AO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 hidden="1">
      <c r="O646" s="57"/>
      <c r="P646" s="57"/>
      <c r="AO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 hidden="1">
      <c r="O647" s="57"/>
      <c r="P647" s="57"/>
      <c r="A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 hidden="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 hidden="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 hidden="1">
      <c r="O650" s="57"/>
      <c r="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 hidden="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 hidden="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 hidden="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 hidden="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 hidden="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 hidden="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 hidden="1">
      <c r="O657" s="57"/>
      <c r="P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 hidden="1">
      <c r="O658" s="57"/>
      <c r="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 hidden="1">
      <c r="O659" s="57"/>
      <c r="P659" s="57"/>
      <c r="A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 hidden="1">
      <c r="O660" s="57"/>
      <c r="P660" s="57"/>
      <c r="A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 hidden="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 hidden="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 hidden="1">
      <c r="O663" s="57"/>
      <c r="P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 hidden="1">
      <c r="O664" s="57"/>
      <c r="P664" s="57"/>
      <c r="AO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 hidden="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 hidden="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 hidden="1">
      <c r="O667" s="57"/>
      <c r="P667" s="57"/>
      <c r="AO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 hidden="1">
      <c r="O668" s="57"/>
      <c r="P668" s="57"/>
      <c r="AO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 hidden="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 hidden="1">
      <c r="O670" s="57"/>
      <c r="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 hidden="1">
      <c r="O671" s="57"/>
      <c r="P671" s="57"/>
      <c r="AO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 hidden="1">
      <c r="O672" s="57"/>
      <c r="P672" s="57"/>
      <c r="AO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 hidden="1">
      <c r="O673" s="57"/>
      <c r="P673" s="57"/>
      <c r="AO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 hidden="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 hidden="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 hidden="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 hidden="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 hidden="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 hidden="1">
      <c r="O679" s="57"/>
      <c r="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 hidden="1">
      <c r="O680" s="57"/>
      <c r="P680" s="57"/>
      <c r="AO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 hidden="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 hidden="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 hidden="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 hidden="1">
      <c r="O684" s="57"/>
      <c r="P684" s="57"/>
      <c r="AO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 hidden="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 hidden="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 hidden="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 hidden="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 hidden="1">
      <c r="O689" s="57"/>
      <c r="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 hidden="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 hidden="1">
      <c r="O691" s="57"/>
      <c r="P691" s="57"/>
      <c r="A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 hidden="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 hidden="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 hidden="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 hidden="1">
      <c r="O695" s="57"/>
      <c r="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 hidden="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 hidden="1">
      <c r="O697" s="57"/>
      <c r="P697" s="57"/>
      <c r="AO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 hidden="1">
      <c r="O698" s="57"/>
      <c r="P698" s="57"/>
      <c r="AO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 hidden="1">
      <c r="O699" s="57"/>
      <c r="P699" s="57"/>
      <c r="AO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 hidden="1">
      <c r="O700" s="57"/>
      <c r="P700" s="57"/>
      <c r="AO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 hidden="1">
      <c r="O701" s="57"/>
      <c r="P701" s="57"/>
      <c r="A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 hidden="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 hidden="1">
      <c r="O703" s="57"/>
      <c r="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 hidden="1">
      <c r="O704" s="57"/>
      <c r="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 hidden="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 hidden="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 hidden="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 hidden="1">
      <c r="O708" s="57"/>
      <c r="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 hidden="1">
      <c r="O709" s="57"/>
      <c r="P709" s="57"/>
      <c r="A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 hidden="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 hidden="1">
      <c r="O711" s="57"/>
      <c r="P711" s="57"/>
      <c r="AO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 hidden="1">
      <c r="O712" s="57"/>
      <c r="P712" s="57"/>
      <c r="AO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 hidden="1">
      <c r="O713" s="57"/>
      <c r="P713" s="57"/>
      <c r="AO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 hidden="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 hidden="1">
      <c r="O715" s="57"/>
      <c r="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 hidden="1">
      <c r="O716" s="57"/>
      <c r="P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 hidden="1">
      <c r="O717" s="57"/>
      <c r="P717" s="57"/>
      <c r="AO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 hidden="1">
      <c r="O718" s="57"/>
      <c r="P718" s="57"/>
      <c r="AO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 hidden="1">
      <c r="O719" s="57"/>
      <c r="P719" s="57"/>
      <c r="AO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 hidden="1">
      <c r="O720" s="57"/>
      <c r="P720" s="57"/>
      <c r="AO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 hidden="1">
      <c r="O721" s="57"/>
      <c r="P721" s="57"/>
      <c r="AO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 hidden="1">
      <c r="O722" s="57"/>
      <c r="P722" s="57"/>
      <c r="AO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 hidden="1">
      <c r="O723" s="57"/>
      <c r="P723" s="57"/>
      <c r="AO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 hidden="1">
      <c r="O724" s="57"/>
      <c r="P724" s="57"/>
      <c r="AO724" s="57"/>
      <c r="A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 hidden="1">
      <c r="O725" s="57"/>
      <c r="P725" s="57"/>
      <c r="AO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 hidden="1">
      <c r="O726" s="57"/>
      <c r="P726" s="57"/>
      <c r="A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 hidden="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 hidden="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 hidden="1">
      <c r="O729" s="57"/>
      <c r="P729" s="57"/>
      <c r="A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 hidden="1">
      <c r="O730" s="57"/>
      <c r="P730" s="57"/>
      <c r="A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 hidden="1">
      <c r="O731" s="57"/>
      <c r="P731" s="57"/>
      <c r="A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 hidden="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 hidden="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 hidden="1">
      <c r="O734" s="57"/>
      <c r="P734" s="57"/>
      <c r="A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 hidden="1">
      <c r="O735" s="57"/>
      <c r="P735" s="57"/>
      <c r="A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 hidden="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 hidden="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 hidden="1">
      <c r="O738" s="57"/>
      <c r="P738" s="57"/>
      <c r="A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 hidden="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 hidden="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 hidden="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 hidden="1">
      <c r="O742" s="57"/>
      <c r="P742" s="57"/>
      <c r="AO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 hidden="1">
      <c r="O743" s="57"/>
      <c r="P743" s="57"/>
      <c r="A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 hidden="1">
      <c r="O744" s="57"/>
      <c r="P744" s="57"/>
      <c r="AO744" s="57"/>
      <c r="A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 hidden="1">
      <c r="O745" s="57"/>
      <c r="P745" s="57"/>
      <c r="AO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 hidden="1">
      <c r="O746" s="57"/>
      <c r="P746" s="57"/>
      <c r="AO746" s="57"/>
      <c r="A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 hidden="1">
      <c r="O747" s="57"/>
      <c r="P747" s="57"/>
      <c r="AO747" s="57"/>
      <c r="A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 hidden="1">
      <c r="O748" s="57"/>
      <c r="P748" s="57"/>
      <c r="AO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 hidden="1">
      <c r="O749" s="57"/>
      <c r="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 hidden="1">
      <c r="O750" s="57"/>
      <c r="P750" s="57"/>
      <c r="A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 hidden="1">
      <c r="O751" s="57"/>
      <c r="P751" s="57"/>
      <c r="A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 hidden="1">
      <c r="O752" s="57"/>
      <c r="P752" s="57"/>
      <c r="A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 hidden="1">
      <c r="O753" s="57"/>
      <c r="P753" s="57"/>
      <c r="A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 hidden="1">
      <c r="O754" s="57"/>
      <c r="P754" s="57"/>
      <c r="A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 hidden="1">
      <c r="O755" s="57"/>
      <c r="P755" s="57"/>
      <c r="A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 hidden="1">
      <c r="O756" s="57"/>
      <c r="P756" s="57"/>
      <c r="A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 hidden="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 hidden="1">
      <c r="O758" s="57"/>
      <c r="P758" s="57"/>
      <c r="A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 hidden="1">
      <c r="O759" s="57"/>
      <c r="P759" s="57"/>
      <c r="A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 hidden="1">
      <c r="O760" s="57"/>
      <c r="P760" s="57"/>
      <c r="AO760" s="57"/>
      <c r="A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 hidden="1">
      <c r="O761" s="57"/>
      <c r="P761" s="57"/>
      <c r="AO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 hidden="1">
      <c r="O762" s="57"/>
      <c r="P762" s="57"/>
      <c r="AO762" s="57"/>
      <c r="A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 hidden="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 hidden="1">
      <c r="O764" s="57"/>
      <c r="P764" s="57"/>
      <c r="AO764" s="57"/>
      <c r="A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 hidden="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 hidden="1">
      <c r="O766" s="57"/>
      <c r="P766" s="57"/>
      <c r="AO766" s="57"/>
      <c r="A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 hidden="1">
      <c r="O767" s="57"/>
      <c r="P767" s="57"/>
      <c r="AO767" s="57"/>
      <c r="A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 hidden="1">
      <c r="O768" s="57"/>
      <c r="P768" s="57"/>
      <c r="A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 hidden="1">
      <c r="O769" s="57"/>
      <c r="P769" s="57"/>
      <c r="A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 hidden="1">
      <c r="O770" s="57"/>
      <c r="P770" s="57"/>
      <c r="AO770" s="57"/>
      <c r="A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 hidden="1">
      <c r="O771" s="57"/>
      <c r="P771" s="57"/>
      <c r="AO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 hidden="1">
      <c r="O772" s="57"/>
      <c r="P772" s="57"/>
      <c r="AO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 hidden="1">
      <c r="O773" s="57"/>
      <c r="P773" s="57"/>
      <c r="AO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 hidden="1">
      <c r="O774" s="57"/>
      <c r="P774" s="57"/>
      <c r="A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 hidden="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 hidden="1">
      <c r="O776" s="57"/>
      <c r="P776" s="57"/>
      <c r="A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 hidden="1">
      <c r="O777" s="57"/>
      <c r="P777" s="57"/>
      <c r="AO777" s="57"/>
      <c r="A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 hidden="1">
      <c r="O778" s="57"/>
      <c r="P778" s="57"/>
      <c r="AO778" s="57"/>
      <c r="A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 hidden="1">
      <c r="O779" s="57"/>
      <c r="P779" s="57"/>
      <c r="A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 hidden="1">
      <c r="O780" s="57"/>
      <c r="P780" s="57"/>
      <c r="A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 hidden="1">
      <c r="O781" s="57"/>
      <c r="P781" s="57"/>
      <c r="A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 hidden="1">
      <c r="O782" s="57"/>
      <c r="P782" s="57"/>
      <c r="A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 hidden="1">
      <c r="O783" s="57"/>
      <c r="P783" s="57"/>
      <c r="A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 hidden="1">
      <c r="O784" s="57"/>
      <c r="P784" s="57"/>
      <c r="A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 hidden="1">
      <c r="O785" s="57"/>
      <c r="P785" s="57"/>
      <c r="A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 hidden="1">
      <c r="O786" s="57"/>
      <c r="P786" s="57"/>
      <c r="A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 hidden="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 hidden="1">
      <c r="O788" s="57"/>
      <c r="P788" s="57"/>
      <c r="A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 hidden="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 hidden="1">
      <c r="O790" s="57"/>
      <c r="P790" s="57"/>
      <c r="A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 hidden="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 hidden="1">
      <c r="O792" s="57"/>
      <c r="P792" s="57"/>
      <c r="A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 hidden="1">
      <c r="O793" s="57"/>
      <c r="P793" s="57"/>
      <c r="AO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 hidden="1">
      <c r="O794" s="57"/>
      <c r="P794" s="57"/>
      <c r="A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 hidden="1">
      <c r="O795" s="57"/>
      <c r="P795" s="57"/>
      <c r="AO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 hidden="1">
      <c r="O796" s="57"/>
      <c r="P796" s="57"/>
      <c r="AO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 hidden="1">
      <c r="O797" s="57"/>
      <c r="P797" s="57"/>
      <c r="AO797" s="57"/>
      <c r="A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 hidden="1">
      <c r="O798" s="57"/>
      <c r="P798" s="57"/>
      <c r="AO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 hidden="1">
      <c r="O799" s="57"/>
      <c r="P799" s="57"/>
      <c r="AO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 hidden="1">
      <c r="O800" s="57"/>
      <c r="P800" s="57"/>
      <c r="A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 hidden="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 hidden="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 hidden="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 hidden="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 hidden="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 hidden="1">
      <c r="O806" s="57"/>
      <c r="P806" s="57"/>
      <c r="AO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 hidden="1">
      <c r="O807" s="57"/>
      <c r="P807" s="57"/>
      <c r="AO807" s="57"/>
      <c r="A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 hidden="1">
      <c r="O808" s="57"/>
      <c r="P808" s="57"/>
      <c r="AO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 hidden="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 hidden="1">
      <c r="O810" s="57"/>
      <c r="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 hidden="1">
      <c r="O811" s="57"/>
      <c r="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 hidden="1">
      <c r="O812" s="57"/>
      <c r="P812" s="57"/>
      <c r="AM812" s="58"/>
      <c r="AO812" s="57"/>
      <c r="BA812" s="57"/>
      <c r="BB812" s="58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 hidden="1">
      <c r="O813" s="57"/>
      <c r="P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 hidden="1">
      <c r="O814" s="57"/>
      <c r="P814" s="57"/>
      <c r="AO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 hidden="1">
      <c r="O815" s="57"/>
      <c r="P815" s="57"/>
      <c r="AO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 hidden="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 hidden="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 hidden="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 hidden="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 hidden="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 hidden="1">
      <c r="O821" s="57"/>
      <c r="P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 hidden="1">
      <c r="O822" s="57"/>
      <c r="P822" s="57"/>
      <c r="AO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 hidden="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 hidden="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 hidden="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 hidden="1">
      <c r="O826" s="57"/>
      <c r="P826" s="57"/>
      <c r="A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 hidden="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 hidden="1">
      <c r="O828" s="57"/>
      <c r="P828" s="57"/>
      <c r="AO828" s="57"/>
      <c r="A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 hidden="1">
      <c r="O829" s="57"/>
      <c r="P829" s="57"/>
      <c r="AO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 hidden="1">
      <c r="O830" s="57"/>
      <c r="P830" s="57"/>
      <c r="AO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 hidden="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 hidden="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 hidden="1">
      <c r="O833" s="57"/>
      <c r="P833" s="57"/>
      <c r="A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 hidden="1">
      <c r="O834" s="57"/>
      <c r="P834" s="57"/>
      <c r="AO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 hidden="1">
      <c r="O835" s="57"/>
      <c r="P835" s="57"/>
      <c r="AO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 hidden="1">
      <c r="O836" s="57"/>
      <c r="P836" s="57"/>
      <c r="A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 hidden="1">
      <c r="O837" s="57"/>
      <c r="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 hidden="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 hidden="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 hidden="1">
      <c r="O840" s="57"/>
      <c r="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 hidden="1">
      <c r="O841" s="57"/>
      <c r="P841" s="57"/>
      <c r="AO841" s="57"/>
      <c r="A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 hidden="1">
      <c r="O842" s="57"/>
      <c r="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 hidden="1">
      <c r="O843" s="57"/>
      <c r="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 hidden="1">
      <c r="O844" s="57"/>
      <c r="P844" s="57"/>
      <c r="A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 hidden="1">
      <c r="O845" s="57"/>
      <c r="P845" s="57"/>
      <c r="A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 hidden="1">
      <c r="O846" s="57"/>
      <c r="P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 hidden="1">
      <c r="O847" s="57"/>
      <c r="P847" s="57"/>
      <c r="A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 hidden="1">
      <c r="O848" s="57"/>
      <c r="P848" s="57"/>
      <c r="A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 hidden="1">
      <c r="O849" s="57"/>
      <c r="P849" s="57"/>
      <c r="AO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 hidden="1">
      <c r="O850" s="57"/>
      <c r="P850" s="57"/>
      <c r="AO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 hidden="1">
      <c r="O851" s="57"/>
      <c r="P851" s="57"/>
      <c r="AO851" s="57"/>
      <c r="A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 hidden="1">
      <c r="O852" s="57"/>
      <c r="P852" s="57"/>
      <c r="AO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 hidden="1">
      <c r="O853" s="57"/>
      <c r="P853" s="57"/>
      <c r="AO853" s="57"/>
      <c r="A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 hidden="1">
      <c r="O854" s="57"/>
      <c r="P854" s="57"/>
      <c r="AO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 hidden="1">
      <c r="O855" s="57"/>
      <c r="P855" s="57"/>
      <c r="AO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 hidden="1">
      <c r="O856" s="57"/>
      <c r="P856" s="57"/>
      <c r="AO856" s="57"/>
      <c r="A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 hidden="1">
      <c r="O857" s="57"/>
      <c r="P857" s="57"/>
      <c r="AO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 hidden="1">
      <c r="O858" s="57"/>
      <c r="P858" s="57"/>
      <c r="AO858" s="57"/>
      <c r="A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 hidden="1">
      <c r="O859" s="57"/>
      <c r="P859" s="57"/>
      <c r="AO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 hidden="1">
      <c r="O860" s="57"/>
      <c r="P860" s="57"/>
      <c r="AO860" s="57"/>
      <c r="A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 hidden="1">
      <c r="O861" s="57"/>
      <c r="P861" s="57"/>
      <c r="AO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 hidden="1">
      <c r="O862" s="57"/>
      <c r="P862" s="57"/>
      <c r="AO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 hidden="1">
      <c r="O863" s="57"/>
      <c r="P863" s="57"/>
      <c r="AO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 hidden="1">
      <c r="O864" s="57"/>
      <c r="P864" s="57"/>
      <c r="AO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 hidden="1">
      <c r="O865" s="57"/>
      <c r="P865" s="57"/>
      <c r="AO865" s="57"/>
      <c r="A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 hidden="1">
      <c r="O866" s="57"/>
      <c r="P866" s="57"/>
      <c r="AO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 hidden="1">
      <c r="O867" s="57"/>
      <c r="P867" s="57"/>
      <c r="AO867" s="57"/>
      <c r="A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 hidden="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 hidden="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 hidden="1">
      <c r="O870" s="57"/>
      <c r="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 hidden="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 hidden="1">
      <c r="O872" s="57"/>
      <c r="P872" s="57"/>
      <c r="A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 hidden="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 hidden="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 hidden="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 hidden="1">
      <c r="O876" s="57"/>
      <c r="P876" s="57"/>
      <c r="A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 hidden="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 hidden="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 hidden="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 hidden="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 hidden="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 hidden="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 hidden="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 hidden="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 hidden="1">
      <c r="O885" s="57"/>
      <c r="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 hidden="1">
      <c r="O886" s="57"/>
      <c r="P886" s="57"/>
      <c r="A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 hidden="1">
      <c r="O887" s="57"/>
      <c r="P887" s="57"/>
      <c r="A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 hidden="1">
      <c r="O888" s="57"/>
      <c r="P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 hidden="1">
      <c r="O889" s="57"/>
      <c r="P889" s="57"/>
      <c r="AO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 hidden="1">
      <c r="O890" s="57"/>
      <c r="P890" s="57"/>
      <c r="AO890" s="57"/>
      <c r="A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 hidden="1">
      <c r="O891" s="57"/>
      <c r="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 hidden="1">
      <c r="O892" s="57"/>
      <c r="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 hidden="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 hidden="1">
      <c r="O894" s="57"/>
      <c r="P894" s="57"/>
      <c r="AO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 hidden="1">
      <c r="O895" s="57"/>
      <c r="P895" s="57"/>
      <c r="AO895" s="57"/>
      <c r="A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 hidden="1">
      <c r="O896" s="57"/>
      <c r="P896" s="57"/>
      <c r="AO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 hidden="1">
      <c r="O897" s="57"/>
      <c r="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 hidden="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 hidden="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 hidden="1">
      <c r="O900" s="57"/>
      <c r="P900" s="57"/>
      <c r="AO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 hidden="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 hidden="1">
      <c r="O902" s="57"/>
      <c r="P902" s="57"/>
      <c r="AO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 hidden="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 hidden="1">
      <c r="O904" s="57"/>
      <c r="P904" s="57"/>
      <c r="AO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 hidden="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 hidden="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 hidden="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 hidden="1">
      <c r="O908" s="57"/>
      <c r="P908" s="57"/>
      <c r="AO908" s="57"/>
      <c r="A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 hidden="1">
      <c r="O909" s="57"/>
      <c r="P909" s="57"/>
      <c r="AO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 hidden="1">
      <c r="O910" s="57"/>
      <c r="P910" s="57"/>
      <c r="AO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 hidden="1">
      <c r="O911" s="57"/>
      <c r="P911" s="57"/>
      <c r="AO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 hidden="1">
      <c r="O912" s="57"/>
      <c r="P912" s="57"/>
      <c r="AO912" s="57"/>
      <c r="A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 hidden="1">
      <c r="O913" s="57"/>
      <c r="P913" s="57"/>
      <c r="AO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 hidden="1">
      <c r="O914" s="57"/>
      <c r="P914" s="57"/>
      <c r="AO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 hidden="1">
      <c r="O915" s="57"/>
      <c r="P915" s="57"/>
      <c r="AO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 hidden="1">
      <c r="O916" s="57"/>
      <c r="P916" s="57"/>
      <c r="AO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 hidden="1">
      <c r="O917" s="57"/>
      <c r="P917" s="57"/>
      <c r="AO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 hidden="1">
      <c r="O918" s="57"/>
      <c r="P918" s="57"/>
      <c r="AO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 hidden="1">
      <c r="O919" s="57"/>
      <c r="P919" s="57"/>
      <c r="AO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 hidden="1">
      <c r="O920" s="57"/>
      <c r="P920" s="57"/>
      <c r="AO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 hidden="1">
      <c r="O921" s="57"/>
      <c r="P921" s="57"/>
      <c r="AO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 hidden="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 hidden="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 hidden="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 hidden="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 hidden="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 hidden="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 hidden="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 hidden="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 hidden="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 hidden="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 hidden="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 hidden="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 hidden="1">
      <c r="O934" s="57"/>
      <c r="P934" s="57"/>
      <c r="AM934" s="58"/>
      <c r="BA934" s="57"/>
      <c r="BB934" s="58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 hidden="1">
      <c r="O935" s="57"/>
      <c r="P935" s="57"/>
      <c r="AO935" s="57"/>
      <c r="A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 hidden="1">
      <c r="O936" s="57"/>
      <c r="P936" s="57"/>
      <c r="AO936" s="57"/>
      <c r="A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 hidden="1">
      <c r="O937" s="57"/>
      <c r="P937" s="57"/>
      <c r="AO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 hidden="1">
      <c r="O938" s="57"/>
      <c r="P938" s="57"/>
      <c r="AO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 hidden="1">
      <c r="O939" s="57"/>
      <c r="P939" s="57"/>
      <c r="AO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 hidden="1">
      <c r="O940" s="57"/>
      <c r="P940" s="57"/>
      <c r="AO940" s="57"/>
      <c r="A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 hidden="1">
      <c r="O941" s="57"/>
      <c r="P941" s="57"/>
      <c r="AO941" s="57"/>
      <c r="A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 hidden="1">
      <c r="O942" s="57"/>
      <c r="P942" s="57"/>
      <c r="AO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 hidden="1">
      <c r="O943" s="57"/>
      <c r="P943" s="57"/>
      <c r="AO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 hidden="1">
      <c r="O944" s="57"/>
      <c r="P944" s="57"/>
      <c r="AO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 hidden="1">
      <c r="O945" s="57"/>
      <c r="P945" s="57"/>
      <c r="AO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 hidden="1">
      <c r="O946" s="57"/>
      <c r="P946" s="57"/>
      <c r="A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 hidden="1">
      <c r="O947" s="57"/>
      <c r="P947" s="57"/>
      <c r="A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 hidden="1">
      <c r="O948" s="57"/>
      <c r="P948" s="57"/>
      <c r="AO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 hidden="1">
      <c r="O949" s="57"/>
      <c r="P949" s="57"/>
      <c r="AO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 hidden="1">
      <c r="O950" s="57"/>
      <c r="P950" s="57"/>
      <c r="AO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 hidden="1">
      <c r="O951" s="57"/>
      <c r="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 hidden="1">
      <c r="O952" s="57"/>
      <c r="P952" s="57"/>
      <c r="A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 hidden="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 hidden="1">
      <c r="O954" s="57"/>
      <c r="P954" s="57"/>
      <c r="AO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 hidden="1">
      <c r="O955" s="57"/>
      <c r="P955" s="57"/>
      <c r="AO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 hidden="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 hidden="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 hidden="1">
      <c r="O958" s="57"/>
      <c r="P958" s="57"/>
      <c r="AO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 hidden="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 hidden="1">
      <c r="O960" s="57"/>
      <c r="P960" s="57"/>
      <c r="AO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 hidden="1">
      <c r="O961" s="57"/>
      <c r="P961" s="57"/>
      <c r="AO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 hidden="1">
      <c r="O962" s="57"/>
      <c r="P962" s="57"/>
      <c r="AO962" s="57"/>
      <c r="A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 hidden="1">
      <c r="O963" s="57"/>
      <c r="P963" s="57"/>
      <c r="A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 hidden="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 hidden="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 hidden="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 hidden="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 hidden="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 hidden="1">
      <c r="O969" s="57"/>
      <c r="P969" s="57"/>
      <c r="A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 hidden="1">
      <c r="O970" s="57"/>
      <c r="P970" s="57"/>
      <c r="A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 hidden="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 hidden="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 hidden="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 hidden="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 hidden="1">
      <c r="O975" s="57"/>
      <c r="P975" s="57"/>
      <c r="AO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 hidden="1">
      <c r="O976" s="57"/>
      <c r="P976" s="57"/>
      <c r="AO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 hidden="1">
      <c r="O977" s="57"/>
      <c r="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 hidden="1">
      <c r="O978" s="57"/>
      <c r="P978" s="57"/>
      <c r="A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 hidden="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 hidden="1">
      <c r="O980" s="57"/>
      <c r="P980" s="57"/>
      <c r="AO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 hidden="1">
      <c r="O981" s="57"/>
      <c r="P981" s="57"/>
      <c r="AO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 hidden="1">
      <c r="O982" s="57"/>
      <c r="P982" s="57"/>
      <c r="AO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 hidden="1">
      <c r="O983" s="57"/>
      <c r="P983" s="57"/>
      <c r="AO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 hidden="1">
      <c r="O984" s="57"/>
      <c r="P984" s="57"/>
      <c r="AO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 hidden="1">
      <c r="O985" s="57"/>
      <c r="P985" s="57"/>
      <c r="AO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 hidden="1">
      <c r="O986" s="57"/>
      <c r="P986" s="57"/>
      <c r="AO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 hidden="1">
      <c r="O987" s="57"/>
      <c r="P987" s="57"/>
      <c r="AO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 hidden="1">
      <c r="O988" s="57"/>
      <c r="P988" s="57"/>
      <c r="AO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 hidden="1">
      <c r="O989" s="57"/>
      <c r="P989" s="57"/>
      <c r="AO989" s="57"/>
      <c r="A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 hidden="1">
      <c r="O990" s="57"/>
      <c r="P990" s="57"/>
      <c r="AO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 hidden="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 hidden="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 hidden="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 hidden="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 hidden="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 hidden="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 hidden="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 hidden="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 hidden="1">
      <c r="O999" s="57"/>
      <c r="P999" s="57"/>
      <c r="A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 hidden="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 hidden="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 hidden="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 hidden="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 hidden="1">
      <c r="O1004" s="57"/>
      <c r="P1004" s="57"/>
      <c r="AO1004" s="57"/>
      <c r="A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 hidden="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 hidden="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 hidden="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 hidden="1">
      <c r="O1008" s="57"/>
      <c r="P1008" s="57"/>
      <c r="AO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 hidden="1">
      <c r="O1009" s="57"/>
      <c r="P1009" s="57"/>
      <c r="AO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 hidden="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 hidden="1">
      <c r="O1011" s="57"/>
      <c r="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 hidden="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 hidden="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 hidden="1">
      <c r="O1014" s="57"/>
      <c r="P1014" s="57"/>
      <c r="AO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 hidden="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 hidden="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 hidden="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 hidden="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 hidden="1">
      <c r="O1019" s="57"/>
      <c r="P1019" s="57"/>
      <c r="AO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 hidden="1">
      <c r="O1020" s="57"/>
      <c r="P1020" s="57"/>
      <c r="AO1020" s="57"/>
      <c r="A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 hidden="1">
      <c r="O1021" s="57"/>
      <c r="P1021" s="57"/>
      <c r="AO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 hidden="1">
      <c r="O1022" s="57"/>
      <c r="P1022" s="57"/>
      <c r="AO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 hidden="1">
      <c r="O1023" s="57"/>
      <c r="P1023" s="57"/>
      <c r="AO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 hidden="1">
      <c r="O1024" s="57"/>
      <c r="P1024" s="57"/>
      <c r="AO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 hidden="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 hidden="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 hidden="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 hidden="1">
      <c r="O1028" s="57"/>
      <c r="P1028" s="57"/>
      <c r="AO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 hidden="1">
      <c r="O1029" s="57"/>
      <c r="P1029" s="57"/>
      <c r="AO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 hidden="1">
      <c r="O1030" s="57"/>
      <c r="P1030" s="57"/>
      <c r="AO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 hidden="1">
      <c r="O1031" s="57"/>
      <c r="P1031" s="57"/>
      <c r="AO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 hidden="1">
      <c r="O1032" s="57"/>
      <c r="P1032" s="57"/>
      <c r="AO1032" s="57"/>
      <c r="A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 hidden="1">
      <c r="O1033" s="57"/>
      <c r="P1033" s="57"/>
      <c r="AO1033" s="57"/>
      <c r="A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 hidden="1">
      <c r="O1034" s="57"/>
      <c r="P1034" s="57"/>
      <c r="AO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 hidden="1">
      <c r="O1035" s="57"/>
      <c r="P1035" s="57"/>
      <c r="AO1035" s="57"/>
      <c r="A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 hidden="1">
      <c r="O1036" s="57"/>
      <c r="P1036" s="57"/>
      <c r="AO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 hidden="1">
      <c r="O1037" s="57"/>
      <c r="P1037" s="57"/>
      <c r="AO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 hidden="1">
      <c r="O1038" s="57"/>
      <c r="P1038" s="57"/>
      <c r="AO1038" s="57"/>
      <c r="A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 hidden="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 hidden="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 hidden="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 hidden="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 hidden="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 hidden="1">
      <c r="O1044" s="57"/>
      <c r="P1044" s="57"/>
      <c r="A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 hidden="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 hidden="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 hidden="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 hidden="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 hidden="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 hidden="1">
      <c r="O1050" s="57"/>
      <c r="P1050" s="57"/>
      <c r="A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 hidden="1">
      <c r="O1051" s="57"/>
      <c r="P1051" s="57"/>
      <c r="A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 hidden="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 hidden="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 hidden="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 hidden="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 hidden="1">
      <c r="O1056" s="57"/>
      <c r="P1056" s="57"/>
      <c r="AO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 hidden="1">
      <c r="O1057" s="57"/>
      <c r="P1057" s="57"/>
      <c r="AO1057" s="57"/>
      <c r="A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 hidden="1">
      <c r="O1058" s="57"/>
      <c r="P1058" s="57"/>
      <c r="AO1058" s="57"/>
      <c r="A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 hidden="1">
      <c r="O1059" s="57"/>
      <c r="P1059" s="57"/>
      <c r="AO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 hidden="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 hidden="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 hidden="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 hidden="1">
      <c r="O1063" s="57"/>
      <c r="P1063" s="57"/>
      <c r="AO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 hidden="1">
      <c r="O1064" s="57"/>
      <c r="P1064" s="57"/>
      <c r="AO1064" s="57"/>
      <c r="A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 hidden="1">
      <c r="O1065" s="57"/>
      <c r="P1065" s="57"/>
      <c r="AO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 hidden="1">
      <c r="O1066" s="57"/>
      <c r="P1066" s="57"/>
      <c r="AO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 hidden="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 hidden="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 hidden="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 hidden="1">
      <c r="O1070" s="57"/>
      <c r="P1070" s="57"/>
      <c r="A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 hidden="1">
      <c r="O1071" s="57"/>
      <c r="P1071" s="57"/>
      <c r="AO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 hidden="1">
      <c r="O1072" s="57"/>
      <c r="P1072" s="57"/>
      <c r="AO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 hidden="1">
      <c r="O1073" s="57"/>
      <c r="P1073" s="57"/>
      <c r="AO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 hidden="1">
      <c r="O1074" s="57"/>
      <c r="P1074" s="57"/>
      <c r="AO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 hidden="1">
      <c r="O1075" s="57"/>
      <c r="P1075" s="57"/>
      <c r="AO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 hidden="1">
      <c r="O1076" s="57"/>
      <c r="P1076" s="57"/>
      <c r="AO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 hidden="1">
      <c r="O1077" s="57"/>
      <c r="P1077" s="57"/>
      <c r="AO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 hidden="1">
      <c r="O1078" s="57"/>
      <c r="P1078" s="57"/>
      <c r="AO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 hidden="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 hidden="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 hidden="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 hidden="1">
      <c r="O1082" s="57"/>
      <c r="P1082" s="57"/>
      <c r="A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 hidden="1">
      <c r="O1083" s="57"/>
      <c r="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 hidden="1">
      <c r="O1084" s="57"/>
      <c r="P1084" s="57"/>
      <c r="A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 hidden="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 hidden="1">
      <c r="O1086" s="57"/>
      <c r="P1086" s="57"/>
      <c r="A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 hidden="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 hidden="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 hidden="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 hidden="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 hidden="1">
      <c r="O1091" s="57"/>
      <c r="P1091" s="57"/>
      <c r="A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 hidden="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 hidden="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 hidden="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 hidden="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 hidden="1">
      <c r="O1096" s="57"/>
      <c r="P1096" s="57"/>
      <c r="A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 hidden="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 hidden="1">
      <c r="O1098" s="57"/>
      <c r="P1098" s="57"/>
      <c r="A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 hidden="1">
      <c r="O1099" s="57"/>
      <c r="P1099" s="57"/>
      <c r="AO1099" s="57"/>
      <c r="A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 hidden="1">
      <c r="O1100" s="57"/>
      <c r="P1100" s="57"/>
      <c r="AO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 hidden="1">
      <c r="O1101" s="57"/>
      <c r="P1101" s="57"/>
      <c r="AO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 hidden="1">
      <c r="O1102" s="57"/>
      <c r="P1102" s="57"/>
      <c r="AO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 hidden="1">
      <c r="O1103" s="57"/>
      <c r="P1103" s="57"/>
      <c r="AO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 hidden="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 hidden="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 hidden="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 hidden="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 hidden="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 hidden="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 hidden="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 hidden="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 hidden="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 hidden="1">
      <c r="O1113" s="57"/>
      <c r="P1113" s="57"/>
      <c r="A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 hidden="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 hidden="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 hidden="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 hidden="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 hidden="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 hidden="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 hidden="1">
      <c r="O1120" s="57"/>
      <c r="P1120" s="57"/>
      <c r="AO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 hidden="1">
      <c r="O1121" s="57"/>
      <c r="P1121" s="57"/>
      <c r="AO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 hidden="1">
      <c r="O1122" s="57"/>
      <c r="P1122" s="57"/>
      <c r="AO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 hidden="1">
      <c r="O1123" s="57"/>
      <c r="P1123" s="57"/>
      <c r="A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 hidden="1">
      <c r="O1124" s="57"/>
      <c r="P1124" s="57"/>
      <c r="A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 hidden="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 hidden="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 hidden="1">
      <c r="O1127" s="57"/>
      <c r="P1127" s="57"/>
      <c r="AO1127" s="57"/>
      <c r="A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 hidden="1">
      <c r="O1128" s="57"/>
      <c r="P1128" s="57"/>
      <c r="AO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 hidden="1">
      <c r="O1129" s="57"/>
      <c r="P1129" s="57"/>
      <c r="AO1129" s="57"/>
      <c r="A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 hidden="1">
      <c r="O1130" s="57"/>
      <c r="P1130" s="57"/>
      <c r="AO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 hidden="1">
      <c r="O1131" s="57"/>
      <c r="P1131" s="57"/>
      <c r="AO1131" s="57"/>
      <c r="A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 hidden="1">
      <c r="O1132" s="57"/>
      <c r="P1132" s="57"/>
      <c r="A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 hidden="1">
      <c r="O1133" s="57"/>
      <c r="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 hidden="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 hidden="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 hidden="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 hidden="1">
      <c r="O1137" s="57"/>
      <c r="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 hidden="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 hidden="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 hidden="1">
      <c r="O1140" s="57"/>
      <c r="P1140" s="57"/>
      <c r="A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 hidden="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 hidden="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 hidden="1">
      <c r="O1143" s="57"/>
      <c r="P1143" s="57"/>
      <c r="AO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 hidden="1">
      <c r="O1144" s="57"/>
      <c r="P1144" s="57"/>
      <c r="AO1144" s="57"/>
      <c r="A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 hidden="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 hidden="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 hidden="1">
      <c r="O1147" s="57"/>
      <c r="P1147" s="57"/>
      <c r="AO1147" s="57"/>
      <c r="A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 hidden="1">
      <c r="O1148" s="57"/>
      <c r="P1148" s="57"/>
      <c r="AO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 hidden="1">
      <c r="O1149" s="57"/>
      <c r="P1149" s="57"/>
      <c r="AO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 hidden="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 hidden="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 hidden="1">
      <c r="O1152" s="57"/>
      <c r="P1152" s="57"/>
      <c r="AO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 hidden="1">
      <c r="O1153" s="57"/>
      <c r="P1153" s="57"/>
      <c r="AO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 hidden="1">
      <c r="O1154" s="57"/>
      <c r="P1154" s="57"/>
      <c r="AP1154" s="57"/>
      <c r="BA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 hidden="1">
      <c r="O1155" s="57"/>
      <c r="P1155" s="57"/>
      <c r="AO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 hidden="1">
      <c r="O1156" s="57"/>
      <c r="P1156" s="57"/>
      <c r="AO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 hidden="1">
      <c r="O1157" s="57"/>
      <c r="P1157" s="57"/>
      <c r="AO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 hidden="1">
      <c r="O1158" s="57"/>
      <c r="P1158" s="57"/>
      <c r="AO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 hidden="1">
      <c r="O1159" s="57"/>
      <c r="P1159" s="57"/>
      <c r="AO1159" s="57"/>
      <c r="A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 hidden="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 hidden="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 hidden="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 hidden="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 hidden="1">
      <c r="O1164" s="57"/>
      <c r="P1164" s="57"/>
      <c r="AO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 hidden="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 hidden="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 hidden="1">
      <c r="O1167" s="57"/>
      <c r="P1167" s="57"/>
      <c r="AO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 hidden="1">
      <c r="O1168" s="57"/>
      <c r="P1168" s="57"/>
      <c r="AO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 hidden="1">
      <c r="O1169" s="57"/>
      <c r="P1169" s="57"/>
      <c r="AO1169" s="57"/>
      <c r="A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 hidden="1">
      <c r="O1170" s="57"/>
      <c r="P1170" s="57"/>
      <c r="AO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 hidden="1">
      <c r="O1171" s="57"/>
      <c r="P1171" s="57"/>
      <c r="AO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 hidden="1">
      <c r="O1172" s="57"/>
      <c r="P1172" s="57"/>
      <c r="AO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 hidden="1">
      <c r="O1173" s="57"/>
      <c r="P1173" s="57"/>
      <c r="AO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 hidden="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 hidden="1">
      <c r="O1175" s="57"/>
      <c r="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 hidden="1">
      <c r="O1176" s="57"/>
      <c r="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 hidden="1">
      <c r="O1177" s="57"/>
      <c r="P1177" s="57"/>
      <c r="AO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 hidden="1">
      <c r="O1178" s="57"/>
      <c r="P1178" s="57"/>
      <c r="AO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 hidden="1">
      <c r="O1179" s="57"/>
      <c r="P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 hidden="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 hidden="1">
      <c r="O1181" s="57"/>
      <c r="P1181" s="57"/>
      <c r="AO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 hidden="1">
      <c r="O1182" s="57"/>
      <c r="P1182" s="57"/>
      <c r="AO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 hidden="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 hidden="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 hidden="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 hidden="1">
      <c r="O1186" s="57"/>
      <c r="P1186" s="57"/>
      <c r="AO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 hidden="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 hidden="1">
      <c r="O1188" s="57"/>
      <c r="P1188" s="57"/>
      <c r="A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 hidden="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 hidden="1">
      <c r="O1190" s="57"/>
      <c r="P1190" s="57"/>
      <c r="AO1190" s="57"/>
      <c r="A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 hidden="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 hidden="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 hidden="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 hidden="1">
      <c r="O1194" s="57"/>
      <c r="P1194" s="57"/>
      <c r="AO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 hidden="1">
      <c r="O1195" s="57"/>
      <c r="P1195" s="57"/>
      <c r="AO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 hidden="1">
      <c r="O1196" s="57"/>
      <c r="P1196" s="57"/>
      <c r="AO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 hidden="1">
      <c r="O1197" s="57"/>
      <c r="P1197" s="57"/>
      <c r="AO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 hidden="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 hidden="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 hidden="1">
      <c r="O1200" s="57"/>
      <c r="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 hidden="1">
      <c r="O1201" s="57"/>
      <c r="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 hidden="1">
      <c r="O1202" s="57"/>
      <c r="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 hidden="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 hidden="1">
      <c r="O1204" s="57"/>
      <c r="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 hidden="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 hidden="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 hidden="1">
      <c r="O1207" s="57"/>
      <c r="P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 hidden="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 hidden="1">
      <c r="O1209" s="57"/>
      <c r="P1209" s="57"/>
      <c r="A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 hidden="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 hidden="1">
      <c r="O1211" s="57"/>
      <c r="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 hidden="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 hidden="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 hidden="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 hidden="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 hidden="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 hidden="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 hidden="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 hidden="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 hidden="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 hidden="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 hidden="1">
      <c r="O1222" s="57"/>
      <c r="P1222" s="57"/>
      <c r="AO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 hidden="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 hidden="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 hidden="1">
      <c r="O1225" s="57"/>
      <c r="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 hidden="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 hidden="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 hidden="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 hidden="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 hidden="1">
      <c r="O1230" s="57"/>
      <c r="P1230" s="57"/>
      <c r="AO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 hidden="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 hidden="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 hidden="1">
      <c r="O1233" s="57"/>
      <c r="P1233" s="57"/>
      <c r="AO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 hidden="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 hidden="1">
      <c r="O1235" s="57"/>
      <c r="P1235" s="57"/>
      <c r="AO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 hidden="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 hidden="1">
      <c r="O1237" s="57"/>
      <c r="P1237" s="57"/>
      <c r="AO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 hidden="1">
      <c r="O1238" s="57"/>
      <c r="P1238" s="57"/>
      <c r="AO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 hidden="1">
      <c r="O1239" s="57"/>
      <c r="P1239" s="57"/>
      <c r="AO1239" s="57"/>
      <c r="A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 hidden="1">
      <c r="O1240" s="57"/>
      <c r="P1240" s="57"/>
      <c r="AO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 hidden="1">
      <c r="O1241" s="57"/>
      <c r="P1241" s="57"/>
      <c r="AO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 hidden="1">
      <c r="O1242" s="57"/>
      <c r="P1242" s="57"/>
      <c r="AO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 hidden="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 hidden="1">
      <c r="O1244" s="57"/>
      <c r="P1244" s="57"/>
      <c r="AO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 hidden="1">
      <c r="O1245" s="57"/>
      <c r="P1245" s="57"/>
      <c r="AO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 hidden="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 hidden="1">
      <c r="O1247" s="57"/>
      <c r="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 hidden="1">
      <c r="O1248" s="57"/>
      <c r="P1248" s="57"/>
      <c r="A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 hidden="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 hidden="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 hidden="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 hidden="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 hidden="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 hidden="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 hidden="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 hidden="1">
      <c r="O1256" s="57"/>
      <c r="P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 hidden="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 hidden="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 hidden="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 hidden="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 hidden="1">
      <c r="O1261" s="57"/>
      <c r="P1261" s="57"/>
      <c r="A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 hidden="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 hidden="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 hidden="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 hidden="1">
      <c r="O1265" s="57"/>
      <c r="P1265" s="57"/>
      <c r="AO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 hidden="1">
      <c r="O1266" s="57"/>
      <c r="P1266" s="57"/>
      <c r="AO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 hidden="1">
      <c r="O1267" s="57"/>
      <c r="P1267" s="57"/>
      <c r="AO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 hidden="1">
      <c r="O1268" s="57"/>
      <c r="P1268" s="57"/>
      <c r="A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 hidden="1">
      <c r="O1269" s="57"/>
      <c r="P1269" s="57"/>
      <c r="AO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 hidden="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 hidden="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 hidden="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 hidden="1">
      <c r="O1273" s="57"/>
      <c r="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 hidden="1">
      <c r="O1274" s="57"/>
      <c r="P1274" s="57"/>
      <c r="AO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 hidden="1">
      <c r="O1275" s="57"/>
      <c r="P1275" s="57"/>
      <c r="AO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 hidden="1">
      <c r="O1276" s="57"/>
      <c r="P1276" s="57"/>
      <c r="AO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 hidden="1">
      <c r="O1277" s="57"/>
      <c r="P1277" s="57"/>
      <c r="AO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 hidden="1">
      <c r="O1278" s="57"/>
      <c r="P1278" s="57"/>
      <c r="AO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 hidden="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 hidden="1">
      <c r="O1280" s="57"/>
      <c r="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 hidden="1">
      <c r="O1281" s="57"/>
      <c r="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 hidden="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 hidden="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 hidden="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 hidden="1">
      <c r="O1285" s="57"/>
      <c r="P1285" s="57"/>
      <c r="AO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 hidden="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 hidden="1">
      <c r="O1287" s="57"/>
      <c r="P1287" s="57"/>
      <c r="AO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 hidden="1">
      <c r="O1288" s="57"/>
      <c r="P1288" s="57"/>
      <c r="AO1288" s="57"/>
      <c r="A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 hidden="1">
      <c r="O1289" s="57"/>
      <c r="P1289" s="57"/>
      <c r="AO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 hidden="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 hidden="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 hidden="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 hidden="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 hidden="1">
      <c r="O1294" s="57"/>
      <c r="P1294" s="57"/>
      <c r="AO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 hidden="1">
      <c r="O1295" s="57"/>
      <c r="P1295" s="57"/>
      <c r="AO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 hidden="1">
      <c r="O1296" s="57"/>
      <c r="P1296" s="57"/>
      <c r="AO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 hidden="1">
      <c r="O1297" s="57"/>
      <c r="P1297" s="57"/>
      <c r="AO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 hidden="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 hidden="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 hidden="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 hidden="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 hidden="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 hidden="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 hidden="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 hidden="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 hidden="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 hidden="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 hidden="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 hidden="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 hidden="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 hidden="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 hidden="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 hidden="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 hidden="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 hidden="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 hidden="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 hidden="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 hidden="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 hidden="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 hidden="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 hidden="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 hidden="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 hidden="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 hidden="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 hidden="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 hidden="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 hidden="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 hidden="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 hidden="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 hidden="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 hidden="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 hidden="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 hidden="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 hidden="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 hidden="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 hidden="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 hidden="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 hidden="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 hidden="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 hidden="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 hidden="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 hidden="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 hidden="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 hidden="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 hidden="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 hidden="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 hidden="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 hidden="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 hidden="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 hidden="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 hidden="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 hidden="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 hidden="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 hidden="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 hidden="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 hidden="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 hidden="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 hidden="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 hidden="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 hidden="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 hidden="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 hidden="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 hidden="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 hidden="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 hidden="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 hidden="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 hidden="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 hidden="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 hidden="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 hidden="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 hidden="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 hidden="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 hidden="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 hidden="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 hidden="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 hidden="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 hidden="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 hidden="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 hidden="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 hidden="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 hidden="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 hidden="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 hidden="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 hidden="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 hidden="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 hidden="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 hidden="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 hidden="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 hidden="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 hidden="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 hidden="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 hidden="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 hidden="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 hidden="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 hidden="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 hidden="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 hidden="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 hidden="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 hidden="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 hidden="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 hidden="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 hidden="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 hidden="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 hidden="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 hidden="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 hidden="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 hidden="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 hidden="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 hidden="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 hidden="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 hidden="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 hidden="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 hidden="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 hidden="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 hidden="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 hidden="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 hidden="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 hidden="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 hidden="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 hidden="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 hidden="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 hidden="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 hidden="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 hidden="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 hidden="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 hidden="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 hidden="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 hidden="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 hidden="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 hidden="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 hidden="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 hidden="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 hidden="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 hidden="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 hidden="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 hidden="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 hidden="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 hidden="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 hidden="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 hidden="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 hidden="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 hidden="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 hidden="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 hidden="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 hidden="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 hidden="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 hidden="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 hidden="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 hidden="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 hidden="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 hidden="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 hidden="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 hidden="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 hidden="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 hidden="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 hidden="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 hidden="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 hidden="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 hidden="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 hidden="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 hidden="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 hidden="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 hidden="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 hidden="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 hidden="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 hidden="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 hidden="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 hidden="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 hidden="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 hidden="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 hidden="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 hidden="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 hidden="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 hidden="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 hidden="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 hidden="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 hidden="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 hidden="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 hidden="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 hidden="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 hidden="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 hidden="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 hidden="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 hidden="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 hidden="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 hidden="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 hidden="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 hidden="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 hidden="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 hidden="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 hidden="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 hidden="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 hidden="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 hidden="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 hidden="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 hidden="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 hidden="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 hidden="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 hidden="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 hidden="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 hidden="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 hidden="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 hidden="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 hidden="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 hidden="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 hidden="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 hidden="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 hidden="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 hidden="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 hidden="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 hidden="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 hidden="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 hidden="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 hidden="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 hidden="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 hidden="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 hidden="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 hidden="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 hidden="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 hidden="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 hidden="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 hidden="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 hidden="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 hidden="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 hidden="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 hidden="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 hidden="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 hidden="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 hidden="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 hidden="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 hidden="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 hidden="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 hidden="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 hidden="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 hidden="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 hidden="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 hidden="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 hidden="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 hidden="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 hidden="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 hidden="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 hidden="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 hidden="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 hidden="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 hidden="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 hidden="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 hidden="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 hidden="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 hidden="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 hidden="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 hidden="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 hidden="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 hidden="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 hidden="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 hidden="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 hidden="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 hidden="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 hidden="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 hidden="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 hidden="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 hidden="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 hidden="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 hidden="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 hidden="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 hidden="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 hidden="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 hidden="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 hidden="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 hidden="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 hidden="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 hidden="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 hidden="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 hidden="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 hidden="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 hidden="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 hidden="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 hidden="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 hidden="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 hidden="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 hidden="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 hidden="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 hidden="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 hidden="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 hidden="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 hidden="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 hidden="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 hidden="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 hidden="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 hidden="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 hidden="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 hidden="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 hidden="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 hidden="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 hidden="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 hidden="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 hidden="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 hidden="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 hidden="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 hidden="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 hidden="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 hidden="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 hidden="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 hidden="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 hidden="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 hidden="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 hidden="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 hidden="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 hidden="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 hidden="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 hidden="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 hidden="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 hidden="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 hidden="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 hidden="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 hidden="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 hidden="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 hidden="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 hidden="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 hidden="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 hidden="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 hidden="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 hidden="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 hidden="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 hidden="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 hidden="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 hidden="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 hidden="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 hidden="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 hidden="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 hidden="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 hidden="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 hidden="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 hidden="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 hidden="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 hidden="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 hidden="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 hidden="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 hidden="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 hidden="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 hidden="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 hidden="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 hidden="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 hidden="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 hidden="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 hidden="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 hidden="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 hidden="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 hidden="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 hidden="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 hidden="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 hidden="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 hidden="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 hidden="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 hidden="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 hidden="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 hidden="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 hidden="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 hidden="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 hidden="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 hidden="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 hidden="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 hidden="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 hidden="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 hidden="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 hidden="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 hidden="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 hidden="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 hidden="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 hidden="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 hidden="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 hidden="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 hidden="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 hidden="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 hidden="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 hidden="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 hidden="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 hidden="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 hidden="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 hidden="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 hidden="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 hidden="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 hidden="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 hidden="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 hidden="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 hidden="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 hidden="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 hidden="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 hidden="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 hidden="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 hidden="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 hidden="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 hidden="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 hidden="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 hidden="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 hidden="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 hidden="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 hidden="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 hidden="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 hidden="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 hidden="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 hidden="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 hidden="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 hidden="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 hidden="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 hidden="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 hidden="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 hidden="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 hidden="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 hidden="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 hidden="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 hidden="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 hidden="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 hidden="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 hidden="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 hidden="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 hidden="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 hidden="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 hidden="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 hidden="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 hidden="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 hidden="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 hidden="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 hidden="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 hidden="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 hidden="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 hidden="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 hidden="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 hidden="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 hidden="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 hidden="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 hidden="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 hidden="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 hidden="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 hidden="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 hidden="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 hidden="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 hidden="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 hidden="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 hidden="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 hidden="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 hidden="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 hidden="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 hidden="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 hidden="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 hidden="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 hidden="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 hidden="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 hidden="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 hidden="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 hidden="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 hidden="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 hidden="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 hidden="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 hidden="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 hidden="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 hidden="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 hidden="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 hidden="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 hidden="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 hidden="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 hidden="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 hidden="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 hidden="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 hidden="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 hidden="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 hidden="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 hidden="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 hidden="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 hidden="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 hidden="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 hidden="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 hidden="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 hidden="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 hidden="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 hidden="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 hidden="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 hidden="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 hidden="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 hidden="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 hidden="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 hidden="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 hidden="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 hidden="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 hidden="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 hidden="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 hidden="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 hidden="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 hidden="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 hidden="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 hidden="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 hidden="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 hidden="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 hidden="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 hidden="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 hidden="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 hidden="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 hidden="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 hidden="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 hidden="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 hidden="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 hidden="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 hidden="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 hidden="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 hidden="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 hidden="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 hidden="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 hidden="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 hidden="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 hidden="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 hidden="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 hidden="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 hidden="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 hidden="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 hidden="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 hidden="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 hidden="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 hidden="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 hidden="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 hidden="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 hidden="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 hidden="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 hidden="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 hidden="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 hidden="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 hidden="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 hidden="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 hidden="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 hidden="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 hidden="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 hidden="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 hidden="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 hidden="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 hidden="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 hidden="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 hidden="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 hidden="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 hidden="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 hidden="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 hidden="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 hidden="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 hidden="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 hidden="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 hidden="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 hidden="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 hidden="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 hidden="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 hidden="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 hidden="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 hidden="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 hidden="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 hidden="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 hidden="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 hidden="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 hidden="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 hidden="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 hidden="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 hidden="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 hidden="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 hidden="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 hidden="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 hidden="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 hidden="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 hidden="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 hidden="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 hidden="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 hidden="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 hidden="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 hidden="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 hidden="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 hidden="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 hidden="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 hidden="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 hidden="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 hidden="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 hidden="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 hidden="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 hidden="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 hidden="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 hidden="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 hidden="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 hidden="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 hidden="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 hidden="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 hidden="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 hidden="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 hidden="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 hidden="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 hidden="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 hidden="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 hidden="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 hidden="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 hidden="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 hidden="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 hidden="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 hidden="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 hidden="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 hidden="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 hidden="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 hidden="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 hidden="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 hidden="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 hidden="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 hidden="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 hidden="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 hidden="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 hidden="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 hidden="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 hidden="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 hidden="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 hidden="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 hidden="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 hidden="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 hidden="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 hidden="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 hidden="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 hidden="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 hidden="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 hidden="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 hidden="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 hidden="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 hidden="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 hidden="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 hidden="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 hidden="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 hidden="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 hidden="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 hidden="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 hidden="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 hidden="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 hidden="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 hidden="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 hidden="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 hidden="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 hidden="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 hidden="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 hidden="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 hidden="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 hidden="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 hidden="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 hidden="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 hidden="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 hidden="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 hidden="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 hidden="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 hidden="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 hidden="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 hidden="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 hidden="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 hidden="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 hidden="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 hidden="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 hidden="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 hidden="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 hidden="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 hidden="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 hidden="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 hidden="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 hidden="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 hidden="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 hidden="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 hidden="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 hidden="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 hidden="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 hidden="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 hidden="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 hidden="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 hidden="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 hidden="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 hidden="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 hidden="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 hidden="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 hidden="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 hidden="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 hidden="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 hidden="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 hidden="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 hidden="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 hidden="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 hidden="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 hidden="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 hidden="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 hidden="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 hidden="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 hidden="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 hidden="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 hidden="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 hidden="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 hidden="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 hidden="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 hidden="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 hidden="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 hidden="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 hidden="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 hidden="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 hidden="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 hidden="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 hidden="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 hidden="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 hidden="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 hidden="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 hidden="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 hidden="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 hidden="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 hidden="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 hidden="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 hidden="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 hidden="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 hidden="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 hidden="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 hidden="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 hidden="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 hidden="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 hidden="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 hidden="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 hidden="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 hidden="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 hidden="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 hidden="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 hidden="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 hidden="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 hidden="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 hidden="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 hidden="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 hidden="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 hidden="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 hidden="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 hidden="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 hidden="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 hidden="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 hidden="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 hidden="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 hidden="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 hidden="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 hidden="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 hidden="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 hidden="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 hidden="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 hidden="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 hidden="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 hidden="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 hidden="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 hidden="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 hidden="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 hidden="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 hidden="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 hidden="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 hidden="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 hidden="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 hidden="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 hidden="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 hidden="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 hidden="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 hidden="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 hidden="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 hidden="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 hidden="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 hidden="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 hidden="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 hidden="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 hidden="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 hidden="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 hidden="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 hidden="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 hidden="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 hidden="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 hidden="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 hidden="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 hidden="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 hidden="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 hidden="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 hidden="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 hidden="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 hidden="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 hidden="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 hidden="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 hidden="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 hidden="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 hidden="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 hidden="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 hidden="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 hidden="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 hidden="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 hidden="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 hidden="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 hidden="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 hidden="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 hidden="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 hidden="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 hidden="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 hidden="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 hidden="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 hidden="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 hidden="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 hidden="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 hidden="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 hidden="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 hidden="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 hidden="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 hidden="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 hidden="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 hidden="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 hidden="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 hidden="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 hidden="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 hidden="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 hidden="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 hidden="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 hidden="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 hidden="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 hidden="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 hidden="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 hidden="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 hidden="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 hidden="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 hidden="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 hidden="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 hidden="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 hidden="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 hidden="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 hidden="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 hidden="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 hidden="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 hidden="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 hidden="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 hidden="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 hidden="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 hidden="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 hidden="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 hidden="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 hidden="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 hidden="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 hidden="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 hidden="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 hidden="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 hidden="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 hidden="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 hidden="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 hidden="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 hidden="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 hidden="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 hidden="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 hidden="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 hidden="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 hidden="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 hidden="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 hidden="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 hidden="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 hidden="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 hidden="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 hidden="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 hidden="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 hidden="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 hidden="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 hidden="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 hidden="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 hidden="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 hidden="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 hidden="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 hidden="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 hidden="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 hidden="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 hidden="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 hidden="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 hidden="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 hidden="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 hidden="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 hidden="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 hidden="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 hidden="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 hidden="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 hidden="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 hidden="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 hidden="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 hidden="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 hidden="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 hidden="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 hidden="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 hidden="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 hidden="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 hidden="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 hidden="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 hidden="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 hidden="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 hidden="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 hidden="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 hidden="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 hidden="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 hidden="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 hidden="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 hidden="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 hidden="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 hidden="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 hidden="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 hidden="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 hidden="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 hidden="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 hidden="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 hidden="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 hidden="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 hidden="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 hidden="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 hidden="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 hidden="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 hidden="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 hidden="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 hidden="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 hidden="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 hidden="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 hidden="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 hidden="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 hidden="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 hidden="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 hidden="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 hidden="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 hidden="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 hidden="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 hidden="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 hidden="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 hidden="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 hidden="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 hidden="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 hidden="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 hidden="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 hidden="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 hidden="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 hidden="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 hidden="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 hidden="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 hidden="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 hidden="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 hidden="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 hidden="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 hidden="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 hidden="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 hidden="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 hidden="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 hidden="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 hidden="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 hidden="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 hidden="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 hidden="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 hidden="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 hidden="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 hidden="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 hidden="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 hidden="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 hidden="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 hidden="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 hidden="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 hidden="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 hidden="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 hidden="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 hidden="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 hidden="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 hidden="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 hidden="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 hidden="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 hidden="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 hidden="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 hidden="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 hidden="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 hidden="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 hidden="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 hidden="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 hidden="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 hidden="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 hidden="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 hidden="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 hidden="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 hidden="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 hidden="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 hidden="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 hidden="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 hidden="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 hidden="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 hidden="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 hidden="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 hidden="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 hidden="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 hidden="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 hidden="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 hidden="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 hidden="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 hidden="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 hidden="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 hidden="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 hidden="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 hidden="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 hidden="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 hidden="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 hidden="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 hidden="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 hidden="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 hidden="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 hidden="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 hidden="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 hidden="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 hidden="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 hidden="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 hidden="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 hidden="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 hidden="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 hidden="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 hidden="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 hidden="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 hidden="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 hidden="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 hidden="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 hidden="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 hidden="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 hidden="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 hidden="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 hidden="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 hidden="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 hidden="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 hidden="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 hidden="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 hidden="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 hidden="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 hidden="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 hidden="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 hidden="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 hidden="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 hidden="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 hidden="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 hidden="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 hidden="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 hidden="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 hidden="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 hidden="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 hidden="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 hidden="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 hidden="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 hidden="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 hidden="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 hidden="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 hidden="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 hidden="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 hidden="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 hidden="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 hidden="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 hidden="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 hidden="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 hidden="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 hidden="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 hidden="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 hidden="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 hidden="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 hidden="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 hidden="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 hidden="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 hidden="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 hidden="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 hidden="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 hidden="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 hidden="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 hidden="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 hidden="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 hidden="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 hidden="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 hidden="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 hidden="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 hidden="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 hidden="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 hidden="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 hidden="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 hidden="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 hidden="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 hidden="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 hidden="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 hidden="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 hidden="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 hidden="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 hidden="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 hidden="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 hidden="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 hidden="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 hidden="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 hidden="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 hidden="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 hidden="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 hidden="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 hidden="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 hidden="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 hidden="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 hidden="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 hidden="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 hidden="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 hidden="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 hidden="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 hidden="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 hidden="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 hidden="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 hidden="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 hidden="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 hidden="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 hidden="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 hidden="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 hidden="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 hidden="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 hidden="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 hidden="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 hidden="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 hidden="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 hidden="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 hidden="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 hidden="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 hidden="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 hidden="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 hidden="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 hidden="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 hidden="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 hidden="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 hidden="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 hidden="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 hidden="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 hidden="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 hidden="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 hidden="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 hidden="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 hidden="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 hidden="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 hidden="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 hidden="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 hidden="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 hidden="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 hidden="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 hidden="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 hidden="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 hidden="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 hidden="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 hidden="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 hidden="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 hidden="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 hidden="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 hidden="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 hidden="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 hidden="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 hidden="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 hidden="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 hidden="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 hidden="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 hidden="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 hidden="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 hidden="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 hidden="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 hidden="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 hidden="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 hidden="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 hidden="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 hidden="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 hidden="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 hidden="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 hidden="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 hidden="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 hidden="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 hidden="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 hidden="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 hidden="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 hidden="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 hidden="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 hidden="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 hidden="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 hidden="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 hidden="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 hidden="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 hidden="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 hidden="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 hidden="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 hidden="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 hidden="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 hidden="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 hidden="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 hidden="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 hidden="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 hidden="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 hidden="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 hidden="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 hidden="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 hidden="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 hidden="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 hidden="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 hidden="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 hidden="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 hidden="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 hidden="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 hidden="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 hidden="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 hidden="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 hidden="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 hidden="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 hidden="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 hidden="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 hidden="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 hidden="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 hidden="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 hidden="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 hidden="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 hidden="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 hidden="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 hidden="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 hidden="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 hidden="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 hidden="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 hidden="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 hidden="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 hidden="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 hidden="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 hidden="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 hidden="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 hidden="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 hidden="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 hidden="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 hidden="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 hidden="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 hidden="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 hidden="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 hidden="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 hidden="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 hidden="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 hidden="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 hidden="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 hidden="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 hidden="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 hidden="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 hidden="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 hidden="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 hidden="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 hidden="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 hidden="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 hidden="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 hidden="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 hidden="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 hidden="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 hidden="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 hidden="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 hidden="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 hidden="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 hidden="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 hidden="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 hidden="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 hidden="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 hidden="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 hidden="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 hidden="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 hidden="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 hidden="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 hidden="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 hidden="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 hidden="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 hidden="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 hidden="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 hidden="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 hidden="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 hidden="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 hidden="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 hidden="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 hidden="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 hidden="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 hidden="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 hidden="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 hidden="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 hidden="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 hidden="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 hidden="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 hidden="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 hidden="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 hidden="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 hidden="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 hidden="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 hidden="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 hidden="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 hidden="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 hidden="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 hidden="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 hidden="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 hidden="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 hidden="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 hidden="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 hidden="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 hidden="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 hidden="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 hidden="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 hidden="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 hidden="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 hidden="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 hidden="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 hidden="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 hidden="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 hidden="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 hidden="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 hidden="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 hidden="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 hidden="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 hidden="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 hidden="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 hidden="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 hidden="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 hidden="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 hidden="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 hidden="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 hidden="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 hidden="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 hidden="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 hidden="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 hidden="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 hidden="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 hidden="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 hidden="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 hidden="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 hidden="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 hidden="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 hidden="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 hidden="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 hidden="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 hidden="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 hidden="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 hidden="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 hidden="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 hidden="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 hidden="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 hidden="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 hidden="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 hidden="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 hidden="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 hidden="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 hidden="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 hidden="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 hidden="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 hidden="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 hidden="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 hidden="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 hidden="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 hidden="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 hidden="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 hidden="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 hidden="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 hidden="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 hidden="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 hidden="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 hidden="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 hidden="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 hidden="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 hidden="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 hidden="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 hidden="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 hidden="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 hidden="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 hidden="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 hidden="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 hidden="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 hidden="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 hidden="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 hidden="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 hidden="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 hidden="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 hidden="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 hidden="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 hidden="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 hidden="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 hidden="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 hidden="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 hidden="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 hidden="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 hidden="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 hidden="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 hidden="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 hidden="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 hidden="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 hidden="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 hidden="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 hidden="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 hidden="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 hidden="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 hidden="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 hidden="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 hidden="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 hidden="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 hidden="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 hidden="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 hidden="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 hidden="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 hidden="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 hidden="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 hidden="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 hidden="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 hidden="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 hidden="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 hidden="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 hidden="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 hidden="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 hidden="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 hidden="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 hidden="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 hidden="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 hidden="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 hidden="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 hidden="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 hidden="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 hidden="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 hidden="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 hidden="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 hidden="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 hidden="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 hidden="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 hidden="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 hidden="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 hidden="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 hidden="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 hidden="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 hidden="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 hidden="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 hidden="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 hidden="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 hidden="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 hidden="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 hidden="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 hidden="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 hidden="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 hidden="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 hidden="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 hidden="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 hidden="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 hidden="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 hidden="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 hidden="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 hidden="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 hidden="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 hidden="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 hidden="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 hidden="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 hidden="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 hidden="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 hidden="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 hidden="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 hidden="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 hidden="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 hidden="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 hidden="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 hidden="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 hidden="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 hidden="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 hidden="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 hidden="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 hidden="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 hidden="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 hidden="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 hidden="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 hidden="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 hidden="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 hidden="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 hidden="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 hidden="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 hidden="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 hidden="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 hidden="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 hidden="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 hidden="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 hidden="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 hidden="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 hidden="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 hidden="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 hidden="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 hidden="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 hidden="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 hidden="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 hidden="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 hidden="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 hidden="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 hidden="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 hidden="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 hidden="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 hidden="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 hidden="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 hidden="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 hidden="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 hidden="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 hidden="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 hidden="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 hidden="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 hidden="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 hidden="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 hidden="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 hidden="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 hidden="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 hidden="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 hidden="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 hidden="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 hidden="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 hidden="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 hidden="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 hidden="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 hidden="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 hidden="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 hidden="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 hidden="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 hidden="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 hidden="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 hidden="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 hidden="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 hidden="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 hidden="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 hidden="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 hidden="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 hidden="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 hidden="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 hidden="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 hidden="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 hidden="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 hidden="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 hidden="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 hidden="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 hidden="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 hidden="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 hidden="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 hidden="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 hidden="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 hidden="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 hidden="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 hidden="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 hidden="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 hidden="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 hidden="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 hidden="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 hidden="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 hidden="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 hidden="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 hidden="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 hidden="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 hidden="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 hidden="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 hidden="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 hidden="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 hidden="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 hidden="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 hidden="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 hidden="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 hidden="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 hidden="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 hidden="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 hidden="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 hidden="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 hidden="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 hidden="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 hidden="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 hidden="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 hidden="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 hidden="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 hidden="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 hidden="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 hidden="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 hidden="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 hidden="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 hidden="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 hidden="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 hidden="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 hidden="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 hidden="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 hidden="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 hidden="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 hidden="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 hidden="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 hidden="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 hidden="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 hidden="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 hidden="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 hidden="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 hidden="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 hidden="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 hidden="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 hidden="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 hidden="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 hidden="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 hidden="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 hidden="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 hidden="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 hidden="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 hidden="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 hidden="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 hidden="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 hidden="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 hidden="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 hidden="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 hidden="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 hidden="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 hidden="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 hidden="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 hidden="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 hidden="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 hidden="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 hidden="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 hidden="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 hidden="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 hidden="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 hidden="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 hidden="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 hidden="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 hidden="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 hidden="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 hidden="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 hidden="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 hidden="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 hidden="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 hidden="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 hidden="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 hidden="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 hidden="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 hidden="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 hidden="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 hidden="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 hidden="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 hidden="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 hidden="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 hidden="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 hidden="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 hidden="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 hidden="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 hidden="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 hidden="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 hidden="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 hidden="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 hidden="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 hidden="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 hidden="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 hidden="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 hidden="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 hidden="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 hidden="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 hidden="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 hidden="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 hidden="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 hidden="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 hidden="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 hidden="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 hidden="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 hidden="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 hidden="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 hidden="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 hidden="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 hidden="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 hidden="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 hidden="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 hidden="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 hidden="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 hidden="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 hidden="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 hidden="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 hidden="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 hidden="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 hidden="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 hidden="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 hidden="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 hidden="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 hidden="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 hidden="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 hidden="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 hidden="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 hidden="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 hidden="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 hidden="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 hidden="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 hidden="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 hidden="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 hidden="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 hidden="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 hidden="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 hidden="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 hidden="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 hidden="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 hidden="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 hidden="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 hidden="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 hidden="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 hidden="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 hidden="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 hidden="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 hidden="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 hidden="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 hidden="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 hidden="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 hidden="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 hidden="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 hidden="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 hidden="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 hidden="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 hidden="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 hidden="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 hidden="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 hidden="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 hidden="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 hidden="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 hidden="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 hidden="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 hidden="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 hidden="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 hidden="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 hidden="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 hidden="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 hidden="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 hidden="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 hidden="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 hidden="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 hidden="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 hidden="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 hidden="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 hidden="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 hidden="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 hidden="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 hidden="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 hidden="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 hidden="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 hidden="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 hidden="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 hidden="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 hidden="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 hidden="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 hidden="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 hidden="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 hidden="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 hidden="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 hidden="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 hidden="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 hidden="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 hidden="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 hidden="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 hidden="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 hidden="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 hidden="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 hidden="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 hidden="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 hidden="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 hidden="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 hidden="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 hidden="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 hidden="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 hidden="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 hidden="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 hidden="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 hidden="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 hidden="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 hidden="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 hidden="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 hidden="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 hidden="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 hidden="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 hidden="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 hidden="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 hidden="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 hidden="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 hidden="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 hidden="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 hidden="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 hidden="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 hidden="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 hidden="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 hidden="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 hidden="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 hidden="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 hidden="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 hidden="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 hidden="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 hidden="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 hidden="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 hidden="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 hidden="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 hidden="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 hidden="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 hidden="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 hidden="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 hidden="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 hidden="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 hidden="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 hidden="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 hidden="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 hidden="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 hidden="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 hidden="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 hidden="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 hidden="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 hidden="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 hidden="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 hidden="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 hidden="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 hidden="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 hidden="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 hidden="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 hidden="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 hidden="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 hidden="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 hidden="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 hidden="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 hidden="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 hidden="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 hidden="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 hidden="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 hidden="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 hidden="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 hidden="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 hidden="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 hidden="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 hidden="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 hidden="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 hidden="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 hidden="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 hidden="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 hidden="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 hidden="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 hidden="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 hidden="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 hidden="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 hidden="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 hidden="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 hidden="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 hidden="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 hidden="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 hidden="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 hidden="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 hidden="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 hidden="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 hidden="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 hidden="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 hidden="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 hidden="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 hidden="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 hidden="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 hidden="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 hidden="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 hidden="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 hidden="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 hidden="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 hidden="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 hidden="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 hidden="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 hidden="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 hidden="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 hidden="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 hidden="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 hidden="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 hidden="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 hidden="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 hidden="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 hidden="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 hidden="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 hidden="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 hidden="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 hidden="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 hidden="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 hidden="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 hidden="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 hidden="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 hidden="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 hidden="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 hidden="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 hidden="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 hidden="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 hidden="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 hidden="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 hidden="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 hidden="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 hidden="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 hidden="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 hidden="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 hidden="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 hidden="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 hidden="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 hidden="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 hidden="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 hidden="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 hidden="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 hidden="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 hidden="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 hidden="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 hidden="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 hidden="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 hidden="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 hidden="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 hidden="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 hidden="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 hidden="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 hidden="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 hidden="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 hidden="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 hidden="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 hidden="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 hidden="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 hidden="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 hidden="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 hidden="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 hidden="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 hidden="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 hidden="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 hidden="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 hidden="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 hidden="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 hidden="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 hidden="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 hidden="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 hidden="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 hidden="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 hidden="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 hidden="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 hidden="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 hidden="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 hidden="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 hidden="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 hidden="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 hidden="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 hidden="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 hidden="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 hidden="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 hidden="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 hidden="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 hidden="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 hidden="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 hidden="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 hidden="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 hidden="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 hidden="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 hidden="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 hidden="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 hidden="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 hidden="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 hidden="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 hidden="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 hidden="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 hidden="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 hidden="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 hidden="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 hidden="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 hidden="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 hidden="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 hidden="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 hidden="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 hidden="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 hidden="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 hidden="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 hidden="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 hidden="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 hidden="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 hidden="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 hidden="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 hidden="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 hidden="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 hidden="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 hidden="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 hidden="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 hidden="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 hidden="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 hidden="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 hidden="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 hidden="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 hidden="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 hidden="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 hidden="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 hidden="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 hidden="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 hidden="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 hidden="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 hidden="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 hidden="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 hidden="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 hidden="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 hidden="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 hidden="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 hidden="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 hidden="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 hidden="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 hidden="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 hidden="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 hidden="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 hidden="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 hidden="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 hidden="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 hidden="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 hidden="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 hidden="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 hidden="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 hidden="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 hidden="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 hidden="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 hidden="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 hidden="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 hidden="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 hidden="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 hidden="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 hidden="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 hidden="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 hidden="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 hidden="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 hidden="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 hidden="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 hidden="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 hidden="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 hidden="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 hidden="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 hidden="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 hidden="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 hidden="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 hidden="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 hidden="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 hidden="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 hidden="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 hidden="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 hidden="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 hidden="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 hidden="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 hidden="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 hidden="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 hidden="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 hidden="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 hidden="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 hidden="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 hidden="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 hidden="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 hidden="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 hidden="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 hidden="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 hidden="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 hidden="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 hidden="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 hidden="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 hidden="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 hidden="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 hidden="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 hidden="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 hidden="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 hidden="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 hidden="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 hidden="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 hidden="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 hidden="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 hidden="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 hidden="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 hidden="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 hidden="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 hidden="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 hidden="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 hidden="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 hidden="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 hidden="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 hidden="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 hidden="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 hidden="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 hidden="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 hidden="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 hidden="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 hidden="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 hidden="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 hidden="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 hidden="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 hidden="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 hidden="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 hidden="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 hidden="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 hidden="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 hidden="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 hidden="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 hidden="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 hidden="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 hidden="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 hidden="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 hidden="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 hidden="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 hidden="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 hidden="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 hidden="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 hidden="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 hidden="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 hidden="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 hidden="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 hidden="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 hidden="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 hidden="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 hidden="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 hidden="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 hidden="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 hidden="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 hidden="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 hidden="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 hidden="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 hidden="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 hidden="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 hidden="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 hidden="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 hidden="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 hidden="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 hidden="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 hidden="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 hidden="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 hidden="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 hidden="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 hidden="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 hidden="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 hidden="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 hidden="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 hidden="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 hidden="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 hidden="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 hidden="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 hidden="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 hidden="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 hidden="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 hidden="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 hidden="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 hidden="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 hidden="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 hidden="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 hidden="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 hidden="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 hidden="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 hidden="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 hidden="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 hidden="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 hidden="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 hidden="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 hidden="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 hidden="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 hidden="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 hidden="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 hidden="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 hidden="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 hidden="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 hidden="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 hidden="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 hidden="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 hidden="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 hidden="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 hidden="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 hidden="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 hidden="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 hidden="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 hidden="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 hidden="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 hidden="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 hidden="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 hidden="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 hidden="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 hidden="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 hidden="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 hidden="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 hidden="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 hidden="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 hidden="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 hidden="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 hidden="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 hidden="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 hidden="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 hidden="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 hidden="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 hidden="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 hidden="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 hidden="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 hidden="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 hidden="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 hidden="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 hidden="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 hidden="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 hidden="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 hidden="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 hidden="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 hidden="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 hidden="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 hidden="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 hidden="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 hidden="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 hidden="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 hidden="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 hidden="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 hidden="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 hidden="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 hidden="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 hidden="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 hidden="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 hidden="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 hidden="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 hidden="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 hidden="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 hidden="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 hidden="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 hidden="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 hidden="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 hidden="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 hidden="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 hidden="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 hidden="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 hidden="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 hidden="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 hidden="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 hidden="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 hidden="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 hidden="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 hidden="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 hidden="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 hidden="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 hidden="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 hidden="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 hidden="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 hidden="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 hidden="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 hidden="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 hidden="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 hidden="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 hidden="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 hidden="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 hidden="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 hidden="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 hidden="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 hidden="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 hidden="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 hidden="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 hidden="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 hidden="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 hidden="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 hidden="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 hidden="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 hidden="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 hidden="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 hidden="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 hidden="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 hidden="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 hidden="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 hidden="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 hidden="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 hidden="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 hidden="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 hidden="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 hidden="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 hidden="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 hidden="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 hidden="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 hidden="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 hidden="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 hidden="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 hidden="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 hidden="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 hidden="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 hidden="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 hidden="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 hidden="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 hidden="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 hidden="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 hidden="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 hidden="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 hidden="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 hidden="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 hidden="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 hidden="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 hidden="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 hidden="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 hidden="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 hidden="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 hidden="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 hidden="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 hidden="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 hidden="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 hidden="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 hidden="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 hidden="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 hidden="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 hidden="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 hidden="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 hidden="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 hidden="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 hidden="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 hidden="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 hidden="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 hidden="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 hidden="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 hidden="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 hidden="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 hidden="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 hidden="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 hidden="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 hidden="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 hidden="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 hidden="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 hidden="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 hidden="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 hidden="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 hidden="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 hidden="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 hidden="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 hidden="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 hidden="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 hidden="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 hidden="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 hidden="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 hidden="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 hidden="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 hidden="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 hidden="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 hidden="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 hidden="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 hidden="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 hidden="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 hidden="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 hidden="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 hidden="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 hidden="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 hidden="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 hidden="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 hidden="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 hidden="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 hidden="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 hidden="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 hidden="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 hidden="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 hidden="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 hidden="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 hidden="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 hidden="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 hidden="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 hidden="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 hidden="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 hidden="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 hidden="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 hidden="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 hidden="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 hidden="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 hidden="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 hidden="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 hidden="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 hidden="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 hidden="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 hidden="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 hidden="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 hidden="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 hidden="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 hidden="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 hidden="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 hidden="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 hidden="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 hidden="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 hidden="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 hidden="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 hidden="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 hidden="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 hidden="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 hidden="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 hidden="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 hidden="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 hidden="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 hidden="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 hidden="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 hidden="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 hidden="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 hidden="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 hidden="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 hidden="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 hidden="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 hidden="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 hidden="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 hidden="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 hidden="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 hidden="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 hidden="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 hidden="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 hidden="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 hidden="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 hidden="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 hidden="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 hidden="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 hidden="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 hidden="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 hidden="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 hidden="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 hidden="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 hidden="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 hidden="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 hidden="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 hidden="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 hidden="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 hidden="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 hidden="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 hidden="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 hidden="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 hidden="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 hidden="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 hidden="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 hidden="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 hidden="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 hidden="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 hidden="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 hidden="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 hidden="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 hidden="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 hidden="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 hidden="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 hidden="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 hidden="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 hidden="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 hidden="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 hidden="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 hidden="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 hidden="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 hidden="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 hidden="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 hidden="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 hidden="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 hidden="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 hidden="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 hidden="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 hidden="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 hidden="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 hidden="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 hidden="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 hidden="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 hidden="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 hidden="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 hidden="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 hidden="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 hidden="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 hidden="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 hidden="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 hidden="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 hidden="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 hidden="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 hidden="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 hidden="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 hidden="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 hidden="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 hidden="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 hidden="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 hidden="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 hidden="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 hidden="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 hidden="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 hidden="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 hidden="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 hidden="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 hidden="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 hidden="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 hidden="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 hidden="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 hidden="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 hidden="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 hidden="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 hidden="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 hidden="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 hidden="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 hidden="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 hidden="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 hidden="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 hidden="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 hidden="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 hidden="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 hidden="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 hidden="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 hidden="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 hidden="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 hidden="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 hidden="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 hidden="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 hidden="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 hidden="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 hidden="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 hidden="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 hidden="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 hidden="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 hidden="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 hidden="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 hidden="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 hidden="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 hidden="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 hidden="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 hidden="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 hidden="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 hidden="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 hidden="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 hidden="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 hidden="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 hidden="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 hidden="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 hidden="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 hidden="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 hidden="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 hidden="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 hidden="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 hidden="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 hidden="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 hidden="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 hidden="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 hidden="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 hidden="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 hidden="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 hidden="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 hidden="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 hidden="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 hidden="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 hidden="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 hidden="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 hidden="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 hidden="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 hidden="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 hidden="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 hidden="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 hidden="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 hidden="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 hidden="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 hidden="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 hidden="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 hidden="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 hidden="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 hidden="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 hidden="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 hidden="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 hidden="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 hidden="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 hidden="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 hidden="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 hidden="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 hidden="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 hidden="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 hidden="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 hidden="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 hidden="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 hidden="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 hidden="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 hidden="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 hidden="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 hidden="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 hidden="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 hidden="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 hidden="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 hidden="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 hidden="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 hidden="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 hidden="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 hidden="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 hidden="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 hidden="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 hidden="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 hidden="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 hidden="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 hidden="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 hidden="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 hidden="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 hidden="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 hidden="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 hidden="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 hidden="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 hidden="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 hidden="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 hidden="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 hidden="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 hidden="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 hidden="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 hidden="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 hidden="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 hidden="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 hidden="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 hidden="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 hidden="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 hidden="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 hidden="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 hidden="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 hidden="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 hidden="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 hidden="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 hidden="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 hidden="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 hidden="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 hidden="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 hidden="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 hidden="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 hidden="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 hidden="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 hidden="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 hidden="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 hidden="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 hidden="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 hidden="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 hidden="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 hidden="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 hidden="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 hidden="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 hidden="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 hidden="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 hidden="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 hidden="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 hidden="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 hidden="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 hidden="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 hidden="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 hidden="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 hidden="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 hidden="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 hidden="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 hidden="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 hidden="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 hidden="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 hidden="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 hidden="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 hidden="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 hidden="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 hidden="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 hidden="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 hidden="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 hidden="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 hidden="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 hidden="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 hidden="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 hidden="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 hidden="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 hidden="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 hidden="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 hidden="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 hidden="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 hidden="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 hidden="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 hidden="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 hidden="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 hidden="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 hidden="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 hidden="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 hidden="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 hidden="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 hidden="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 hidden="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 hidden="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 hidden="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 hidden="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 hidden="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 hidden="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 hidden="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 hidden="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 hidden="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 hidden="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 hidden="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 hidden="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 hidden="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 hidden="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 hidden="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 hidden="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 hidden="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 hidden="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 hidden="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 hidden="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 hidden="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 hidden="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 hidden="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 hidden="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 hidden="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 hidden="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 hidden="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 hidden="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 hidden="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 hidden="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 hidden="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 hidden="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 hidden="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 hidden="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 hidden="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 hidden="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 hidden="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 hidden="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 hidden="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 hidden="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 hidden="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 hidden="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 hidden="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 hidden="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 hidden="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 hidden="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 hidden="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 hidden="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 hidden="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 hidden="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 hidden="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 hidden="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 hidden="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 hidden="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 hidden="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 hidden="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 hidden="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 hidden="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 hidden="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 hidden="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 hidden="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 hidden="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 hidden="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 hidden="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 hidden="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 hidden="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 hidden="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 hidden="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 hidden="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 hidden="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 hidden="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 hidden="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 hidden="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 hidden="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 hidden="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 hidden="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 hidden="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 hidden="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 hidden="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 hidden="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 hidden="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 hidden="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 hidden="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 hidden="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 hidden="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 hidden="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 hidden="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 hidden="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 hidden="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 hidden="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 hidden="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 hidden="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 hidden="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 hidden="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 hidden="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 hidden="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 hidden="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 hidden="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 hidden="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 hidden="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 hidden="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 hidden="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 hidden="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 hidden="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 hidden="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 hidden="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 hidden="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 hidden="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 hidden="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 hidden="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 hidden="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 hidden="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 hidden="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 hidden="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 hidden="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 hidden="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 hidden="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 hidden="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 hidden="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 hidden="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 hidden="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 hidden="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 hidden="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 hidden="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 hidden="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 hidden="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 hidden="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 hidden="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 hidden="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 hidden="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 hidden="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 hidden="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 hidden="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 hidden="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 hidden="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 hidden="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 hidden="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 hidden="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 hidden="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 hidden="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 hidden="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 hidden="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 hidden="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 hidden="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 hidden="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 hidden="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 hidden="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 hidden="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 hidden="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 hidden="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 hidden="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 hidden="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 hidden="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 hidden="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 hidden="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 hidden="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 hidden="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 hidden="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 hidden="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 hidden="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 hidden="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 hidden="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 hidden="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 hidden="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 hidden="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 hidden="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 hidden="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 hidden="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 hidden="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 hidden="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 hidden="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 hidden="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 hidden="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 hidden="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 hidden="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 hidden="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 hidden="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 hidden="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 hidden="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 hidden="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 hidden="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 hidden="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 hidden="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 hidden="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 hidden="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 hidden="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 hidden="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 hidden="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 hidden="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 hidden="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 hidden="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 hidden="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 hidden="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 hidden="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 hidden="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 hidden="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 hidden="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 hidden="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 hidden="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 hidden="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 hidden="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 hidden="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 hidden="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 hidden="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 hidden="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 hidden="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 hidden="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 hidden="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 hidden="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 hidden="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 hidden="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 hidden="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 hidden="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 hidden="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 hidden="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 hidden="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 hidden="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 hidden="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 hidden="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 hidden="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 hidden="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 hidden="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 hidden="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 hidden="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 hidden="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 hidden="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 hidden="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 hidden="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 hidden="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 hidden="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 hidden="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 hidden="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 hidden="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 hidden="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 hidden="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 hidden="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 hidden="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 hidden="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 hidden="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 hidden="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 hidden="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 hidden="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 hidden="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 hidden="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 hidden="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 hidden="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 hidden="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 hidden="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 hidden="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 hidden="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 hidden="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 hidden="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 hidden="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 hidden="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 hidden="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 hidden="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 hidden="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 hidden="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 hidden="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 hidden="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 hidden="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 hidden="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 hidden="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 hidden="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 hidden="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 hidden="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 hidden="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 hidden="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 hidden="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 hidden="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 hidden="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 hidden="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 hidden="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 hidden="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 hidden="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 hidden="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 hidden="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 hidden="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 hidden="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 hidden="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 hidden="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 hidden="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 hidden="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 hidden="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 hidden="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 hidden="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 hidden="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 hidden="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 hidden="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 hidden="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 hidden="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 hidden="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 hidden="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 hidden="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 hidden="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 hidden="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 hidden="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 hidden="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 hidden="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 hidden="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 hidden="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 hidden="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 hidden="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 hidden="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 hidden="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 hidden="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 hidden="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 hidden="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 hidden="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 hidden="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 hidden="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 hidden="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 hidden="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 hidden="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 hidden="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 hidden="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 hidden="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 hidden="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 hidden="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 hidden="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 hidden="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 hidden="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 hidden="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 hidden="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 hidden="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 hidden="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 hidden="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 hidden="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 hidden="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 hidden="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 hidden="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 hidden="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 hidden="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 hidden="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 hidden="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 hidden="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 hidden="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 hidden="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 hidden="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 hidden="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 hidden="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 hidden="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 hidden="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 hidden="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 hidden="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 hidden="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 hidden="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 hidden="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 hidden="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 hidden="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 hidden="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 hidden="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 hidden="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 hidden="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 hidden="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 hidden="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 hidden="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 hidden="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 hidden="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 hidden="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 hidden="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 hidden="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 hidden="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 hidden="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 hidden="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 hidden="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 hidden="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 hidden="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 hidden="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 hidden="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 hidden="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 hidden="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 hidden="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 hidden="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 hidden="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 hidden="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 hidden="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 hidden="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 hidden="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 hidden="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 hidden="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 hidden="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 hidden="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 hidden="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 hidden="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 hidden="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 hidden="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 hidden="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 hidden="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 hidden="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 hidden="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 hidden="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 hidden="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 hidden="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 hidden="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 hidden="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 hidden="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 hidden="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 hidden="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 hidden="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 hidden="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 hidden="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 hidden="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 hidden="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 hidden="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 hidden="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 hidden="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 hidden="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 hidden="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 hidden="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 hidden="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 hidden="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 hidden="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 hidden="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 hidden="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 hidden="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 hidden="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 hidden="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 hidden="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 hidden="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 hidden="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 hidden="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 hidden="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 hidden="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 hidden="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 hidden="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 hidden="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 hidden="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 hidden="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 hidden="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 hidden="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 hidden="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 hidden="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 hidden="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 hidden="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 hidden="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 hidden="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 hidden="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 hidden="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 hidden="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 hidden="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 hidden="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 hidden="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 hidden="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 hidden="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 hidden="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 hidden="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 hidden="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 hidden="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 hidden="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 hidden="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 hidden="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 hidden="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 hidden="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 hidden="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 hidden="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 hidden="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 hidden="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 hidden="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 hidden="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 hidden="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 hidden="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 hidden="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 hidden="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 hidden="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 hidden="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 hidden="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 hidden="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 hidden="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 hidden="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 hidden="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 hidden="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 hidden="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 hidden="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 hidden="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 hidden="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 hidden="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 hidden="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 hidden="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 hidden="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 hidden="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 hidden="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 hidden="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 hidden="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 hidden="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 hidden="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 hidden="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 hidden="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 hidden="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 hidden="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 hidden="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 hidden="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 hidden="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 hidden="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 hidden="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 hidden="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 hidden="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 hidden="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 hidden="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 hidden="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 hidden="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 hidden="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 hidden="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 hidden="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 hidden="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 hidden="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 hidden="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 hidden="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 hidden="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 hidden="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 hidden="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 hidden="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 hidden="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 hidden="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 hidden="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 hidden="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 hidden="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 hidden="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 hidden="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 hidden="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 hidden="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 hidden="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 hidden="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 hidden="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 hidden="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 hidden="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 hidden="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 hidden="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 hidden="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 hidden="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 hidden="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 hidden="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 hidden="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 hidden="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 hidden="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 hidden="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 hidden="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 hidden="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 hidden="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 hidden="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 hidden="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 hidden="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 hidden="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 hidden="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 hidden="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 hidden="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 hidden="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 hidden="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 hidden="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 hidden="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 hidden="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 hidden="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 hidden="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 hidden="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 hidden="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 hidden="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 hidden="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 hidden="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 hidden="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 hidden="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 hidden="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 hidden="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 hidden="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 hidden="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 hidden="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 hidden="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 hidden="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 hidden="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 hidden="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 hidden="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 hidden="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 hidden="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 hidden="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 hidden="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 hidden="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 hidden="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 hidden="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 hidden="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 hidden="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 hidden="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 hidden="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 hidden="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 hidden="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 hidden="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 hidden="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 hidden="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 hidden="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 hidden="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 hidden="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 hidden="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 hidden="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 hidden="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 hidden="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 hidden="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 hidden="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 hidden="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 hidden="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 hidden="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 hidden="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 hidden="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 hidden="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 hidden="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 hidden="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 hidden="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 hidden="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 hidden="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 hidden="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 hidden="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 hidden="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 hidden="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 hidden="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 hidden="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 hidden="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 hidden="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 hidden="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 hidden="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 hidden="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 hidden="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 hidden="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 hidden="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 hidden="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 hidden="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 hidden="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 hidden="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 hidden="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 hidden="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 hidden="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 hidden="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 hidden="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 hidden="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 hidden="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 hidden="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 hidden="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 hidden="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 hidden="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 hidden="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 hidden="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 hidden="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 hidden="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 hidden="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 hidden="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 hidden="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 hidden="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 hidden="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 hidden="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 hidden="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 hidden="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 hidden="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 hidden="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 hidden="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 hidden="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 hidden="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 hidden="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 hidden="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 hidden="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 hidden="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 hidden="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 hidden="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 hidden="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 hidden="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 hidden="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 hidden="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 hidden="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 hidden="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 hidden="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 hidden="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 hidden="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 hidden="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 hidden="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 hidden="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 hidden="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 hidden="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 hidden="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 hidden="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 hidden="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 hidden="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 hidden="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 hidden="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 hidden="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 hidden="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 hidden="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 hidden="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 hidden="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 hidden="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 hidden="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 hidden="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 hidden="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 hidden="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 hidden="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 hidden="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 hidden="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 hidden="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 hidden="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 hidden="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 hidden="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 hidden="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 hidden="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 hidden="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 hidden="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 hidden="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 hidden="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 hidden="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 hidden="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 hidden="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 hidden="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 hidden="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 hidden="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 hidden="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 hidden="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 hidden="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 hidden="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 hidden="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 hidden="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 hidden="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 hidden="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 hidden="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 hidden="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 hidden="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 hidden="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 hidden="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 hidden="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 hidden="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 hidden="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 hidden="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 hidden="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 hidden="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 hidden="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 hidden="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 hidden="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 hidden="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 hidden="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 hidden="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 hidden="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 hidden="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 hidden="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 hidden="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 hidden="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 hidden="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 hidden="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 hidden="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 hidden="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 hidden="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 hidden="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 hidden="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 hidden="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 hidden="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 hidden="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 hidden="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 hidden="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 hidden="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 hidden="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 hidden="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 hidden="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 hidden="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 hidden="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 hidden="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 hidden="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 hidden="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 hidden="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 hidden="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 hidden="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 hidden="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 hidden="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 hidden="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 hidden="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 hidden="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 hidden="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 hidden="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 hidden="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 hidden="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 hidden="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 hidden="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 hidden="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 hidden="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 hidden="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 hidden="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 hidden="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 hidden="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 hidden="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 hidden="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 hidden="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 hidden="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 hidden="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 hidden="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 hidden="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 hidden="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 hidden="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 hidden="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 hidden="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 hidden="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 hidden="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 hidden="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 hidden="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 hidden="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 hidden="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 hidden="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 hidden="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 hidden="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 hidden="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 hidden="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 hidden="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 hidden="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 hidden="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 hidden="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 hidden="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 hidden="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 hidden="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 hidden="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 hidden="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 hidden="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 hidden="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 hidden="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 hidden="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 hidden="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 hidden="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 hidden="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 hidden="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 hidden="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 hidden="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 hidden="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 hidden="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 hidden="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 hidden="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 hidden="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 hidden="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 hidden="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 hidden="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 hidden="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 hidden="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 hidden="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 hidden="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 hidden="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 hidden="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 hidden="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 hidden="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 hidden="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 hidden="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 hidden="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 hidden="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 hidden="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 hidden="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 hidden="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 hidden="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 hidden="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 hidden="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 hidden="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 hidden="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 hidden="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 hidden="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 hidden="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 hidden="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 hidden="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 hidden="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 hidden="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 hidden="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 hidden="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 hidden="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 hidden="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 hidden="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 hidden="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 hidden="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 hidden="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 hidden="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 hidden="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 hidden="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 hidden="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 hidden="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 hidden="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 hidden="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 hidden="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 hidden="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 hidden="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 hidden="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 hidden="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 hidden="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 hidden="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 hidden="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 hidden="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 hidden="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 hidden="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 hidden="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 hidden="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 hidden="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 hidden="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 hidden="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 hidden="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 hidden="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 hidden="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 hidden="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 hidden="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 hidden="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 hidden="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 hidden="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 hidden="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 hidden="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 hidden="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 hidden="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 hidden="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 hidden="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 hidden="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 hidden="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 hidden="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 hidden="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 hidden="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 hidden="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 hidden="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 hidden="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 hidden="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 hidden="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 hidden="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 hidden="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 hidden="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 hidden="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 hidden="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 hidden="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 hidden="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 hidden="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 hidden="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 hidden="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 hidden="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 hidden="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 hidden="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 hidden="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 hidden="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 hidden="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 hidden="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 hidden="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 hidden="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 hidden="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 hidden="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 hidden="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 hidden="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 hidden="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 hidden="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 hidden="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 hidden="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 hidden="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 hidden="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 hidden="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 hidden="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 hidden="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 hidden="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 hidden="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 hidden="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 hidden="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 hidden="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 hidden="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 hidden="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 hidden="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 hidden="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 hidden="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 hidden="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 hidden="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 hidden="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 hidden="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 hidden="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 hidden="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 hidden="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 hidden="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 hidden="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 hidden="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 hidden="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 hidden="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 hidden="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 hidden="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 hidden="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 hidden="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 hidden="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 hidden="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 hidden="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 hidden="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 hidden="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 hidden="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 hidden="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 hidden="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 hidden="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 hidden="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 hidden="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 hidden="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 hidden="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 hidden="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 hidden="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 hidden="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 hidden="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 hidden="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 hidden="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 hidden="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 hidden="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 hidden="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 hidden="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 hidden="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 hidden="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 hidden="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 hidden="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 hidden="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 hidden="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 hidden="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 hidden="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 hidden="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 hidden="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 hidden="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 hidden="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 hidden="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 hidden="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 hidden="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 hidden="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 hidden="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 hidden="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 hidden="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 hidden="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 hidden="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 hidden="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 hidden="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 hidden="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 hidden="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 hidden="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 hidden="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 hidden="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 hidden="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 hidden="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 hidden="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 hidden="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 hidden="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 hidden="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 hidden="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 hidden="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 hidden="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 hidden="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 hidden="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 hidden="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 hidden="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 hidden="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 hidden="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 hidden="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 hidden="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 hidden="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 hidden="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 hidden="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 hidden="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 hidden="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 hidden="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 hidden="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 hidden="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 hidden="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 hidden="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 hidden="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 hidden="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 hidden="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 hidden="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 hidden="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 hidden="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 hidden="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 hidden="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 hidden="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 hidden="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 hidden="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 hidden="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 hidden="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 hidden="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 hidden="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 hidden="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 hidden="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 hidden="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 hidden="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 hidden="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 hidden="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 hidden="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 hidden="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 hidden="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 hidden="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 hidden="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 hidden="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 hidden="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 hidden="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 hidden="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 hidden="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 hidden="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 hidden="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 hidden="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 hidden="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 hidden="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 hidden="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 hidden="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 hidden="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 hidden="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 hidden="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 hidden="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 hidden="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 hidden="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 hidden="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 hidden="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 hidden="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 hidden="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 hidden="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 hidden="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 hidden="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 hidden="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 hidden="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 hidden="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 hidden="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 hidden="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 hidden="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 hidden="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 hidden="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 hidden="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 hidden="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 hidden="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 hidden="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 hidden="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 hidden="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 hidden="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 hidden="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 hidden="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 hidden="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 hidden="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 hidden="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 hidden="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 hidden="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 hidden="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 hidden="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 hidden="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 hidden="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 hidden="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 hidden="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 hidden="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 hidden="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 hidden="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 hidden="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 hidden="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 hidden="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 hidden="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 hidden="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 hidden="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 hidden="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 hidden="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 hidden="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 hidden="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 hidden="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 hidden="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 hidden="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 hidden="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 hidden="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 hidden="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 hidden="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 hidden="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 hidden="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 hidden="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 hidden="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 hidden="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 hidden="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 hidden="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 hidden="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 hidden="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 hidden="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 hidden="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 hidden="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 hidden="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 hidden="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 hidden="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 hidden="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 hidden="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 hidden="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 hidden="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 hidden="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 hidden="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 hidden="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 hidden="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 hidden="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 hidden="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 hidden="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 hidden="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 hidden="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 hidden="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 hidden="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 hidden="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 hidden="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 hidden="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 hidden="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 hidden="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 hidden="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 hidden="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 hidden="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 hidden="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 hidden="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 hidden="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 hidden="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 hidden="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 hidden="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 hidden="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 hidden="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 hidden="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 hidden="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 hidden="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 hidden="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 hidden="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 hidden="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 hidden="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 hidden="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 hidden="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 hidden="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 hidden="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 hidden="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 hidden="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 hidden="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 hidden="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 hidden="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 hidden="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 hidden="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 hidden="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 hidden="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 hidden="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 hidden="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 hidden="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 hidden="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 hidden="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 hidden="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 hidden="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 hidden="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 hidden="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 hidden="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 hidden="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 hidden="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 hidden="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 hidden="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 hidden="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 hidden="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 hidden="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 hidden="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 hidden="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 hidden="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 hidden="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 hidden="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 hidden="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 hidden="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 hidden="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 hidden="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 hidden="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 hidden="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 hidden="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 hidden="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 hidden="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 hidden="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 hidden="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 hidden="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 hidden="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 hidden="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 hidden="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 hidden="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 hidden="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 hidden="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 hidden="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 hidden="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 hidden="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 hidden="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 hidden="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 hidden="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 hidden="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 hidden="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 hidden="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 hidden="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 hidden="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 hidden="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 hidden="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 hidden="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 hidden="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 hidden="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 hidden="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 hidden="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 hidden="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 hidden="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 hidden="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 hidden="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 hidden="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 hidden="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 hidden="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 hidden="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 hidden="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 hidden="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 hidden="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 hidden="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 hidden="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 hidden="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 hidden="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 hidden="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 hidden="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 hidden="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 hidden="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 hidden="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 hidden="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 hidden="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 hidden="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 hidden="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 hidden="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 hidden="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 hidden="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 hidden="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 hidden="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 hidden="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 hidden="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 hidden="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 hidden="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 hidden="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 hidden="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 hidden="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 hidden="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 hidden="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 hidden="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 hidden="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 hidden="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 hidden="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 hidden="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 hidden="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 hidden="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 hidden="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 hidden="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 hidden="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 hidden="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 hidden="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 hidden="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 hidden="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 hidden="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 hidden="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 hidden="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 hidden="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 hidden="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 hidden="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 hidden="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 hidden="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 hidden="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 hidden="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 hidden="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 hidden="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 hidden="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 hidden="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 hidden="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 hidden="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 hidden="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 hidden="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 hidden="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 hidden="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 hidden="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 hidden="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 hidden="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 hidden="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 hidden="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 hidden="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 hidden="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 hidden="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 hidden="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 hidden="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 hidden="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 hidden="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 hidden="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 hidden="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 hidden="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 hidden="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 hidden="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 hidden="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 hidden="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 hidden="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 hidden="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 hidden="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 hidden="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 hidden="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 hidden="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 hidden="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 hidden="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 hidden="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 hidden="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 hidden="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 hidden="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 hidden="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 hidden="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 hidden="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 hidden="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 hidden="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 hidden="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 hidden="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 hidden="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 hidden="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 hidden="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 hidden="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 hidden="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 hidden="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 hidden="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 hidden="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 hidden="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 hidden="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 hidden="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 hidden="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 hidden="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 hidden="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 hidden="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 hidden="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 hidden="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 hidden="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 hidden="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 hidden="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 hidden="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 hidden="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 hidden="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 hidden="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 hidden="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 hidden="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 hidden="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 hidden="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 hidden="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 hidden="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 hidden="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 hidden="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 hidden="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 hidden="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 hidden="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 hidden="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 hidden="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 hidden="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 hidden="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 hidden="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 hidden="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 hidden="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 hidden="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 hidden="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 hidden="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 hidden="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 hidden="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 hidden="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 hidden="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 hidden="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 hidden="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 hidden="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 hidden="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 hidden="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 hidden="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 hidden="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 hidden="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 hidden="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 hidden="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 hidden="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 hidden="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 hidden="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 hidden="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 hidden="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 hidden="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 hidden="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 hidden="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 hidden="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 hidden="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 hidden="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 hidden="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 hidden="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 hidden="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 hidden="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 hidden="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 hidden="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 hidden="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 hidden="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 hidden="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 hidden="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 hidden="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 hidden="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 hidden="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 hidden="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 hidden="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 hidden="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 hidden="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 hidden="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 hidden="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 hidden="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 hidden="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 hidden="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 hidden="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 hidden="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 hidden="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 hidden="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 hidden="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 hidden="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 hidden="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 hidden="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 hidden="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 hidden="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 hidden="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 hidden="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 hidden="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 hidden="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 hidden="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 hidden="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 hidden="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 hidden="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 hidden="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 hidden="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 hidden="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 hidden="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 hidden="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 hidden="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 hidden="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 hidden="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 hidden="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 hidden="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 hidden="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 hidden="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 hidden="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 hidden="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 hidden="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 hidden="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 hidden="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 hidden="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 hidden="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 hidden="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 hidden="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 hidden="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 hidden="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 hidden="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 hidden="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 hidden="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 hidden="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 hidden="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 hidden="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 hidden="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 hidden="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 hidden="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 hidden="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 hidden="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 hidden="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 hidden="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 hidden="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 hidden="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 hidden="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 hidden="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 hidden="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 hidden="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 hidden="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 hidden="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 hidden="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 hidden="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 hidden="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 hidden="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 hidden="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 hidden="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 hidden="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 hidden="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 hidden="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 hidden="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 hidden="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 hidden="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 hidden="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 hidden="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 hidden="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 hidden="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 hidden="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 hidden="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 hidden="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 hidden="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 hidden="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 hidden="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 hidden="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 hidden="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 hidden="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 hidden="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 hidden="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 hidden="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 hidden="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 hidden="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 hidden="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 hidden="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 hidden="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 hidden="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 hidden="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 hidden="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 hidden="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 hidden="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 hidden="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 hidden="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 hidden="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 hidden="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 hidden="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 hidden="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 hidden="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 hidden="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 hidden="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 hidden="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 hidden="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 hidden="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 hidden="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 hidden="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 hidden="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 hidden="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 hidden="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 hidden="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 hidden="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 hidden="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 hidden="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 hidden="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 hidden="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 hidden="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 hidden="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 hidden="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 hidden="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 hidden="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 hidden="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 hidden="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 hidden="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 hidden="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 hidden="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 hidden="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 hidden="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 hidden="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 hidden="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 hidden="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 hidden="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 hidden="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 hidden="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 hidden="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 hidden="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 hidden="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 hidden="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 hidden="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 hidden="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 hidden="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 hidden="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 hidden="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 hidden="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 hidden="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 hidden="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 hidden="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 hidden="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 hidden="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 hidden="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 hidden="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 hidden="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 hidden="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 hidden="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 hidden="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 hidden="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 hidden="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 hidden="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 hidden="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 hidden="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 hidden="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 hidden="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 hidden="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 hidden="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 hidden="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 hidden="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 hidden="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 hidden="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 hidden="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 hidden="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 hidden="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 hidden="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 hidden="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 hidden="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 hidden="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 hidden="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 hidden="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 hidden="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 hidden="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 hidden="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 hidden="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 hidden="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 hidden="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 hidden="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 hidden="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 hidden="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 hidden="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 hidden="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 hidden="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 hidden="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 hidden="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 hidden="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 hidden="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 hidden="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 hidden="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 hidden="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 hidden="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 hidden="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 hidden="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 hidden="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 hidden="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 hidden="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 hidden="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 hidden="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 hidden="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 hidden="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 hidden="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 hidden="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 hidden="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 hidden="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 hidden="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 hidden="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 hidden="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 hidden="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 hidden="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 hidden="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 hidden="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 hidden="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 hidden="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 hidden="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 hidden="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 hidden="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 hidden="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 hidden="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 hidden="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 hidden="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 hidden="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 hidden="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 hidden="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 hidden="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 hidden="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 hidden="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 hidden="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 hidden="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 hidden="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 hidden="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 hidden="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 hidden="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 hidden="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 hidden="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 hidden="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 hidden="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 hidden="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 hidden="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 hidden="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 hidden="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 hidden="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 hidden="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 hidden="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 hidden="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 hidden="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 hidden="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 hidden="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 hidden="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 hidden="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 hidden="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 hidden="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 hidden="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 hidden="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 hidden="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 hidden="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 hidden="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 hidden="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 hidden="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 hidden="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 hidden="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 hidden="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 hidden="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 hidden="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 hidden="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 hidden="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 hidden="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 hidden="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 hidden="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 hidden="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 hidden="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 hidden="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 hidden="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 hidden="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 hidden="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 hidden="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 hidden="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 hidden="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 hidden="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 hidden="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 hidden="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 hidden="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 hidden="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 hidden="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 hidden="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 hidden="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 hidden="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 hidden="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 hidden="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 hidden="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 hidden="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 hidden="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 hidden="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 hidden="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 hidden="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 hidden="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 hidden="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 hidden="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 hidden="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 hidden="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 hidden="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 hidden="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 hidden="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 hidden="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 hidden="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 hidden="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 hidden="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 hidden="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 hidden="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 hidden="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 hidden="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 hidden="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 hidden="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 hidden="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 hidden="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 hidden="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 hidden="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 hidden="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 hidden="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 hidden="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 hidden="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 hidden="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 hidden="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 hidden="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 hidden="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 hidden="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 hidden="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 hidden="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 hidden="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 hidden="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 hidden="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 hidden="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 hidden="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 hidden="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 hidden="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 hidden="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 hidden="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 hidden="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 hidden="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 hidden="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 hidden="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 hidden="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 hidden="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 hidden="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 hidden="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 hidden="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 hidden="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 hidden="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 hidden="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 hidden="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 hidden="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 hidden="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 hidden="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 hidden="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 hidden="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 hidden="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 hidden="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 hidden="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 hidden="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 hidden="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 hidden="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 hidden="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 hidden="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 hidden="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 hidden="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 hidden="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 hidden="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 hidden="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 hidden="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 hidden="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 hidden="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 hidden="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 hidden="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 hidden="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 hidden="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 hidden="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 hidden="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 hidden="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 hidden="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 hidden="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 hidden="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 hidden="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 hidden="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 hidden="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 hidden="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 hidden="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 hidden="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 hidden="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 hidden="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 hidden="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 hidden="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 hidden="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 hidden="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 hidden="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 hidden="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 hidden="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 hidden="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 hidden="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 hidden="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 hidden="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 hidden="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 hidden="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 hidden="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 hidden="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 hidden="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 hidden="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 hidden="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 hidden="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 hidden="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 hidden="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 hidden="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 hidden="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 hidden="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 hidden="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 hidden="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 hidden="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 hidden="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 hidden="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 hidden="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 hidden="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 hidden="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 hidden="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 hidden="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 hidden="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 hidden="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 hidden="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 hidden="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 hidden="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 hidden="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 hidden="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 hidden="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 hidden="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 hidden="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 hidden="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 hidden="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 hidden="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 hidden="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 hidden="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 hidden="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 hidden="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 hidden="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 hidden="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 hidden="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 hidden="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 hidden="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 hidden="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 hidden="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 hidden="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 hidden="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 hidden="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 hidden="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 hidden="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 hidden="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 hidden="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 hidden="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 hidden="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 hidden="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 hidden="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 hidden="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 hidden="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 hidden="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 hidden="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 hidden="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 hidden="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 hidden="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 hidden="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 hidden="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 hidden="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 hidden="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 hidden="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 hidden="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 hidden="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 hidden="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 hidden="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 hidden="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 hidden="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 hidden="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 hidden="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 hidden="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 hidden="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 hidden="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 hidden="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 hidden="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 hidden="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 hidden="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 hidden="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 hidden="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 hidden="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 hidden="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 hidden="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 hidden="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 hidden="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 hidden="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 hidden="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 hidden="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 hidden="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 hidden="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 hidden="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 hidden="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 hidden="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 hidden="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 hidden="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 hidden="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 hidden="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 hidden="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 hidden="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 hidden="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 hidden="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 hidden="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 hidden="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 hidden="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 hidden="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 hidden="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 hidden="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 hidden="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 hidden="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 hidden="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 hidden="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 hidden="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 hidden="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 hidden="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 hidden="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 hidden="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 hidden="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 hidden="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 hidden="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 hidden="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 hidden="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 hidden="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 hidden="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 hidden="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 hidden="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 hidden="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 hidden="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 hidden="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 hidden="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 hidden="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 hidden="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 hidden="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 hidden="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 hidden="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 hidden="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 hidden="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 hidden="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 hidden="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 hidden="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 hidden="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 hidden="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 hidden="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 hidden="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 hidden="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 hidden="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 hidden="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 hidden="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 hidden="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 hidden="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 hidden="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 hidden="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 hidden="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 hidden="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 hidden="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 hidden="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 hidden="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 hidden="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 hidden="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 hidden="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 hidden="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 hidden="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 hidden="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 hidden="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 hidden="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 hidden="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 hidden="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 hidden="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 hidden="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 hidden="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 hidden="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 hidden="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>
    <filterColumn colId="3">
      <filters>
        <filter val="BALI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2026-10-02T07:11:02Z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
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FE07194B-5D1C-4146-BECA-F2F2A6839E79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E52" i="4" s="1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0" i="4" l="1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36" i="4" s="1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E37" i="4" l="1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U80" i="4" s="1"/>
  <c r="R80" i="4" s="1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35" i="15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U11" i="4"/>
  <c r="R11" i="4" s="1"/>
  <c r="R10" i="15" s="1"/>
  <c r="M7" i="17" s="1"/>
  <c r="P15" i="4"/>
  <c r="D11" i="10" s="1"/>
  <c r="H10" i="4"/>
  <c r="M67" i="15" l="1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<sst xmlns="http://schemas.openxmlformats.org/spreadsheetml/2006/main" count="14018" uniqueCount="2881">
  <si>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</si>
  <si>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</si>
  <si>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</si>
  <si>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</si>
  <si>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</si>
  <si>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</si>
  <si>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</si>
  <si>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</si>
  <si>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</si>
  <si>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</si>
  <si>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</si>
  <si>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</si>
  <si>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</si>
  <si>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</si>
  <si>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</si>
  <si>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</si>
  <si>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</si>
  <si>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</si>
  <si>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</si>
  <si>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</si>
  <si>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</si>
  <si>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</si>
  <si>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</si>
  <si>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</si>
  <si>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</si>
  <si>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</si>
  <si>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</si>
  <si>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</si>
  <si>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</si>
  <si>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</si>
  <si>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</si>
  <si>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</si>
  <si>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</si>
  <si>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</si>
  <si>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</si>
  <si>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</si>
  <si>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</si>
  <si>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</si>
  <si>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</si>
  <si>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</si>
  <si>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</si>
  <si>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</si>
  <si>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</si>
  <si>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</si>
  <si>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</si>
  <si>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</si>
  <si>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</si>
  <si>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</si>
  <si>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</si>
  <si>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</si>
  <si>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</si>
  <si>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</si>
  <si>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</si>
  <si>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</si>
  <si>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</si>
  <si>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</si>
  <si>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</si>
  <si>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</si>
  <si>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</si>
  <si>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</si>
  <si>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</si>
  <si>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</si>
  <si>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</si>
  <si>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</si>
  <si>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</si>
  <si>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</si>
  <si>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</si>
  <si>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</si>
  <si>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</si>
  <si>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</si>
  <si>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</si>
  <si>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</si>
  <si>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</si>
  <si>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</si>
  <si>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</si>
  <si>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</si>
  <si>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</si>
  <si>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</si>
  <si>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</si>
  <si>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</si>
  <si>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</si>
  <si>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</si>
  <si>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</si>
  <si>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</si>
  <si>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</si>
  <si>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</si>
  <si>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</si>
  <si>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</si>
  <si>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</si>
  <si>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</si>
  <si>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</si>
  <si>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</si>
  <si>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</si>
  <si>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</si>
  <si>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</si>
  <si>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</si>
  <si>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</si>
  <si>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</si>
  <si>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</si>
  <si>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</si>
  <si>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</si>
  <si>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</si>
  <si>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</si>
  <si>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</si>
  <si>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</si>
  <si>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</si>
  <si>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</si>
  <si>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</si>
  <si>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</si>
  <si>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</si>
  <si>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</si>
  <si>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</si>
  <si>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</si>
  <si>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</si>
  <si>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</si>
  <si>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</si>
  <si>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</si>
  <si>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</si>
  <si>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</si>
  <si>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</si>
  <si>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</si>
  <si>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</si>
  <si>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</si>
  <si>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</si>
  <si>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</si>
  <si>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</si>
  <si>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</si>
  <si>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</si>
  <si>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</si>
  <si>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</si>
  <si>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</si>
  <si>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</si>
  <si>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</si>
  <si>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</si>
  <si>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</si>
  <si>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</si>
  <si>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</si>
  <si>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</si>
  <si>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</si>
  <si>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</si>
  <si>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</si>
  <si>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</si>
  <si>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</si>
  <si>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</si>
  <si>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</si>
  <si>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</si>
  <si>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</si>
  <si>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</si>
  <si>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</si>
  <si>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</si>
  <si>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</si>
  <si>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</si>
  <si>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</si>
  <si>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</si>
  <si>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</si>
  <si>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</si>
  <si>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</si>
  <si>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</si>
  <si>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</si>
  <si>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</si>
  <si>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</si>
  <si>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</si>
  <si>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</si>
  <si>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</si>
  <si>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</si>
  <si>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</si>
  <si>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</si>
  <si>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</si>
  <si>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</si>
  <si>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</si>
  <si>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</si>
  <si>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</si>
  <si>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</si>
  <si>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</si>
  <si>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</si>
  <si>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</si>
  <si>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</si>
  <si>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</si>
  <si>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</si>
  <si>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</si>
  <si>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</si>
  <si>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</si>
  <si>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</si>
  <si>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</si>
  <si>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</si>
  <si>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</si>
  <si>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</si>
  <si>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</si>
  <si>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</si>
  <si>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</si>
  <si>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</si>
  <si>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</si>
  <si>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</si>
  <si>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</si>
  <si>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</si>
  <si>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</si>
  <si>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</si>
  <si>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</si>
  <si>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</si>
  <si>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</si>
  <si>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</si>
  <si>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</si>
  <si>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</si>
  <si>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</si>
  <si>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</si>
  <si>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</si>
  <si>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</si>
  <si>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</si>
  <si>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</si>
  <si>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</si>
  <si>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</si>
  <si>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</si>
  <si>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</si>
  <si>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</si>
  <si>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</si>
  <si>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</si>
  <si>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</si>
  <si>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</si>
  <si>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</si>
  <si>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</si>
  <si>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</si>
  <si>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</si>
  <si>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</si>
  <si>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</si>
  <si>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</si>
  <si>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</si>
  <si>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</si>
  <si>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</si>
  <si>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</si>
  <si>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</si>
  <si>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</si>
  <si>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</si>
  <si>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</si>
  <si>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</si>
  <si>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</si>
  <si>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</si>
  <si>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</si>
  <si>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</si>
  <si>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</si>
  <si>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</si>
  <si>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</si>
  <si>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</si>
  <si>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</si>
  <si>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</si>
  <si>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</si>
  <si>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</si>
  <si>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</si>
  <si>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</si>
  <si>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</si>
  <si>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</si>
  <si>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</si>
  <si>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</si>
  <si>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</si>
  <si>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</si>
  <si>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</si>
  <si>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</si>
  <si>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</si>
  <si>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</si>
  <si>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</si>
  <si>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</si>
  <si>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</si>
  <si>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</si>
  <si>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</si>
  <si>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</si>
  <si>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</si>
  <si>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</si>
  <si>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</si>
  <si>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</si>
  <si>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</si>
  <si>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</si>
  <si>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</si>
  <si>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</si>
  <si>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</si>
  <si>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</si>
  <si>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</si>
  <si>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</si>
  <si>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</si>
  <si>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</si>
  <si>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</si>
  <si>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</si>
  <si>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</si>
  <si>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</si>
  <si>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</si>
  <si>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</si>
  <si>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</si>
  <si>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</si>
  <si>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</si>
  <si>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</si>
  <si>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</si>
  <si>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</si>
  <si>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</si>
  <si>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</si>
  <si>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</si>
  <si>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</si>
  <si>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</si>
  <si>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</si>
  <si>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</si>
  <si>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</si>
  <si>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</si>
  <si>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</si>
  <si>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</si>
  <si>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</si>
  <si>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</si>
  <si>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</si>
  <si>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</si>
  <si>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</si>
  <si>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</si>
  <si>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</si>
  <si>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</si>
  <si>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</si>
  <si>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</si>
  <si>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</si>
  <si>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</si>
  <si>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</si>
  <si>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</si>
  <si>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</si>
  <si>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</si>
  <si>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</si>
  <si>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</si>
  <si>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</si>
  <si>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</si>
  <si>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</si>
  <si>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</si>
  <si>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</si>
  <si>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</si>
  <si>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</si>
  <si>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</si>
  <si>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</si>
  <si>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</si>
  <si>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</si>
  <si>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</si>
  <si>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</si>
  <si>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</si>
  <si>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</si>
  <si>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</si>
  <si>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</si>
  <si>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</si>
  <si>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</si>
  <si>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</si>
  <si>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</si>
  <si>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</si>
  <si>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</si>
  <si>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</si>
  <si>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</si>
  <si>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</si>
  <si>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</si>
  <si>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</si>
  <si>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</si>
  <si>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</si>
  <si>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</si>
  <si>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</si>
  <si>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</si>
  <si>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</si>
  <si>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</si>
  <si>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</si>
  <si>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</si>
  <si>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</si>
  <si>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</si>
  <si>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</si>
  <si>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</si>
  <si>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</si>
  <si>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</si>
  <si>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</si>
  <si>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</si>
  <si>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</si>
  <si>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</si>
  <si>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</si>
  <si>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</si>
  <si>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</si>
  <si>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</si>
  <si>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</si>
  <si>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</si>
  <si>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</si>
  <si>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</si>
  <si>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</si>
  <si>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</si>
  <si>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</si>
  <si>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</si>
  <si>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</si>
  <si>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</si>
  <si>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</si>
  <si>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</si>
  <si>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</si>
  <si>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</si>
  <si>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</si>
  <si>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</si>
  <si>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</si>
  <si>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</si>
  <si>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</si>
  <si>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</si>
  <si>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</si>
  <si>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</si>
  <si>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</si>
  <si>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</si>
  <si>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</si>
  <si>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</si>
  <si>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</si>
  <si>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</si>
  <si>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</si>
  <si>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</si>
  <si>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</si>
  <si>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</si>
  <si>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</si>
  <si>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</si>
  <si>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</si>
  <si>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</si>
  <si>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</si>
  <si>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</si>
  <si>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</si>
  <si>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</si>
  <si>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</si>
  <si>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</si>
  <si>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</si>
  <si>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</si>
  <si>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</si>
  <si>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</si>
  <si>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</si>
  <si>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</si>
  <si>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</si>
  <si>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</si>
  <si>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</si>
  <si>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</si>
  <si>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</si>
  <si>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</si>
  <si>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</si>
  <si>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</si>
  <si>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</si>
  <si>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</si>
  <si>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</si>
  <si>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</si>
  <si>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</si>
  <si>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</si>
  <si>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</si>
  <si>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</si>
  <si>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</si>
  <si>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</si>
  <si>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</si>
  <si>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</si>
  <si>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</si>
  <si>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</si>
  <si>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</si>
  <si>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</si>
  <si>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</si>
  <si>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</si>
  <si>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</si>
  <si>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</si>
  <si>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</si>
  <si>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</si>
  <si>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</si>
  <si>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</si>
  <si>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</si>
  <si>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</si>
  <si>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</si>
  <si>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</si>
  <si>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</si>
  <si>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</si>
  <si>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</si>
  <si>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</si>
  <si>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</si>
  <si>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</si>
  <si>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</si>
  <si>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</si>
  <si>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</si>
  <si>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</si>
  <si>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</si>
  <si>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</si>
  <si>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</si>
  <si>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</si>
  <si>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</si>
  <si>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</si>
  <si>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</si>
  <si>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</si>
  <si>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</si>
  <si>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</si>
  <si>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</si>
  <si>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</si>
  <si>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</si>
  <si>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</si>
  <si>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</si>
  <si>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</si>
  <si>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</si>
  <si>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</si>
  <si>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</si>
  <si>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</si>
  <si>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</si>
  <si>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</si>
  <si>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</si>
  <si>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</si>
  <si>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</si>
  <si>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</si>
  <si>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</si>
  <si>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</si>
  <si>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</si>
  <si>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</si>
  <si>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</si>
  <si>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</si>
  <si>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</si>
  <si>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</si>
  <si>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</si>
  <si>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</si>
  <si>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</si>
  <si>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</si>
  <si>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</si>
  <si>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</si>
  <si>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</si>
  <si>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</si>
  <si>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</si>
  <si>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</si>
  <si>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</si>
  <si>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</si>
  <si>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</si>
  <si>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</si>
  <si>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</si>
  <si>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</si>
  <si>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</si>
  <si>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</si>
  <si>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</si>
  <si>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</si>
  <si>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</si>
  <si>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</si>
  <si>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</si>
  <si>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</si>
  <si>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</si>
  <si>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</si>
  <si>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</si>
  <si>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</si>
  <si>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</si>
  <si>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</si>
  <si>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</si>
  <si>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</si>
  <si>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</si>
  <si>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</si>
  <si>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</si>
  <si>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</si>
  <si>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</si>
  <si>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</si>
  <si>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</si>
  <si>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</si>
  <si>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</si>
  <si>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</si>
  <si>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</si>
  <si>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</si>
  <si>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</si>
  <si>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</si>
  <si>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</si>
  <si>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</si>
  <si>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</si>
  <si>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</si>
  <si>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</si>
  <si>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</si>
  <si>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</si>
  <si>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</si>
  <si>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</si>
  <si>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</si>
  <si>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</si>
  <si>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</si>
  <si>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</si>
  <si>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</si>
  <si>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</si>
  <si>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</si>
  <si>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</si>
  <si>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</si>
  <si>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</si>
  <si>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</si>
  <si>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</si>
  <si>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</si>
  <si>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</si>
  <si>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</si>
  <si>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</si>
  <si>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</si>
  <si>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</si>
  <si>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</si>
  <si>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</si>
  <si>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</si>
  <si>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</si>
  <si>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</si>
  <si>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</si>
  <si>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</si>
  <si>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</si>
  <si>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</si>
  <si>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</si>
  <si>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</si>
  <si>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</si>
  <si>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</si>
  <si>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</si>
  <si>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</si>
  <si>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</si>
  <si>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</si>
  <si>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</si>
  <si>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</si>
  <si>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</si>
  <si>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</si>
  <si>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</si>
  <si>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</si>
  <si>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</si>
  <si>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</si>
  <si>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</si>
  <si>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</si>
  <si>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</si>
  <si>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</si>
  <si>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</si>
  <si>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</si>
  <si>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</si>
  <si>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</si>
  <si>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</si>
  <si>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</si>
  <si>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</si>
  <si>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</si>
  <si>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</si>
  <si>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</si>
  <si>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</si>
  <si>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</si>
  <si>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</si>
  <si>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</si>
  <si>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</si>
  <si>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</si>
  <si>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</si>
  <si>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</si>
  <si>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</si>
  <si>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</si>
  <si>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</si>
  <si>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</si>
  <si>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</si>
  <si>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</si>
  <si>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</si>
  <si>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</si>
  <si>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</si>
  <si>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</si>
  <si>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</si>
  <si>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</si>
  <si>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</si>
  <si>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</si>
  <si>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</si>
  <si>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</si>
  <si>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</si>
  <si>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</si>
  <si>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</si>
  <si>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</si>
  <si>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</si>
  <si>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</si>
  <si>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</si>
  <si>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</si>
  <si>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</si>
  <si>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</si>
  <si>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</si>
  <si>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</si>
  <si>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</si>
  <si>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</si>
  <si>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</si>
  <si>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</si>
  <si>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</si>
  <si>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</si>
  <si>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</si>
  <si>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</si>
  <si>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</si>
  <si>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</si>
  <si>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</si>
  <si>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</si>
  <si>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</si>
  <si>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</si>
  <si>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</si>
  <si>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</si>
  <si>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</si>
  <si>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</si>
  <si>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</si>
  <si>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</si>
  <si>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</si>
  <si>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</si>
  <si>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</si>
  <si>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</si>
  <si>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</si>
  <si>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</si>
  <si>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</si>
  <si>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</si>
  <si>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</si>
  <si>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</si>
  <si>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</si>
  <si>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</si>
  <si>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</si>
  <si>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</si>
  <si>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</si>
  <si>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</si>
  <si>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</si>
  <si>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</si>
  <si>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</si>
  <si>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</si>
  <si>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</si>
  <si>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</si>
  <si>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</si>
  <si>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</si>
  <si>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</si>
  <si>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</si>
  <si>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</si>
  <si>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</si>
  <si>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</si>
  <si>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</si>
  <si>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</si>
  <si>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</si>
  <si>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</si>
  <si>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</si>
  <si>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</si>
  <si>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</si>
  <si>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</si>
  <si>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</si>
  <si>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</si>
  <si>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</si>
  <si>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</si>
  <si>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</si>
  <si>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</si>
  <si>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</si>
  <si>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</si>
  <si>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</si>
  <si>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</si>
  <si>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</si>
  <si>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</si>
  <si>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</si>
  <si>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</si>
  <si>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</si>
  <si>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</si>
  <si>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</si>
  <si>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</si>
  <si>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</si>
  <si>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</si>
  <si>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</si>
  <si>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</si>
  <si>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</si>
  <si>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</si>
  <si>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</si>
  <si>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</si>
  <si>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</si>
  <si>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</si>
  <si>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</si>
  <si>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</si>
  <si>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</si>
  <si>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</si>
  <si>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</si>
  <si>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</si>
  <si>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</si>
  <si>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</si>
  <si>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</si>
  <si>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</si>
  <si>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</si>
  <si>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</si>
  <si>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</si>
  <si>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</si>
  <si>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</si>
  <si>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</si>
  <si>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</si>
  <si>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</si>
  <si>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</si>
  <si>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</si>
  <si>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</si>
  <si>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</si>
  <si>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</si>
  <si>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</si>
  <si>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</si>
  <si>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</si>
  <si>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</si>
  <si>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</si>
  <si>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</si>
  <si>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</si>
  <si>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</si>
  <si>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</si>
  <si>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</si>
  <si>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</si>
  <si>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</si>
  <si>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</si>
  <si>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</si>
  <si>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</si>
  <si>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</si>
  <si>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</si>
  <si>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</si>
  <si>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</si>
  <si>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</si>
  <si>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</si>
  <si>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</si>
  <si>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</si>
  <si>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</si>
  <si>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</si>
  <si>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</si>
  <si>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</si>
  <si>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</si>
  <si>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</si>
  <si>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</si>
  <si>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</si>
  <si>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</si>
  <si>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</si>
  <si>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</si>
  <si>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</si>
  <si>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</si>
  <si>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</si>
  <si>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</si>
  <si>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</si>
  <si>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</si>
  <si>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</si>
  <si>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</si>
  <si>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</si>
  <si>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</si>
  <si>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</si>
  <si>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</si>
  <si>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</si>
  <si>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</si>
  <si>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</si>
  <si>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</si>
  <si>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</si>
  <si>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</si>
  <si>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</si>
  <si>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</si>
  <si>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</si>
  <si>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</si>
  <si>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</si>
  <si>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</si>
  <si>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</si>
  <si>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</si>
  <si>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</si>
  <si>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</si>
  <si>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</si>
  <si>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</si>
  <si>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</si>
  <si>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MYCX - SEND OPEN PAPERLESS</t>
  </si>
  <si>
    <t>SEND PAPERLESS OPEN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</si>
  <si>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</si>
  <si>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</si>
  <si>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</si>
  <si>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</si>
  <si>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</si>
  <si>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</si>
  <si>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</si>
  <si>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</si>
  <si>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</si>
  <si>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</si>
  <si>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</si>
  <si>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</si>
  <si>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</si>
  <si>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</si>
  <si>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</si>
  <si>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</si>
  <si>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</si>
  <si>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</si>
  <si>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</si>
  <si>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</si>
  <si>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</si>
  <si>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</si>
  <si>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</si>
  <si>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</si>
  <si>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</si>
  <si>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</si>
  <si>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</si>
  <si>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</si>
  <si>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</si>
  <si>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</si>
  <si>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</si>
  <si>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</si>
  <si>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</si>
  <si>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</si>
  <si>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</si>
  <si>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</si>
  <si>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</si>
  <si>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</si>
  <si>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</si>
  <si>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</si>
  <si>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</si>
  <si>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</si>
  <si>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</si>
  <si>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</si>
  <si>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</si>
  <si>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</si>
  <si>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</si>
  <si>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</si>
  <si>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</si>
  <si>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</si>
  <si>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</si>
  <si>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</si>
  <si>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</si>
  <si>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</si>
  <si>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</si>
  <si>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</si>
  <si>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</si>
  <si>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</si>
  <si>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</si>
  <si>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</si>
  <si>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</si>
  <si>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</si>
  <si>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</si>
  <si>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</si>
  <si>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</si>
  <si>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PRE_PI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</si>
  <si>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</si>
  <si>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</si>
  <si>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</si>
  <si>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</si>
  <si>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</si>
  <si>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</si>
  <si>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</si>
  <si>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</si>
  <si>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OSS - PROVISIONING START</t>
  </si>
  <si>
    <t>Provisioning Start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</si>
  <si>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</si>
  <si>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</si>
  <si>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</si>
  <si>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</si>
  <si>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</si>
  <si>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</si>
  <si>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</si>
  <si>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</si>
  <si>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</si>
  <si>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</si>
  <si>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</si>
  <si>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</si>
  <si>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</si>
  <si>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</si>
  <si>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</si>
  <si>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</si>
  <si>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</si>
  <si>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</si>
  <si>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</si>
  <si>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</si>
  <si>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</si>
  <si>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</si>
  <si>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</si>
  <si>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</si>
  <si>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</si>
  <si>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</si>
  <si>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</si>
  <si>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</si>
  <si>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</si>
  <si>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</si>
  <si>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</si>
  <si>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</si>
  <si>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</si>
  <si>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</si>
  <si>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</si>
  <si>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</si>
  <si>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</si>
  <si>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</si>
  <si>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</si>
  <si>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</si>
  <si>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</si>
  <si>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</si>
  <si>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</si>
  <si>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</si>
  <si>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</si>
  <si>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</si>
  <si>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</si>
  <si>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</si>
  <si>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</si>
  <si>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</si>
  <si>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</si>
  <si>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</si>
  <si>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</si>
  <si>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</si>
  <si>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</si>
  <si>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</si>
  <si>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</si>
  <si>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</si>
  <si>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</si>
  <si>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</si>
  <si>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</si>
  <si>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</si>
  <si>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</si>
  <si>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</si>
  <si>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</si>
  <si>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</si>
  <si>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</si>
  <si>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</si>
  <si>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</si>
  <si>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</si>
  <si>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</si>
  <si>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</si>
  <si>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</si>
  <si>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</si>
  <si>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</si>
  <si>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</si>
  <si>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</si>
  <si>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</si>
  <si>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</si>
  <si>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</si>
  <si>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</si>
  <si>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</si>
  <si>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</si>
  <si>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</si>
  <si>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</si>
  <si>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</si>
  <si>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</si>
  <si>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</si>
  <si>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</si>
  <si>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</si>
  <si>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</si>
  <si>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</si>
  <si>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</si>
  <si>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</si>
  <si>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</si>
  <si>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</si>
  <si>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</si>
  <si>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</si>
  <si>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</si>
  <si>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</si>
  <si>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</si>
  <si>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</si>
  <si>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</si>
  <si>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</si>
  <si>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</si>
  <si>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</si>
  <si>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</si>
  <si>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</si>
  <si>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</si>
  <si>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</si>
  <si>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</si>
  <si>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</si>
  <si>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</si>
  <si>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</si>
  <si>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</si>
  <si>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</si>
  <si>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</si>
  <si>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</si>
  <si>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</si>
  <si>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</si>
  <si>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</si>
  <si>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</si>
  <si>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</si>
  <si>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</si>
  <si>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</si>
  <si>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</si>
  <si>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</si>
  <si>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</si>
  <si>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</si>
  <si>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</si>
  <si>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</si>
  <si>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</si>
  <si>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</si>
  <si>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</si>
  <si>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</si>
  <si>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</si>
  <si>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</si>
  <si>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</si>
  <si>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</si>
  <si>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</si>
  <si>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</si>
  <si>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</si>
  <si>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</si>
  <si>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</si>
  <si>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</si>
  <si>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</si>
  <si>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</si>
  <si>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</si>
  <si>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</si>
  <si>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</si>
  <si>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</si>
  <si>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</si>
  <si>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</si>
  <si>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</si>
  <si>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</si>
  <si>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</si>
  <si>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</si>
  <si>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</si>
  <si>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</si>
  <si>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</si>
  <si>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</si>
  <si>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</si>
  <si>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</si>
  <si>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</si>
  <si>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</si>
  <si>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</si>
  <si>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</si>
  <si>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</si>
  <si>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</si>
  <si>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</si>
  <si>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</si>
  <si>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</si>
  <si>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</si>
  <si>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</si>
  <si>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</si>
  <si>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</si>
  <si>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</si>
  <si>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</si>
  <si>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</si>
  <si>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</si>
  <si>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</si>
  <si>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</si>
  <si>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</si>
  <si>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</si>
  <si>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</si>
  <si>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</si>
  <si>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</si>
  <si>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</si>
  <si>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</si>
  <si>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</si>
  <si>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</si>
  <si>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</si>
  <si>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</si>
  <si>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</si>
  <si>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</si>
  <si>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</si>
  <si>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</si>
  <si>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</si>
  <si>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</si>
  <si>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</si>
  <si>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</si>
  <si>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</si>
  <si>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</si>
  <si>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</si>
  <si>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</si>
  <si>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</si>
  <si>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</si>
  <si>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</si>
  <si>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</si>
  <si>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</si>
  <si>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</si>
  <si>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</si>
  <si>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</si>
  <si>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</si>
  <si>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</si>
  <si>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</si>
  <si>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</si>
  <si>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</si>
  <si>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</si>
  <si>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</si>
  <si>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</si>
  <si>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</si>
  <si>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</si>
  <si>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</si>
  <si>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</si>
  <si>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</si>
  <si>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</si>
  <si>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</si>
  <si>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</si>
  <si>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</si>
  <si>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</si>
  <si>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</si>
  <si>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</si>
  <si>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</si>
  <si>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</si>
  <si>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</si>
  <si>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</si>
  <si>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</si>
  <si>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</si>
  <si>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</si>
  <si>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</si>
  <si>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</si>
  <si>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</si>
  <si>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</si>
  <si>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</si>
  <si>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</si>
  <si>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</si>
  <si>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</si>
  <si>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</si>
  <si>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</si>
  <si>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</si>
  <si>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</si>
  <si>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</si>
  <si>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</si>
  <si>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</si>
  <si>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</si>
  <si>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</si>
  <si>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</si>
  <si>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</si>
  <si>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</si>
  <si>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</si>
  <si>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</si>
  <si>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</si>
  <si>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</si>
  <si>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</si>
  <si>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</si>
  <si>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</si>
  <si>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</si>
  <si>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</si>
  <si>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</si>
  <si>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</si>
  <si>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</si>
  <si>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</si>
  <si>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</si>
  <si>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</si>
  <si>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</si>
  <si>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</si>
  <si>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</si>
  <si>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</si>
  <si>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</si>
  <si>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</si>
  <si>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</si>
  <si>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</si>
  <si>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</si>
  <si>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</si>
  <si>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</si>
  <si>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</si>
  <si>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</si>
  <si>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</si>
  <si>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</si>
  <si>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</si>
  <si>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</si>
  <si>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</si>
  <si>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</si>
  <si>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</si>
  <si>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</si>
  <si>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</si>
  <si>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</si>
  <si>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</si>
  <si>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</si>
  <si>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</si>
  <si>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</si>
  <si>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</si>
  <si>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</si>
  <si>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</si>
  <si>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</si>
  <si>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</si>
  <si>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</si>
  <si>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</si>
  <si>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</si>
  <si>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</si>
  <si>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</si>
  <si>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</si>
  <si>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</si>
  <si>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</si>
  <si>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</si>
  <si>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</si>
  <si>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</si>
  <si>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</si>
  <si>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</si>
  <si>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</si>
  <si>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</si>
  <si>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</si>
  <si>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</si>
  <si>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</si>
  <si>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</si>
  <si>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</si>
  <si>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</si>
  <si>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</si>
  <si>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</si>
  <si>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</si>
  <si>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</si>
  <si>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</si>
  <si>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</si>
  <si>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</si>
  <si>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</si>
  <si>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</si>
  <si>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</si>
  <si>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</si>
  <si>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</si>
  <si>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</si>
  <si>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</si>
  <si>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</si>
  <si>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</si>
  <si>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</si>
  <si>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</si>
  <si>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</si>
  <si>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</si>
  <si>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</si>
  <si>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</si>
  <si>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</si>
  <si>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</si>
  <si>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</si>
  <si>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</si>
  <si>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</si>
  <si>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</si>
  <si>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</si>
  <si>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</si>
  <si>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</si>
  <si>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</si>
  <si>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</si>
  <si>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</si>
  <si>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</si>
  <si>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</si>
  <si>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</si>
  <si>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</si>
  <si>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</si>
  <si>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</si>
  <si>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</si>
  <si>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</si>
  <si>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</si>
  <si>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</si>
  <si>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</si>
  <si>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</si>
  <si>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</si>
  <si>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</si>
  <si>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</si>
  <si>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</si>
  <si>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</si>
  <si>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</si>
  <si>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</si>
  <si>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</si>
  <si>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</si>
  <si>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</si>
  <si>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</si>
  <si>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</si>
  <si>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</si>
  <si>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</si>
  <si>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</si>
  <si>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</si>
  <si>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</si>
  <si>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</si>
  <si>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</si>
  <si>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</si>
  <si>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</si>
  <si>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</si>
  <si>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</si>
  <si>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</si>
  <si>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</si>
  <si>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</si>
  <si>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</si>
  <si>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</si>
  <si>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</si>
  <si>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</si>
  <si>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</si>
  <si>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Provisioning Failed|WFM|INF009616724|TOF_-6.869492500000001,112.3479201_kendala otb penuh, perlu tambah jaringan karena dilok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</si>
  <si>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</si>
  <si>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</si>
  <si>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</si>
  <si>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</si>
  <si>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</si>
  <si>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</si>
  <si>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</si>
  <si>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</si>
  <si>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</si>
  <si>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</si>
  <si>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</si>
  <si>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</si>
  <si>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</si>
  <si>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</si>
  <si>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</si>
  <si>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</si>
  <si>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</si>
  <si>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</si>
  <si>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</si>
  <si>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</si>
  <si>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</si>
  <si>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</si>
  <si>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</si>
  <si>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</si>
  <si>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</si>
  <si>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</si>
  <si>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</si>
  <si>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</si>
  <si>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</si>
  <si>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</si>
  <si>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</si>
  <si>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</si>
  <si>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</si>
  <si>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</si>
  <si>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</si>
  <si>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</si>
  <si>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</si>
  <si>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</si>
  <si>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</si>
  <si>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</si>
  <si>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</si>
  <si>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</si>
  <si>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</si>
  <si>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</si>
  <si>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</si>
  <si>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</si>
  <si>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</si>
  <si>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</si>
  <si>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</si>
  <si>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</si>
  <si>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</si>
  <si>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</si>
  <si>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</si>
  <si>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</si>
  <si>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</si>
  <si>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</si>
  <si>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</si>
  <si>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</si>
  <si>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</si>
  <si>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</si>
  <si>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</si>
  <si>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</si>
  <si>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</si>
  <si>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</si>
  <si>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</si>
  <si>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</si>
  <si>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</si>
  <si>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</si>
  <si>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</si>
  <si>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</si>
  <si>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</si>
  <si>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</si>
  <si>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</si>
  <si>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</si>
  <si>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</si>
  <si>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</si>
  <si>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</si>
  <si>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</si>
  <si>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</si>
  <si>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</si>
  <si>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</si>
  <si>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</si>
  <si>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</si>
  <si>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</si>
  <si>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</si>
  <si>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</si>
  <si>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</si>
  <si>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</si>
  <si>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</si>
  <si>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</si>
  <si>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</si>
  <si>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</si>
  <si>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</si>
  <si>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</si>
  <si>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</si>
  <si>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</si>
  <si>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</si>
  <si>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</si>
  <si>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</si>
  <si>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</si>
  <si>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</si>
  <si>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</si>
  <si>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</si>
  <si>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</si>
  <si>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</si>
  <si>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</si>
  <si>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</si>
  <si>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</si>
  <si>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</si>
  <si>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</si>
  <si>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</si>
  <si>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</si>
  <si>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</si>
  <si>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</si>
  <si>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</si>
  <si>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</si>
  <si>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</si>
  <si>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</si>
  <si>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</si>
  <si>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</si>
  <si>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</si>
  <si>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</si>
  <si>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</si>
  <si>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</si>
  <si>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</si>
  <si>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</si>
  <si>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</si>
  <si>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</si>
  <si>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</si>
  <si>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</si>
  <si>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</si>
  <si>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</si>
  <si>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</si>
  <si>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</si>
  <si>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</si>
  <si>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</si>
  <si>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Provisioning Failed|UIM|INF009629314|1029:Reservation not found for Broadband CFS with Reservation ID : 39611817457</t>
  </si>
  <si>
    <t>DGS</t>
  </si>
  <si>
    <t>DGS-Government Public Services</t>
  </si>
  <si>
    <t>COMMAND CENTER MANDALIKA II</t>
  </si>
  <si>
    <t>ODP-PYA-FAS/71</t>
  </si>
  <si>
    <t>WO065496629</t>
  </si>
  <si>
    <t>AO | DGS HSI | MARLINTIKA | 940162 | TREG 3 | COMMAND CENTER MANDALIKA| 81339527212|AO HSI 1S INET ONLY 100MBPS</t>
  </si>
  <si>
    <t>- 11_11450;Biaya PSB Reguler HSI EBIS ~ 11[150000]  - SP_NOSS;SP_NOSS ~ Internet NOSS Multispeed Network[0]  - SP_NOSS;SP_NOSS ~ Internet NOSS Multispeed Network[0]  - E23046;E23046 ~ ES23 - Paket HSI Bisnis[0]  - E23046~null~E23046_UNL;UNL ~ Internet-Lin</t>
  </si>
  <si>
    <t>DGS-Government Defense Service</t>
  </si>
  <si>
    <t>COMMAND CENTER MANDALIKA</t>
  </si>
  <si>
    <t>GCL-PYA-F08/19</t>
  </si>
  <si>
    <t>WO065473937</t>
  </si>
  <si>
    <t xml:space="preserve">- 11_11450;Biaya PSB Reguler HSI EBIS ~ 11[150000]  - SP_NOSS;SP_NOSS ~ Internet NOSS Multispeed Network[0]  - SP_NOSS;SP_NOSS ~ Internet NOSS Multispeed Network[0]  - E23015;E23015 ~ ES23 - Perangkat ONT[0]  - E23015~null~44292;E23015||11||Abodemen 0[0] </t>
  </si>
  <si>
    <t>WO065491636</t>
  </si>
  <si>
    <t>ODP-PYA-FAT/21</t>
  </si>
  <si>
    <t>WO065492798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</si>
  <si>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</si>
  <si>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</si>
  <si>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</si>
  <si>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</si>
  <si>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</si>
  <si>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</si>
  <si>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</si>
  <si>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</si>
  <si>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</si>
  <si>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</si>
  <si>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</si>
  <si>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</si>
  <si>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</si>
  <si>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</si>
  <si>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</si>
  <si>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</si>
  <si>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</si>
  <si>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</si>
  <si>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</si>
  <si>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</si>
  <si>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</si>
  <si>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</si>
  <si>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</si>
  <si>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</si>
  <si>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</si>
  <si>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</si>
  <si>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</si>
  <si>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</si>
  <si>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</si>
  <si>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</si>
  <si>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</si>
  <si>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</si>
  <si>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</si>
  <si>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</si>
  <si>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</si>
  <si>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</si>
  <si>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</si>
  <si>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</si>
  <si>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</si>
  <si>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</si>
  <si>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</si>
  <si>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</si>
  <si>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</si>
  <si>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</si>
  <si>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</si>
  <si>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</si>
  <si>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</si>
  <si>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</si>
  <si>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</si>
  <si>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</si>
  <si>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</si>
  <si>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</si>
  <si>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DGS-B2B TREG</t>
  </si>
  <si>
    <t>Kementerian HAM wilayah kerja NTB Dua</t>
  </si>
  <si>
    <t>ODP-MTR-FAQ/31</t>
  </si>
  <si>
    <t>WO065526867</t>
  </si>
  <si>
    <t>DGS HSI | I MADE ARY SWANTIKA / YAYUK | 940097 / 207465| TREG 3| Kementerian HAM wilayah kerja NTB Dua | 0818365321 |hamprovntb@gmail.com|HSI BISNIS  1S INET  300 MBPS</t>
  </si>
  <si>
    <t>Plasa</t>
  </si>
  <si>
    <t>call by phone</t>
  </si>
  <si>
    <t>- 11_11450;Biaya PSB Reguler HSI EBIS ~ 11[500000]  - E23015;E23015 ~ ES23 - Perangkat ONT[0]  - E23015~null~44292;E23015||11||Abodemen 0[0]  - E23015~null~E23015_SWONTPREM;SWONTPREM ~ Biaya Sewa ONT Premium ~ E23015[50000]  - E25060;E25060 ~ ES25 - Paket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</si>
  <si>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</si>
  <si>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</si>
  <si>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</si>
  <si>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</si>
  <si>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</si>
  <si>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</si>
  <si>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</si>
  <si>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</si>
  <si>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</si>
  <si>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</si>
  <si>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DPMPTSP SUMBAWA BARAT</t>
  </si>
  <si>
    <t>ODP-TET-FAF/55</t>
  </si>
  <si>
    <t>WO065485056</t>
  </si>
  <si>
    <t xml:space="preserve">DGS HSI | ADI HERMANTO | 403209 | | TREG 3 |DPMPTSP SUMBAWA BARAT | Mujiburrahman| 81237165084|100Mbps  </t>
  </si>
  <si>
    <t>Kendala Lainnya</t>
  </si>
  <si>
    <t>Provisioning Failed|WFM|INF009601801|ket pelurusan</t>
  </si>
  <si>
    <t>Polsek Langgudu BIMA KOTA</t>
  </si>
  <si>
    <t>WO065489618</t>
  </si>
  <si>
    <t>AO | DGS HSI | MARLINTIKA | 940162 | TREG 3 | POLSEK LANGGUDU| 82247061770|AO HSI 1S INET ONLY 50MBPS</t>
  </si>
  <si>
    <t>- 11_11450;Biaya PSB Reguler HSI EBIS ~ 11[150000]  - E23046;E23046 ~ ES23 - Paket HSI Bisnis[0]  - E23046~null~E23046_UNL;UNL ~ Internet-Link Unlimited Internet Usage ~ E23046[0]  - E23046~null~44877;E23046||11||Abodemen 0[0]  - E23046~null~E23046_HSIE50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</si>
  <si>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</si>
  <si>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</si>
  <si>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</si>
  <si>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</si>
  <si>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</si>
  <si>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FO_ASAP</t>
  </si>
  <si>
    <t>Provisioning Failed|ACTIVATION|INF009649461|U31_PORT_NOT_FOUND:ServicePort Not Found / ONT Connectivity is Missing</t>
  </si>
  <si>
    <t>BPKAD 3 ANGGARAN</t>
  </si>
  <si>
    <t>ODP-DMP-FAE/27</t>
  </si>
  <si>
    <t>WO065629142</t>
  </si>
  <si>
    <t xml:space="preserve">DGS HSI |TREG 3 | IRAWATI | 960251| LBPKAD 3 ANGGARAN|82339765925|Indibiz 75Mbps </t>
  </si>
  <si>
    <t>- 11_11450;Biaya PSB Reguler HSI EBIS ~ 11[150000]  - E23015;E23015 ~ ES23 - Perangkat ONT[0]  - E23015~null~44292;E23015||11||Abodemen 0[0]  - E23015~null~E23015_SWONT;SWONT ~ Biaya Sewa ONT ~ E23015[30000]  - E24057;E24057 ~ ES24 - Paket HSI Bisnis (HSI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</si>
  <si>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</si>
  <si>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</si>
  <si>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</si>
  <si>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</si>
  <si>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</si>
  <si>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</si>
  <si>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</si>
  <si>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</si>
  <si>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</si>
  <si>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</si>
  <si>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</si>
  <si>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</si>
  <si>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</si>
  <si>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</si>
  <si>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</si>
  <si>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</si>
  <si>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DPS</t>
  </si>
  <si>
    <t>DPS-Property &amp; Resources</t>
  </si>
  <si>
    <t>AMNT Townsite 2 A19</t>
  </si>
  <si>
    <t>ODP-MLK-FAG/31</t>
  </si>
  <si>
    <t>WO065463499</t>
  </si>
  <si>
    <t>DSS HSI | WILHELMI A IDRIS | 970167 | TREG 3 | AMNT Townsite |SYAHRUL ALQADRI| 081237399497 | PSB 2P INET TV 20MBPS</t>
  </si>
  <si>
    <t>SUMBAWA BARAT</t>
  </si>
  <si>
    <t>- 11_11450;Biaya PSB Reguler HSI EBIS ~ 11[500000]  - 11_70522;Biaya PSB Reguler IPTV EBIS ~ 11[100000]  - SP_NOSS;SP_NOSS ~ Internet NOSS Multispeed Network[0]  - E23015;E23015 ~ ES23 - Perangkat ONT[0]  - E23015~null~44292;E23015||11||Abodemen 0[0]  - E</t>
  </si>
  <si>
    <t>AMNT Townsite 2 A21</t>
  </si>
  <si>
    <t>WO065464382</t>
  </si>
  <si>
    <t>- 11_11450;Biaya PSB Reguler HSI EBIS ~ 11[500000]  - 11_70522;Biaya PSB Reguler IPTV EBIS ~ 11[100000]  - SP_NOSS;SP_NOSS ~ Internet NOSS Multispeed Network[0]  - SP_NOSS;SP_NOSS ~ Internet NOSS Multispeed Network[0]  - E26018;E26018 ~ ES26 - Paket SBR H</t>
  </si>
  <si>
    <t>AMNT Townsite 2 A23</t>
  </si>
  <si>
    <t>WO065465704</t>
  </si>
  <si>
    <t>- 11_11450;Biaya PSB Reguler HSI EBIS ~ 11[500000]  - 11_70522;Biaya PSB Reguler IPTV EBIS ~ 11[100000]  - SP_NOSS;SP_NOSS ~ Internet NOSS Multispeed Network[0]  - E26018;E26018 ~ ES26 - Paket SBR HSI Bisnis Basic PT AMNT Bundling IPTV[0]  - E26018~null~E</t>
  </si>
  <si>
    <t>AMNT Townsite 2 A20</t>
  </si>
  <si>
    <t>WO065464015</t>
  </si>
  <si>
    <t>- 11_11450;Biaya PSB Reguler HSI EBIS ~ 11[500000]  - 11_70522;Biaya PSB Reguler IPTV EBIS ~ 11[100000]  - SP_NOSS;SP_NOSS ~ Internet NOSS Multispeed Network[0]  - SP_NOSS;SP_NOSS ~ Internet NOSS Multispeed Network[0]  - E23015;E23015 ~ ES23 - Perangkat O</t>
  </si>
  <si>
    <t>AMNT Townsite 2 A22</t>
  </si>
  <si>
    <t>WO065465247</t>
  </si>
  <si>
    <t>AMNT Townsite 2 A24</t>
  </si>
  <si>
    <t>WO065466303</t>
  </si>
  <si>
    <t>AMNT Townsite 2 A18</t>
  </si>
  <si>
    <t>WO065461637</t>
  </si>
  <si>
    <t>AMNT Townsite 2 D37</t>
  </si>
  <si>
    <t>ODP-MLK-FAG/20</t>
  </si>
  <si>
    <t>WO065487433</t>
  </si>
  <si>
    <t>DSS HSI | WILHELMI A IDRIS | 970167 | TREG 3 | AMNT TOWNSITE|SYAHRUL ALQADRI| 081237399497 | PSB 2P INET TV 20MBPS</t>
  </si>
  <si>
    <t>- 11_11450;Biaya PSB Reguler HSI EBIS ~ 11[500000]  - 11_70522;Biaya PSB Reguler IPTV EBIS ~ 11[100000]  - E23055;E23055 ~ ES23 - Paket HSI Bisnis Basic Bundling IPTV (USEE)[0]  - E23055~null~E23055_USEE_HD;USEE_HD ~ USEE HD ~ E23055[0]  - E23055~null~448</t>
  </si>
  <si>
    <t>AMNT Townsite 2 A16</t>
  </si>
  <si>
    <t>ODP-MLK-FAG/32</t>
  </si>
  <si>
    <t>WO065467270</t>
  </si>
  <si>
    <t>ao</t>
  </si>
  <si>
    <t>- 11_11450;Biaya PSB Reguler HSI EBIS ~ 11[500000]  - 11_70522;Biaya PSB Reguler IPTV EBIS ~ 11[100000]  - E24052;E24052 ~ ES24 - Perangkat STB Tsel[0]  - E24052~null~103738;E24052||11||Abodemen 0[0]  - E24052~null~E24052_SWSTBHYBRD;SWSTBHYBRD ~ Biaya Sew</t>
  </si>
  <si>
    <t>AMNT Townsite 2 D39</t>
  </si>
  <si>
    <t>WO065471910</t>
  </si>
  <si>
    <t>- 11_11450;Biaya PSB Reguler HSI EBIS ~ 11[500000]  - 11_70522;Biaya PSB Reguler IPTV EBIS ~ 11[100000]  - E23015;E23015 ~ ES23 - Perangkat ONT[0]  - E23015~null~44292;E23015||11||Abodemen 0[0]  - E23015~null~E23015_SWONT;SWONT ~ Biaya Sewa ONT ~ E23015[3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</si>
  <si>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</si>
  <si>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</si>
  <si>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</si>
  <si>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</si>
  <si>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</si>
  <si>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AMNT Townsite 2 A17</t>
  </si>
  <si>
    <t>WO065559098</t>
  </si>
  <si>
    <t>AMNT Townsite 2 D21</t>
  </si>
  <si>
    <t>ODP-MLK-FAG/14</t>
  </si>
  <si>
    <t>WO065549018</t>
  </si>
  <si>
    <t>AMNT Townsite 2 D22</t>
  </si>
  <si>
    <t>WO065549879</t>
  </si>
  <si>
    <t>AMNT Townsite 2 D19</t>
  </si>
  <si>
    <t>WO065547396</t>
  </si>
  <si>
    <t>AMNT Townsite 2 D20</t>
  </si>
  <si>
    <t>WO065548259</t>
  </si>
  <si>
    <t>AMNT Townsite 2 D34</t>
  </si>
  <si>
    <t>ODP-MLK-FAG/19</t>
  </si>
  <si>
    <t>WO065575896</t>
  </si>
  <si>
    <t>ODP-TLW-FA/05</t>
  </si>
  <si>
    <t>WO065463392</t>
  </si>
  <si>
    <t>- 11_11450;Biaya PSB Reguler HSI EBIS ~ 11[150000]  - E24057;E24057 ~ ES24 - Paket HSI Bisnis (HSIE) Khusus Winback[0]  - E24057~null~E24057_UNL;UNL ~ Internet-Link Unlimited Internet Usage ~ E24057[0]  - E24057~null~103818;E24057||11||Abodemen 0[0]  - E2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</si>
  <si>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</si>
  <si>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</si>
  <si>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</si>
  <si>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</si>
  <si>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</si>
  <si>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</si>
  <si>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</si>
  <si>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</si>
  <si>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</si>
  <si>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</si>
  <si>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</si>
  <si>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</si>
  <si>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</si>
  <si>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</si>
  <si>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</si>
  <si>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</si>
  <si>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</si>
  <si>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</si>
  <si>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</si>
  <si>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</si>
  <si>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</si>
  <si>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</si>
  <si>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</si>
  <si>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</si>
  <si>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</si>
  <si>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</si>
  <si>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MYDITA RBS - HD1A - FAILED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</si>
  <si>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</si>
  <si>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</si>
  <si>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</si>
  <si>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</si>
  <si>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</si>
  <si>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</si>
  <si>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</si>
  <si>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</si>
  <si>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</si>
  <si>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</si>
  <si>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</si>
  <si>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</si>
  <si>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</si>
  <si>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</si>
  <si>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</si>
  <si>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</si>
  <si>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</si>
  <si>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</si>
  <si>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</si>
  <si>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</si>
  <si>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</si>
  <si>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</si>
  <si>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</si>
  <si>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</si>
  <si>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</si>
  <si>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</si>
  <si>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</si>
  <si>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</si>
  <si>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</si>
  <si>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</si>
  <si>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</si>
  <si>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</si>
  <si>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</si>
  <si>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</si>
  <si>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</si>
  <si>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</si>
  <si>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</si>
  <si>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</si>
  <si>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</si>
  <si>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</si>
  <si>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</si>
  <si>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</si>
  <si>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</si>
  <si>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</si>
  <si>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</si>
  <si>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</si>
  <si>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</si>
  <si>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</si>
  <si>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</si>
  <si>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</si>
  <si>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</si>
  <si>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</si>
  <si>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</si>
  <si>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</si>
  <si>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</si>
  <si>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</si>
  <si>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</si>
  <si>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</si>
  <si>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</si>
  <si>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</si>
  <si>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</si>
  <si>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</si>
  <si>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</si>
  <si>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</si>
  <si>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</si>
  <si>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</si>
  <si>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</si>
  <si>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</si>
  <si>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</si>
  <si>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</si>
  <si>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</si>
  <si>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</si>
  <si>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QC MIA - INVALID QUALITY CONTROL MIA - Tidak Ada Lampiran Penunjang - ingin konfirmasi loksai pemasangan</t>
  </si>
  <si>
    <t>EDO RENTAL PS3</t>
  </si>
  <si>
    <t>ODP-TUL-FN/42</t>
  </si>
  <si>
    <t>MN02803| EDO RENTAL PS3/081337133002/edodwie00@gmail.com/50mbps basic diskon 70%</t>
  </si>
  <si>
    <t>Sales Force DCS</t>
  </si>
  <si>
    <t>UNCONTACTED : Telepon Tidak Diangkat - RNA Benita Lailani 40951377|MYDITA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</si>
  <si>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</si>
  <si>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</si>
  <si>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</si>
  <si>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</si>
  <si>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</si>
  <si>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</si>
  <si>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</si>
  <si>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</si>
  <si>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</si>
  <si>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</si>
  <si>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</si>
  <si>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</si>
  <si>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</si>
  <si>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</si>
  <si>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</si>
  <si>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</si>
  <si>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</si>
  <si>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</si>
  <si>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</si>
  <si>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</si>
  <si>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</si>
  <si>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</si>
  <si>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</si>
  <si>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</si>
  <si>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ODP-MGE-FBL/021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</si>
  <si>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</si>
  <si>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</si>
  <si>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</si>
  <si>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</si>
  <si>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</si>
  <si>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</si>
  <si>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</si>
  <si>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</si>
  <si>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</si>
  <si>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</si>
  <si>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</si>
  <si>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</si>
  <si>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</si>
  <si>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</si>
  <si>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</si>
  <si>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</si>
  <si>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</si>
  <si>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</si>
  <si>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</si>
  <si>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</si>
  <si>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</si>
  <si>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</si>
  <si>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</si>
  <si>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</si>
  <si>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</si>
  <si>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</si>
  <si>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</si>
  <si>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</si>
  <si>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</si>
  <si>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</si>
  <si>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</si>
  <si>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</si>
  <si>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</si>
  <si>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</si>
  <si>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</si>
  <si>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</si>
  <si>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</si>
  <si>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</si>
  <si>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</si>
  <si>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</si>
  <si>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</si>
  <si>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</si>
  <si>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</si>
  <si>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</si>
  <si>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</si>
  <si>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</si>
  <si>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</si>
  <si>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</si>
  <si>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</si>
  <si>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</si>
  <si>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</si>
  <si>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</si>
  <si>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</si>
  <si>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</si>
  <si>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</si>
  <si>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</si>
  <si>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</si>
  <si>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</si>
  <si>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</si>
  <si>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</si>
  <si>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</si>
  <si>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ODP-CRB-FK/01</t>
  </si>
  <si>
    <t>WO065599023</t>
  </si>
  <si>
    <t>|MN00285|MYIA-043617483462/POI/MAÃ¢â‚¬â„¢ARIFATUL MUSLIMIN/085185462014/humanresources.sjamadiun@gmail.com</t>
  </si>
  <si>
    <t>MIE - INVALID SURVEY - Bangunan/Perangkat Pelanggan Belum Siap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</si>
  <si>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</si>
  <si>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</si>
  <si>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</si>
  <si>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</si>
  <si>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</si>
  <si>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</si>
  <si>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Polsek Sambungmacan</t>
  </si>
  <si>
    <t>ODP-WKU-FD/49</t>
  </si>
  <si>
    <t>WO065593789</t>
  </si>
  <si>
    <t>DGS HSI | YASINTA DN | 896703| TREG 3 |Polsek Sambungmacan| DHONY | 085725551706 | PSB 1S  INET 50 MBPS WINBACK</t>
  </si>
  <si>
    <t xml:space="preserve">- 11_11450;Biaya PSB Reguler HSI EBIS ~ 11[500000]  - SP_NOSS;SP_NOSS ~ Internet NOSS Multispeed Network[0]  - SP_NOSS;SP_NOSS ~ Internet NOSS Multispeed Network[0]  - E23015;E23015 ~ ES23 - Perangkat ONT[0]  - E23015~null~44292;E23015||11||Abodemen 0[0]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</si>
  <si>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</si>
  <si>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</si>
  <si>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</si>
  <si>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</si>
  <si>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</si>
  <si>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</si>
  <si>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</si>
  <si>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</si>
  <si>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</si>
  <si>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</si>
  <si>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</si>
  <si>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</si>
  <si>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</si>
  <si>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</si>
  <si>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</si>
  <si>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DISBUDPARPORA PONOROGO</t>
  </si>
  <si>
    <t>ODP-PON-FAE/73</t>
  </si>
  <si>
    <t>WO065462992</t>
  </si>
  <si>
    <t>DGS///PSB/[75MB] HSI BISNIS/Bima Hernanda 081615163775/-7.864263, 111.478625</t>
  </si>
  <si>
    <t>A</t>
  </si>
  <si>
    <t>Error invoking service 'EAI Siebel Adapter', method 'Upsert' at step 'Upsert CA BA SA'.(SBL-BPR-00162) -- Method 'WriteRecord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</si>
  <si>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</si>
  <si>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</si>
  <si>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</si>
  <si>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</si>
  <si>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</si>
  <si>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</si>
  <si>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</si>
  <si>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</si>
  <si>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</si>
  <si>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</si>
  <si>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</si>
  <si>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</si>
  <si>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</si>
  <si>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</si>
  <si>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</si>
  <si>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</si>
  <si>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</si>
  <si>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</si>
  <si>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</si>
  <si>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</si>
  <si>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</si>
  <si>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</si>
  <si>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</si>
  <si>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</si>
  <si>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</si>
  <si>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</si>
  <si>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SMN</t>
  </si>
  <si>
    <t>Balai Pengelola Transportasi Darat</t>
  </si>
  <si>
    <t>ODP-SMN-FBP/009</t>
  </si>
  <si>
    <t>WO065629223</t>
  </si>
  <si>
    <t>DGS HSI | RORI PRIHANTORO | NIK 40870570 | TREG 3 | Balai Pengelola Transportasi Darat PSB INDIBIZ 1S BISNIS 100MBPS | RIAN | 85270997061</t>
  </si>
  <si>
    <t>PSB</t>
  </si>
  <si>
    <t>- 11_11450;Biaya PSB Reguler HSI EBIS ~ 11[150000]  - E23046;E23046 ~ ES23 - Paket HSI Bisnis[0]  - E23046~null~E23046_UNL;UNL ~ Internet-Link Unlimited Internet Usage ~ E23046[0]  - E23046~null~44877;E23046||11||Abodemen 0[0]  - E23046~null~E23046_HSIE10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</si>
  <si>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</si>
  <si>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</si>
  <si>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</si>
  <si>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</si>
  <si>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</si>
  <si>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</si>
  <si>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</si>
  <si>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</si>
  <si>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</si>
  <si>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</si>
  <si>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</si>
  <si>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</si>
  <si>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</si>
  <si>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DSS</t>
  </si>
  <si>
    <t>DSS-Fin &amp; Regional Banking</t>
  </si>
  <si>
    <t>Gedung MAP Fisipol 2 UGM</t>
  </si>
  <si>
    <t>ODP-KBU-FDS/148</t>
  </si>
  <si>
    <t>WO065548008</t>
  </si>
  <si>
    <t xml:space="preserve">DSS HSI | AM ANNASTASIA KURNIAWATI SUKARNO | NIK 810113 | YOGYA JATENG SELATAN | TREG 3 | Gedung MAP Fisipol 2 UGM | PIC 82134201998 BPK TANTO </t>
  </si>
  <si>
    <t>Follow Up Revoke Completed, New Order ID : SC1002619773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</si>
  <si>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</si>
  <si>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</si>
  <si>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</si>
  <si>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</si>
  <si>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</si>
  <si>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Temporer Malioboro RUN BPD DIY 2026</t>
  </si>
  <si>
    <t>ODP-KBU-FGA/060</t>
  </si>
  <si>
    <t>WO065470689</t>
  </si>
  <si>
    <t>DSS HSI | AM ANNASTASIA KURNIAWATI SUKARNO | NIK 810113 | YOGYA JATENG SELATAN | TREG 3 | Temporer Malioboro RUN BPD DIY 2026 | PIC 81210670160 ANJAR | Lokasi Halte Malioboro 1</t>
  </si>
  <si>
    <t>ODP-KBU-FCQ/107</t>
  </si>
  <si>
    <t>WO065479936</t>
  </si>
  <si>
    <t>DSS HSI | AM ANNASTASIA KURNIAWATI SUKARNO | NIK 810113 | YOGYA JATENG SELATAN | TREG 3 | Temporer Malioboro RUN BPD DIY 2026 | PIC 81210670160 ANJAR | Lokasi Halte Malioboro 2</t>
  </si>
  <si>
    <t>ODP-KBU-FDV/28</t>
  </si>
  <si>
    <t>WO065573709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</si>
  <si>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</si>
  <si>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</si>
  <si>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</si>
  <si>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</si>
  <si>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</si>
  <si>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</si>
  <si>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</si>
  <si>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</si>
  <si>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</si>
  <si>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</si>
  <si>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</si>
  <si>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</si>
  <si>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</si>
  <si>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</si>
  <si>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</si>
  <si>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</si>
  <si>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DPS-Financial &amp; Welfare</t>
  </si>
  <si>
    <t>PT GADAI SAKTI INDONESIA</t>
  </si>
  <si>
    <t>ODP-PGR-FAY/040</t>
  </si>
  <si>
    <t>WO065544856</t>
  </si>
  <si>
    <t>DPS HSI | AM.ANDRE | 406108 | TREG 3 | PT GADAI SAKTI INDONESIA | FARID | 087719295493 | HSIBISNIS50MBPS</t>
  </si>
  <si>
    <t>KONFIRMASI UP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</si>
  <si>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</si>
  <si>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</si>
  <si>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</si>
  <si>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</si>
  <si>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</si>
  <si>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</si>
  <si>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</si>
  <si>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</si>
  <si>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</si>
  <si>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</si>
  <si>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</si>
  <si>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</si>
  <si>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</si>
  <si>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</si>
  <si>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</si>
  <si>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</si>
  <si>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</si>
  <si>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</si>
  <si>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</si>
  <si>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</si>
  <si>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</si>
  <si>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</si>
  <si>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</si>
  <si>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</si>
  <si>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</si>
  <si>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</si>
  <si>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</si>
  <si>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</si>
  <si>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</si>
  <si>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</si>
  <si>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</si>
  <si>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Provisioning Failed|ACTIVATION|INF009658590|U31_PORT_NOT_FOUND:ServicePort Not Found / ONT Connectivity is Missing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</si>
  <si>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</si>
  <si>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</si>
  <si>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</si>
  <si>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</si>
  <si>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</si>
  <si>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</si>
  <si>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DPS-Logistic &amp; Manufacturing</t>
  </si>
  <si>
    <t>PT Nusantara Ekspres Kilat Hub Camplong</t>
  </si>
  <si>
    <t>ODP-SPG-FK/16</t>
  </si>
  <si>
    <t>WO065553554</t>
  </si>
  <si>
    <t xml:space="preserve">P26-205585  PSB HSI Bisnis 7 Lokasi PT Nusantara Ekspres Kilat Shopee Express - 21 Agustus 2026  </t>
  </si>
  <si>
    <t>TAM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</si>
  <si>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</si>
  <si>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</si>
  <si>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</si>
  <si>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</si>
  <si>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</si>
  <si>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</si>
  <si>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</si>
  <si>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</si>
  <si>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</si>
  <si>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</si>
  <si>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</si>
  <si>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</si>
  <si>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</si>
  <si>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</si>
  <si>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</si>
  <si>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</si>
  <si>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</si>
  <si>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</si>
  <si>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</si>
  <si>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</si>
  <si>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</si>
  <si>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</si>
  <si>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</si>
  <si>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</si>
  <si>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</si>
  <si>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</si>
  <si>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</si>
  <si>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</si>
  <si>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</si>
  <si>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Provisioning Failed|WFM|INF009636679|TOF_-7.2114415,112.65197450000001_-7.229388, 112.702373, ODP SATU SATUNYA FULL ODP-KBL-F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</si>
  <si>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</si>
  <si>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</si>
  <si>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</si>
  <si>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</si>
  <si>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</si>
  <si>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</si>
  <si>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</si>
  <si>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 Nusantara Ekspres Kilat FM Hub + Hub Semampir</t>
  </si>
  <si>
    <t>ODP-KBL-FBU/04</t>
  </si>
  <si>
    <t>WO065558802</t>
  </si>
  <si>
    <t xml:space="preserve">P26-205587  PSB HSI Bisnis 13 Lokasi PT Nusantara Ekspres Kilat Shopee Express - 01 September 2026  </t>
  </si>
  <si>
    <t>Provisioning Failed|WFM|INF009642895|Pemasangan masih nunggu konfirmasi BOSnya dikarenakan masih proses renovasi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</si>
  <si>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</si>
  <si>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</si>
  <si>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</si>
  <si>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</si>
  <si>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</si>
  <si>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</si>
  <si>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</si>
  <si>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</si>
  <si>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</si>
  <si>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</si>
  <si>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</si>
  <si>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</si>
  <si>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</si>
  <si>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</si>
  <si>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</si>
  <si>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</si>
  <si>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</si>
  <si>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</si>
  <si>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</si>
  <si>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</si>
  <si>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</si>
  <si>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</si>
  <si>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</si>
  <si>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</si>
  <si>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</si>
  <si>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</si>
  <si>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</si>
  <si>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</si>
  <si>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</si>
  <si>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</si>
  <si>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</si>
  <si>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</si>
  <si>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</si>
  <si>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</si>
  <si>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</si>
  <si>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</si>
  <si>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</si>
  <si>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</si>
  <si>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</si>
  <si>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</si>
  <si>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PAKUWON JATI</t>
  </si>
  <si>
    <t>ODP-TDS-FHQ/12</t>
  </si>
  <si>
    <t>WO065645596</t>
  </si>
  <si>
    <t>dpshsi/amnovi/reg 3/896661/inet only 100mbps/pictopia pakuwon mall/pic salman +62 85714911725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</si>
  <si>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</si>
  <si>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</si>
  <si>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</si>
  <si>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</si>
  <si>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</si>
  <si>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</si>
  <si>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</si>
  <si>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</si>
  <si>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</si>
  <si>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</si>
  <si>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</si>
  <si>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SEGMEN BUD - WAITING AKTIVASI IHLD</t>
  </si>
  <si>
    <t>INTERNET PELAYANAN MASYARAKAT - 2025</t>
  </si>
  <si>
    <t>WO065597657</t>
  </si>
  <si>
    <t xml:space="preserve">GS SURAMADU/ AM HANIF/ PSB INET ONLY 50MBPS/ LOKET PARKIR TERMINAL TAMBAK OSO WILANGUN /  PIC DAVIP 082245657000 /Pak Gunawan ( +62 851-0505-0477) </t>
  </si>
  <si>
    <t xml:space="preserve">- 11_11450;Biaya PSB Reguler HSI EBIS ~ 11[150000]  - E23015;E23015 ~ ES23 - Perangkat ONT[0]  - E23015~null~44292;E23015||11||Abodemen 0[0]  - E23015~null~E23015_SWONT;SWONT ~ Biaya Sewa ONT ~ E23015[30000]  - E23046;E23046 ~ ES23 - Paket HSI Bisnis[0]  </t>
  </si>
  <si>
    <t>98 | OSS - CANCEL COMPLETE</t>
  </si>
  <si>
    <t>ODP-KLN-FAT/15</t>
  </si>
  <si>
    <t>ODP-DMO-FES/26</t>
  </si>
  <si>
    <t>WO065490627</t>
  </si>
  <si>
    <t>dpshsi/amnovi/896661/reg 3/OT22-19 : PT ASDP INDONESIA FERRY/inet 50 mbps/pic Fajar +62 853-6873-6260</t>
  </si>
  <si>
    <t>- 11_11450;Biaya PSB Reguler HSI EBIS ~ 11[150000]  - SP_NOSS;SP_NOSS ~ Internet NOSS Multispeed Network[0]  - E23015;E23015 ~ ES23 - Perangkat ONT[0]  - E23015~null~44292;E23015||11||Abodemen 0[0]  - E23015~null~E23015_SWONT;SWONT ~ Biaya Sewa ONT ~ E230</t>
  </si>
  <si>
    <t>Follow Up Revoke Completed, New Order ID : SC1002619781</t>
  </si>
  <si>
    <t>ODP-DMO-FES/20</t>
  </si>
  <si>
    <t>WO065489685</t>
  </si>
  <si>
    <t>DPSHSI/AMNOVI/896661/OT22-19 : PT ASDP INDONESIA FERRY/INET ONLY 300 MBPS/PIC Fajar +62 853-6873-6260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</si>
  <si>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</si>
  <si>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</si>
  <si>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</si>
  <si>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</si>
  <si>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</si>
  <si>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</si>
  <si>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</si>
  <si>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</si>
  <si>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</si>
  <si>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</si>
  <si>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</si>
  <si>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</si>
  <si>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</si>
  <si>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</si>
  <si>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</si>
  <si>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</si>
  <si>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</si>
  <si>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</si>
  <si>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</si>
  <si>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</si>
  <si>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</si>
  <si>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</si>
  <si>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</si>
  <si>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</si>
  <si>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</si>
  <si>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</si>
  <si>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</si>
  <si>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</si>
  <si>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</si>
  <si>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</si>
  <si>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</si>
  <si>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</si>
  <si>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</si>
  <si>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</si>
  <si>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</si>
  <si>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</si>
  <si>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</si>
  <si>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</si>
  <si>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</si>
  <si>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</si>
  <si>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</si>
  <si>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</si>
  <si>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</si>
  <si>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</si>
  <si>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</si>
  <si>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</si>
  <si>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</si>
  <si>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</si>
  <si>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</si>
  <si>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</si>
  <si>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</si>
  <si>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</si>
  <si>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</si>
  <si>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</si>
  <si>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</si>
  <si>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</si>
  <si>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</si>
  <si>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</si>
  <si>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</si>
  <si>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</si>
  <si>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</si>
  <si>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</si>
  <si>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</si>
  <si>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</si>
  <si>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</si>
  <si>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</si>
  <si>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</si>
  <si>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</si>
  <si>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</si>
  <si>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</si>
  <si>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</si>
  <si>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</si>
  <si>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</si>
  <si>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</si>
  <si>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</si>
  <si>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</si>
  <si>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</si>
  <si>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</si>
  <si>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</si>
  <si>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</si>
  <si>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</si>
  <si>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Polsek Gesi</t>
  </si>
  <si>
    <t>ODP-SRG-FAN/044</t>
  </si>
  <si>
    <t>WO065593077</t>
  </si>
  <si>
    <t>DGS HSI | YASINTA DN | 896703| TREG 3 |Polsek Gesi| DHONY | 085725551706 | PSB 1S  INET 50 MBPS WINBACK</t>
  </si>
  <si>
    <t>- 11_11450;Biaya PSB Reguler HSI EBIS ~ 11[500000]  - SP_NOSS;SP_NOSS ~ Internet NOSS Multispeed Network[0]  - SP_NOSS;SP_NOSS ~ Internet NOSS Multispeed Network[0]  - E25060;E25060 ~ ES25 - Paket HSI Bisnis (HSIE) Khusus Winback 2.0[0]  - E25060~null~E25</t>
  </si>
  <si>
    <t>Polsek Plupuh</t>
  </si>
  <si>
    <t>ODP-SRG-FAP/005</t>
  </si>
  <si>
    <t>WO065592461</t>
  </si>
  <si>
    <t>DGS HSI | YASINTA DN | 896703| TREG 3 |Polsek Plupuh| DHONY | 085725551706 | PSB 1S  INET 50 MBPS WINBACK</t>
  </si>
  <si>
    <t>Polsek Sragen</t>
  </si>
  <si>
    <t>ODP-SRG-FH/086</t>
  </si>
  <si>
    <t>WO065598423</t>
  </si>
  <si>
    <t>DGS HSI | YASINTA DN | 896703| TREG 3 |Polsek Sragen| DHONY | 085725551706 | PSB 1S  INET 50 MBPS WINBACK</t>
  </si>
  <si>
    <t>Polsek Mondokan</t>
  </si>
  <si>
    <t>ODP-SRG-FAN/093</t>
  </si>
  <si>
    <t>WO065597916</t>
  </si>
  <si>
    <t>DGS HSI | YASINTA DN | 896703| TREG 3 |Polsek Mondokan| DHONY | 085725551706 | PSB 1S  INET 50 MBPS WINBACK</t>
  </si>
  <si>
    <t>Polsek Jenar</t>
  </si>
  <si>
    <t>ODP-SRG-FAM/055</t>
  </si>
  <si>
    <t>WO065597033</t>
  </si>
  <si>
    <t>DGS HSI | YASINTA DN | 896703| TREG 3 |Polsek Jenar| DHONY | 085725551706 | PSB 1S  INET 50 MBPS WINBACK</t>
  </si>
  <si>
    <t>Polsek Sidoharjo</t>
  </si>
  <si>
    <t>ODP-SRG-FAL/006</t>
  </si>
  <si>
    <t>WO065596449</t>
  </si>
  <si>
    <t>DGS HSI | YASINTA DN | 896703| TREG 3 |Polsek Sidoharjo| DHONY | 085725551706 | PSB 1S  INET 50 MBPS WINBACK</t>
  </si>
  <si>
    <t>Polsek Karangmalang</t>
  </si>
  <si>
    <t>ODP-SRG-FP/024</t>
  </si>
  <si>
    <t>WO065595706</t>
  </si>
  <si>
    <t>DGS HSI | YASINTA DN | 896703| TREG 3 |Polsek Karangmalang| DHONY | 085725551706 | PSB 1S  INET 50 MBPS WINBACK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</si>
  <si>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</si>
  <si>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</si>
  <si>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</si>
  <si>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</si>
  <si>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</si>
  <si>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</si>
  <si>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</si>
  <si>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</si>
  <si>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KPP MADYA SURAKARTA</t>
  </si>
  <si>
    <t>ODP-GLD-FAH/056</t>
  </si>
  <si>
    <t>WO065594405</t>
  </si>
  <si>
    <t>DGS HSI | NUR RAHMAWATI | 920163 | TREG 3 |KPP MADYA SURAKARTA |IIrvan Syahrusyam |  082313231387 | PSB HSI Bisnis Internet Only 1:1 300mbps Rp 1.130.000</t>
  </si>
  <si>
    <t>ODP-GLD-FAH/042</t>
  </si>
  <si>
    <t>WO065594895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</si>
  <si>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</si>
  <si>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</si>
  <si>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</si>
  <si>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</si>
  <si>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</si>
  <si>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</si>
  <si>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</si>
  <si>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</si>
  <si>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</si>
  <si>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PT Arta Boga Cemerlang</t>
  </si>
  <si>
    <t>ODP-KRT-FAE/029</t>
  </si>
  <si>
    <t>WO065503095</t>
  </si>
  <si>
    <t>P26-205460  ARTHABOGA CEMERLANG HSI 100 MBPS PREMIUM SUKOHARJO JAWA TENGAH</t>
  </si>
  <si>
    <t>- 11_11450;Biaya PSB Reguler HSI EBIS ~ 11[500000]  - E23046;E23046 ~ ES23 - Paket HSI Bisnis[0]  - E23046~null~E23046_UNL;UNL ~ Internet-Link Unlimited Internet Usage ~ E23046[0]  - E23046~null~44877;E23046||11||Abodemen 0[0]  - E23046~null~E23046_HSIE10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</si>
  <si>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</si>
  <si>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</si>
  <si>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</si>
  <si>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</si>
  <si>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</si>
  <si>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BANK JATENG KF RS UMS</t>
  </si>
  <si>
    <t>ODP-KRT-FU/015</t>
  </si>
  <si>
    <t>WO065550201</t>
  </si>
  <si>
    <t>DSS RACE | FELIA | 990053 | TREG 3 | BANK JATENG | ASEF | 085728554429 | 2SHSIBISNIS50MBPSPHONE</t>
  </si>
  <si>
    <t>- 11_11450;Biaya PSB Reguler HSI EBIS ~ 11[250000]  - BWY DL;BWY DL ~ Saluran Dua Arah(BothWay)[0]  - E23053;E23053 ~ ES23 - Paket HSI Bisnis  Phone (PHONE)[0]  - E23053~null~44864;E23053||11||Abodemen 0[0]  - E23053~null~E23053_IN800;IN800 ~ Free Lokal d</t>
  </si>
  <si>
    <t>MSO</t>
  </si>
  <si>
    <t>Polsek Kalijambe</t>
  </si>
  <si>
    <t>ODP-MSO-FCC/059</t>
  </si>
  <si>
    <t>WO065591592</t>
  </si>
  <si>
    <t>DGS HSI | YASINTA DN | 896703| TREG 3 |Polsek Kalijambe| DHONY | 085725551706 | PSB 1S  INET 50 MBPS WINBACK</t>
  </si>
  <si>
    <t>SOLO PALUR</t>
  </si>
  <si>
    <t>- 11_11450;Biaya PSB Reguler HSI EBIS ~ 11[500000]  - SP_NOSS;SP_NOSS ~ Internet NOSS Multispeed Network[0]  - E23015;E23015 ~ ES23 - Perangkat ONT[0]  - E23015~null~44292;E23015||11||Abodemen 0[0]  - E23015~null~E23015_SWONT;SWONT ~ Biaya Sewa ONT ~ E230</t>
  </si>
  <si>
    <t>Polsek Gemolong</t>
  </si>
  <si>
    <t>ODP-MSO-FCD/039</t>
  </si>
  <si>
    <t>WO065598820</t>
  </si>
  <si>
    <t>DGS HSI | YASINTA DN | 896703| TREG 3 |Polsek Gemolong| DHONY | 085725551706 | PSB 1S  INET 50 MBPS WINBACK</t>
  </si>
  <si>
    <t xml:space="preserve">- 11_11450;Biaya PSB Reguler HSI EBIS ~ 11[500000]  - E25060;E25060 ~ ES25 - Paket HSI Bisnis (HSIE) Khusus Winback 2.0[0]  - E25060~null~E25060_UNL;UNL ~ Internet-Link Unlimited Internet Usage ~ E25060[0]  - E25060~null~105343;E25060||11||Abodemen 0[0]  </t>
  </si>
  <si>
    <t>Reskrim Polsek Sumberlawang</t>
  </si>
  <si>
    <t>ODP-MSO-FQ/021</t>
  </si>
  <si>
    <t>WO065587659</t>
  </si>
  <si>
    <t>DGS HSI | YASINTA DN | 896703| TREG 3 |POLRES SRAGEN| DHONY | 085725551706 | PSB 1S  INET 50 MBPS WINBACK</t>
  </si>
  <si>
    <t>- 11_11450;Biaya PSB Reguler HSI EBIS ~ 11[500000]  - E23015;E23015 ~ ES23 - Perangkat ONT[0]  - E23015~null~44292;E23015||11||Abodemen 0[0]  - E23015~null~E23015_SWONT;SWONT ~ Biaya Sewa ONT ~ E23015[30000]  - SP_NOSS;SP_NOSS ~ Internet NOSS Multispeed N</t>
  </si>
  <si>
    <t>BRN</t>
  </si>
  <si>
    <t>FCC - HD1A - OPEN</t>
  </si>
  <si>
    <t>PT Nusantara Ekspres Kilat FM Hub + Hub Baturetno (Replacement)</t>
  </si>
  <si>
    <t>MYDITA DPS-Logistic &amp; Manufacturing - HD1A - OPEN, Order tidak perlu di caring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</si>
  <si>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</si>
  <si>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</si>
  <si>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</si>
  <si>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</si>
  <si>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</si>
  <si>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</si>
  <si>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</si>
  <si>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</si>
  <si>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</si>
  <si>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</si>
  <si>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</si>
  <si>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</si>
  <si>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</si>
  <si>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</si>
  <si>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</si>
  <si>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</si>
  <si>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</si>
  <si>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</si>
  <si>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</si>
  <si>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 Nusantara Ekspres Kilat Hub Perak</t>
  </si>
  <si>
    <t>ODP-JOM-FAC/029</t>
  </si>
  <si>
    <t>WO065593145</t>
  </si>
  <si>
    <t xml:space="preserve">P26-205589  PSB HSI Bisnis 8 Lokasi PT Nusantara Ekspres Kilat Shopee Express - 08 September 2026  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</si>
  <si>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</si>
  <si>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</si>
  <si>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</si>
  <si>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</si>
  <si>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</si>
  <si>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</si>
  <si>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</si>
  <si>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</si>
  <si>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</si>
  <si>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</si>
  <si>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</si>
  <si>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</si>
  <si>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</si>
  <si>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</si>
  <si>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</si>
  <si>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</si>
  <si>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</si>
  <si>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</si>
  <si>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</si>
  <si>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</si>
  <si>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</si>
  <si>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</si>
  <si>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</si>
  <si>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</si>
  <si>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</si>
  <si>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</si>
  <si>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</si>
  <si>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</si>
  <si>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</si>
  <si>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</si>
  <si>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</si>
  <si>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</si>
  <si>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QC MIA - SEND QUALITY CONTROL MIA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</si>
  <si>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</si>
  <si>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</si>
  <si>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</si>
  <si>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Provisioning Failed|WFM|INF009633097|Pelanggan meminta pending/resechedule pemasangan</t>
  </si>
  <si>
    <t>DSKMNF SDA 2026</t>
  </si>
  <si>
    <t>ODP-SDA-FBK/11</t>
  </si>
  <si>
    <t>WO065731529</t>
  </si>
  <si>
    <t>AM | KOKO | 403637 | GS  | PSB  |TREG 3 |DISKOMINFO SIDOARJO|85184657451</t>
  </si>
  <si>
    <t>DPS-Private Conglomeration</t>
  </si>
  <si>
    <t>PT. Andalira Cipta Abadi</t>
  </si>
  <si>
    <t>ODP-SDA-FT/42</t>
  </si>
  <si>
    <t>WO065472322</t>
  </si>
  <si>
    <t>DES HSI | RIZKY ANDAWASATYA | 916315 | TREG3 | PT. Andalira Cipta Abadi  | 081808489107</t>
  </si>
  <si>
    <t xml:space="preserve">PT. Andalira Cipta Abadi Site Surabaya  Ruko Monroe,Ã‚Â Jl. Kahuripan Nirwana no. 32, Sumput, Sidoarjo   </t>
  </si>
  <si>
    <t>- 11_11450;Biaya PSB Reguler HSI EBIS ~ 11[150000]  - SP_NOSS;SP_NOSS ~ Internet NOSS Multispeed Network[0]  - E23046;E23046 ~ ES23 - Paket HSI Bisnis[0]  - E23046~null~E23046_UNL;UNL ~ Internet-Link Unlimited Internet Usage ~ E23046[0]  - E23046~null~448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</si>
  <si>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</si>
  <si>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</si>
  <si>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</si>
  <si>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</si>
  <si>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</si>
  <si>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</si>
  <si>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</si>
  <si>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</si>
  <si>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</si>
  <si>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</si>
  <si>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</si>
  <si>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</si>
  <si>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</si>
  <si>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</si>
  <si>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</si>
  <si>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</si>
  <si>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</si>
  <si>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</si>
  <si>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</si>
  <si>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</si>
  <si>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</si>
  <si>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</si>
  <si>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</si>
  <si>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</si>
  <si>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</si>
  <si>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</si>
  <si>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Provisioning Failed|WFM|INF009645877|BELUM ADA JARINGAN DIDALAM PERGUDANGAN,TAGGING PELANGGAN -7.375428,112.727172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</si>
  <si>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</si>
  <si>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</si>
  <si>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</si>
  <si>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</si>
  <si>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</si>
  <si>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PT Nusantara Ekspres Kilat FM Hub + Hub Karanggede (Replacement)</t>
  </si>
  <si>
    <t>ODP-SLI-FAQ/015</t>
  </si>
  <si>
    <t>WO065510887</t>
  </si>
  <si>
    <t xml:space="preserve">P26-205570  PSB HSI Bisnis 5 Site PT Nusantara Ekspres Kilat Shopee Express - 19 Agustus 2026  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</si>
  <si>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</si>
  <si>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</si>
  <si>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</si>
  <si>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</si>
  <si>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</si>
  <si>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</si>
  <si>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</si>
  <si>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</si>
  <si>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</si>
  <si>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</si>
  <si>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</si>
  <si>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</si>
  <si>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</si>
  <si>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</si>
  <si>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</si>
  <si>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</si>
  <si>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</si>
  <si>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</si>
  <si>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</si>
  <si>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</si>
  <si>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</si>
  <si>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</si>
  <si>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</si>
  <si>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</si>
  <si>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PT Nusantara Ekspres Kilat FM Hub + Hub Margorejo (Replacement)</t>
  </si>
  <si>
    <t>ODP-PAT-FAL/050</t>
  </si>
  <si>
    <t>WO065587052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</si>
  <si>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</si>
  <si>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</si>
  <si>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</si>
  <si>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</si>
  <si>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</si>
  <si>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</si>
  <si>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</si>
  <si>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</si>
  <si>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</si>
  <si>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</si>
  <si>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</si>
  <si>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</si>
  <si>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</si>
  <si>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</si>
  <si>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</si>
  <si>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</si>
  <si>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</si>
  <si>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</si>
  <si>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</si>
  <si>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</si>
  <si>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</si>
  <si>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</si>
  <si>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</si>
  <si>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</si>
  <si>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</si>
  <si>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</si>
  <si>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</si>
  <si>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</si>
  <si>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</si>
  <si>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 xml:space="preserve">BPJS KETENAGAKERJAAN CABANG SEMARANG MAJAPAHIT </t>
  </si>
  <si>
    <t>ODP-MJP-FCJ/028</t>
  </si>
  <si>
    <t>WO065545939</t>
  </si>
  <si>
    <t>DSS RACE | AM.ANDRE | 406108 | TREG 3 | BPJS KETENAGAKERJAAN | NOVIZAR | 085727214336 | HSIBISNIS200MBPS</t>
  </si>
  <si>
    <t>MAJAPAHIT</t>
  </si>
  <si>
    <t>AJB</t>
  </si>
  <si>
    <t>Permodalan Nasional Madani</t>
  </si>
  <si>
    <t>ODP-AJB-FQ/005</t>
  </si>
  <si>
    <t>WO065596692</t>
  </si>
  <si>
    <t>DSS RACE | astri | 403357 | Witel Yogya Jateng Selatan | TREG 3 | pak Yoga| +62 857-2944-3311</t>
  </si>
  <si>
    <t>HSI 50 MBPS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</si>
  <si>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</si>
  <si>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</si>
  <si>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</si>
  <si>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</si>
  <si>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</si>
  <si>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</si>
  <si>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</si>
  <si>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DPS-Retail &amp; Media</t>
  </si>
  <si>
    <t>AKUR PRATAMA</t>
  </si>
  <si>
    <t>ODP-PWT-FAL/090</t>
  </si>
  <si>
    <t>WO065562715</t>
  </si>
  <si>
    <t>DPS HSI; AM RATU INTAN; PSB INDIBIZ 1S 50MBPS; PIC IMAM PURNAMA 081120057915</t>
  </si>
  <si>
    <t>DPS HSI; AM RATU INTAN; PSB INDIBIZ 1S 50MBPS; PIC DANI AULIA 081809636768</t>
  </si>
  <si>
    <t>Provisioning Failed|WFM|INF009619244|TKJ_-7.4475104000000005,109.2414503_ganti SC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</si>
  <si>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</si>
  <si>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</si>
  <si>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</si>
  <si>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ODP-PWT-FAL/156</t>
  </si>
  <si>
    <t>WO065591686</t>
  </si>
  <si>
    <t>SAFE BAKERY</t>
  </si>
  <si>
    <t>ODP-PWT-FAX/114 FAX/D07/114.01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</si>
  <si>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</si>
  <si>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</si>
  <si>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</si>
  <si>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</si>
  <si>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</si>
  <si>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</si>
  <si>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</si>
  <si>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</si>
  <si>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</si>
  <si>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</si>
  <si>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</si>
  <si>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</si>
  <si>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</si>
  <si>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</si>
  <si>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</si>
  <si>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</si>
  <si>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</si>
  <si>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</si>
  <si>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</si>
  <si>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</si>
  <si>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</si>
  <si>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</si>
  <si>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</si>
  <si>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</si>
  <si>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</si>
  <si>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</si>
  <si>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</si>
  <si>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</si>
  <si>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</si>
  <si>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</si>
  <si>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</si>
  <si>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</si>
  <si>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</si>
  <si>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</si>
  <si>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</si>
  <si>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</si>
  <si>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</si>
  <si>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UNCONTACTED : Mail Box - Memo Ilham Budhi Prasetya 40000802|MYDITA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</si>
  <si>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</si>
  <si>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</si>
  <si>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</si>
  <si>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</si>
  <si>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</si>
  <si>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</si>
  <si>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</si>
  <si>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</si>
  <si>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</si>
  <si>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</si>
  <si>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PT Nusantara Ekspres Kilat FM Hub + Hub Tulis (Replacement)</t>
  </si>
  <si>
    <t>ODP-BTG-FA/06</t>
  </si>
  <si>
    <t>WO065567511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</si>
  <si>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</si>
  <si>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</si>
  <si>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</si>
  <si>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</si>
  <si>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</si>
  <si>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</si>
  <si>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</si>
  <si>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</si>
  <si>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</si>
  <si>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</si>
  <si>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</si>
  <si>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</si>
  <si>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</si>
  <si>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</si>
  <si>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</si>
  <si>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</si>
  <si>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</si>
  <si>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</si>
  <si>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</si>
  <si>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</si>
  <si>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</si>
  <si>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</si>
  <si>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PT Nusantara Ekspres Kilat FM Hub + Hub Petarukan (Replacement)</t>
  </si>
  <si>
    <t>ODP-PML-FH/034</t>
  </si>
  <si>
    <t>WO065568517</t>
  </si>
  <si>
    <t>SEKSI KSDA WILAYAH II</t>
  </si>
  <si>
    <t>ODP-PML-FL/095</t>
  </si>
  <si>
    <t>WO065497169</t>
  </si>
  <si>
    <t>DGS HSI | ATIK RAHMAWATI| HOTDA PEMALANG | TREG 3 |SEKSI KSDA WILAYAH II | SURIPTO | 081331429548 | 2S HSIE 50MB DAN TELEPON</t>
  </si>
  <si>
    <t>SOON</t>
  </si>
  <si>
    <t>Follow Up Revoke Completed, New Order ID : SC1002619586</t>
  </si>
  <si>
    <t>- 11_11450;Biaya PSB Reguler HSI EBIS ~ 11[150000]  - BWY DL;BWY DL ~ Saluran Dua Arah(BothWay)[0]  - E23053;E23053 ~ ES23 - Paket HSI Bisnis  Phone (PHONE)[0]  - E23053~null~44864;E23053||11||Abodemen 0[0]  - E23053~null~E23053_IN800;IN800 ~ Free Lokal d</t>
  </si>
  <si>
    <t>ODP-PML-FCL/26</t>
  </si>
  <si>
    <t>WO065555150</t>
  </si>
  <si>
    <t>ok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</si>
  <si>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- 11_11450;Biaya </t>
  </si>
  <si>
    <t>WO065564334</t>
  </si>
  <si>
    <t>PBG</t>
  </si>
  <si>
    <t>RUPBASAN Kejaksaan Negeri Purbalingga</t>
  </si>
  <si>
    <t>ODP-PBG-FG/087</t>
  </si>
  <si>
    <t>WO065547757</t>
  </si>
  <si>
    <t xml:space="preserve">AM|AZAM|950436|/RUPBASAN Kejaksaan Negeri Purbalingga/081310842088| keu_kejaripbg@yahoo.co.id/1S HSI BISNIS 1:1 PROMO 50 Mbps  </t>
  </si>
  <si>
    <t>Internet 1S IndiBiz 50</t>
  </si>
  <si>
    <t>Follow Up Revoke Completed, New Order ID : SC1002620022</t>
  </si>
  <si>
    <t>- 11_11450;Biaya PSB Reguler HSI EBIS ~ 11[500000]  - E23015;E23015 ~ ES23 - Perangkat ONT[0]  - E23015~null~44292;E23015||11||Abodemen 0[0]  - E23015~null~E23015_SWONT;SWONT ~ Biaya Sewa ONT ~ E23015[30000]  - E25060;E25060 ~ ES25 - Paket HSI Bisnis (HSI</t>
  </si>
  <si>
    <t>ODP-PBG-FG/176</t>
  </si>
  <si>
    <t>WO065582896</t>
  </si>
  <si>
    <t>50 mbps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</si>
  <si>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</si>
  <si>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</si>
  <si>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</si>
  <si>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</si>
  <si>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</si>
  <si>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</si>
  <si>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</si>
  <si>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</si>
  <si>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</si>
  <si>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</si>
  <si>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</si>
  <si>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2026-10-03 15:00:00|Tanggal pemasangan: 03/10/2026 Jam pemasangan : pagi / siang Info Tambahan : Hubungi pelanggan dulu sebelum ke lokasi. terima kasih|40921089|MYDITA</t>
  </si>
  <si>
    <t>MIE - INVALID SURVEY - Salah Tagging</t>
  </si>
  <si>
    <t>WO065587262</t>
  </si>
  <si>
    <t>2026-10-03 15:00:00|Tanggal Pemasangan : 03 Oktober 2026 Jam Pemasangan : 08:00 15:00 Info Tambahan : Hubungi pelanggan dulu sebelum ke lokasi terimakasih|40931149|MYDITA</t>
  </si>
  <si>
    <t>Provisioning Failed|WFM|INF009636602|TOJ_-6.870570000000001,109.112915_ODP inputan jauh</t>
  </si>
  <si>
    <t>Provisioning Failed|WFM|INF009636590|TOJ_-6.8704656,109.1127609_ODP-INPUTAN  JAUH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</si>
  <si>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</si>
  <si>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</si>
  <si>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</si>
  <si>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</si>
  <si>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</si>
  <si>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</si>
  <si>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Museum Semedo</t>
  </si>
  <si>
    <t>ODP-TEG-FBZ/008</t>
  </si>
  <si>
    <t>WO065462461</t>
  </si>
  <si>
    <t>DGS HSI | BUDIYANTO ZHEZA ARDANA | NIK. 960209 | TREG 3 | PIC 087831250926 | HSI 200MB | 1.049.000 | semedomuseum@gmail.com</t>
  </si>
  <si>
    <t>OK</t>
  </si>
  <si>
    <t>ADW</t>
  </si>
  <si>
    <t>PT Nusantara Ekspres Kilat FM Hub + Hub Pangkah (Replacement)</t>
  </si>
  <si>
    <t>ODP-ADW-FS/001</t>
  </si>
  <si>
    <t>WO065593871</t>
  </si>
  <si>
    <t>ADIWERNA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</si>
  <si>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</si>
  <si>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</si>
  <si>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</si>
  <si>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</si>
  <si>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</si>
  <si>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</si>
  <si>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ODP-BLU-FA/023 FA/D01/023.01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</si>
  <si>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</si>
  <si>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</si>
  <si>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</si>
  <si>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</si>
  <si>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</si>
  <si>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</si>
  <si>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</si>
  <si>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Provisioning Failed|WFM|INF009652283|PP_-7.160940500000001,112.64708970000001_MANJA TGL 5 OKTOBER 2026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</si>
  <si>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</si>
  <si>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</si>
  <si>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</si>
  <si>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</si>
  <si>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</si>
  <si>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</si>
  <si>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</si>
  <si>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</si>
  <si>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</si>
  <si>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</si>
  <si>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</si>
  <si>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Provisioning Failed|WFM|INF009634941|PCL Pelanggan Batal pemasangan, pelanggan minta batal sudah konfirmasi ke tim salesnya.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</si>
  <si>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</si>
  <si>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</si>
  <si>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</si>
  <si>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</si>
  <si>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</si>
  <si>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Provisioning Failed|WFM|INF009622310|TOR_-7.2308433,112.17575360000001_ODP-BBA-FAD sekitar calang redaman tinggi, order tim m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</si>
  <si>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</si>
  <si>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</si>
  <si>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</si>
  <si>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</si>
  <si>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</si>
  <si>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</si>
  <si>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</si>
  <si>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</si>
  <si>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</si>
  <si>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</si>
  <si>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</si>
  <si>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</si>
  <si>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</si>
  <si>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</si>
  <si>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</si>
  <si>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</si>
  <si>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</si>
  <si>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</si>
  <si>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</si>
  <si>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</si>
  <si>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</si>
  <si>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</si>
  <si>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</si>
  <si>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</si>
  <si>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</si>
  <si>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</si>
  <si>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</si>
  <si>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</si>
  <si>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</si>
  <si>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</si>
  <si>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</si>
  <si>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</si>
  <si>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</si>
  <si>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</si>
  <si>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</si>
  <si>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</si>
  <si>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</si>
  <si>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</si>
  <si>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</si>
  <si>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</si>
  <si>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</si>
  <si>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</si>
  <si>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</si>
  <si>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</si>
  <si>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</si>
  <si>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</si>
  <si>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</si>
  <si>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</si>
  <si>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</si>
  <si>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</si>
  <si>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</si>
  <si>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</si>
  <si>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</si>
  <si>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</si>
  <si>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</si>
  <si>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</si>
  <si>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</si>
  <si>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</si>
  <si>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</si>
  <si>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</si>
  <si>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</si>
  <si>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</si>
  <si>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</si>
  <si>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</si>
  <si>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</si>
  <si>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</si>
  <si>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</si>
  <si>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</si>
  <si>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</si>
  <si>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</si>
  <si>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</si>
  <si>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</si>
  <si>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</si>
  <si>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</si>
  <si>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</si>
  <si>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</si>
  <si>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</si>
  <si>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</si>
  <si>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</si>
  <si>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</si>
  <si>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</si>
  <si>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</si>
  <si>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</si>
  <si>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</si>
  <si>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</si>
  <si>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</si>
  <si>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</si>
  <si>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</si>
  <si>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</si>
  <si>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</si>
  <si>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</si>
  <si>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</si>
  <si>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</si>
  <si>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</si>
  <si>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</si>
  <si>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</si>
  <si>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</si>
  <si>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</si>
  <si>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</si>
  <si>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</si>
  <si>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</si>
  <si>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</si>
  <si>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</si>
  <si>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</si>
  <si>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</si>
  <si>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KUA ENDE TENGAH</t>
  </si>
  <si>
    <t>ODP-END-FA/44</t>
  </si>
  <si>
    <t>WO065469721</t>
  </si>
  <si>
    <t>DGS HSI||AIDAH|780018|TREG 3-NUSRA|KUA ENDE TENGAH|CHAIRUL WELLA|082237343936|HSI 50 Mbps (Bisnis)</t>
  </si>
  <si>
    <t>moban di proses</t>
  </si>
  <si>
    <t>Provisioning Failed|UIM|INF009598768|1052:vlan voice not found at = GPON00-D5-END-3(172.25.207.20)</t>
  </si>
  <si>
    <t>- 11_11450;Biaya PSB Reguler HSI EBIS ~ 11[500000]  - SP_NOSS;SP_NOSS ~ Internet NOSS Multispeed Network[0]  - E23046;E23046 ~ ES23 - Paket HSI Bisnis[0]  - E23046~null~E23046_UNL;UNL ~ Internet-Link Unlimited Internet Usage ~ E23046[0]  - E23046~null~448</t>
  </si>
  <si>
    <t>INDOMARET GATOT SUBROTO</t>
  </si>
  <si>
    <t>ODP-END-FDA/27</t>
  </si>
  <si>
    <t>WO065497788</t>
  </si>
  <si>
    <t>DES HSI | RIZKY ANDAWASATYA | 916315 | TREG3 | INDOMARCO | KHOIRUL GRAFERS | 082284440053</t>
  </si>
  <si>
    <t xml:space="preserve">INDOMARET GATOT SUBROTO  Jl. Gatot Subroto, Kel. Mautapaga, Kec. Ende Tim., Kabupaten Ende, Nusa Tenggara Tim.  </t>
  </si>
  <si>
    <t>ODP-END-FA/42</t>
  </si>
  <si>
    <t>WO065471792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</si>
  <si>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</si>
  <si>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</si>
  <si>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</si>
  <si>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</si>
  <si>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</si>
  <si>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</si>
  <si>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</si>
  <si>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</si>
  <si>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</si>
  <si>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</si>
  <si>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</si>
  <si>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</si>
  <si>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</si>
  <si>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</si>
  <si>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</si>
  <si>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</si>
  <si>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</si>
  <si>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</si>
  <si>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Kantor Unit Penyelenggara Pelabuhan Kelas II Reo</t>
  </si>
  <si>
    <t>ODP-REO-FA/43</t>
  </si>
  <si>
    <t>WO065590648</t>
  </si>
  <si>
    <t>DGS HSI|172513217715|MUHAMAD NATSIR ALAMSYAH HUMRIS|770010|TREG 3-NUSRA|Kantor Unit Penyelenggara Pelabuhan Kelas II Reo|HESRON LAIPUTA|085217705757|INDIBIZ BISNIS (1:1) INET ONLY 100 MBPS</t>
  </si>
  <si>
    <t>Cesa</t>
  </si>
  <si>
    <t xml:space="preserve">moban di proses </t>
  </si>
  <si>
    <t xml:space="preserve">- 11_11450;Biaya PSB Reguler HSI EBIS ~ 11[150000]  - SP_NOSS;SP_NOSS ~ Internet NOSS Multispeed Network[0]  - E23015;E23015 ~ ES23 - Perangkat ONT[0]  - E23015~null~44292;E23015||11||Abodemen 0[0]  - E23015~null~E23015_SWONTDUALB;SWONTDUALB ~ Biaya Sewa 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</si>
  <si>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</si>
  <si>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</si>
  <si>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</si>
  <si>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</si>
  <si>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</si>
  <si>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</si>
  <si>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</si>
  <si>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</si>
  <si>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</si>
  <si>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</si>
  <si>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</si>
  <si>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</si>
  <si>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</si>
  <si>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</si>
  <si>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</si>
  <si>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Puskemas Pembantu Patemon</t>
  </si>
  <si>
    <t>ODP-SRR-FN/04</t>
  </si>
  <si>
    <t>WO065480786</t>
  </si>
  <si>
    <t>DGS HSI | KETUT SOMA | 403210 | TREG3 | Puskemas Pembantu Patemon| HSI Bisnis 50mbps | Pic : +628951532-2310 an Pak Suprayogi</t>
  </si>
  <si>
    <t>FU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</si>
  <si>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</si>
  <si>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</si>
  <si>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</si>
  <si>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</si>
  <si>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</si>
  <si>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</si>
  <si>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</si>
  <si>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</si>
  <si>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</si>
  <si>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</si>
  <si>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Provisioning Failed|WFM|INF009658534|TKJ_-8.5308735,115.12462029999999_moban update WO dibawah ini kendala ODP -TBN-FU/32 ful</t>
  </si>
  <si>
    <t>MAYA Balian</t>
  </si>
  <si>
    <t>WO065611728</t>
  </si>
  <si>
    <t>|MN02885|/CP I KADEK AGUS SUARTANA/085847308751/agus@yamabalian.com</t>
  </si>
  <si>
    <t>Provisioning Failed|WFM|INF009658556|TKJ_-8.530854900000001,115.1246087_moban update WO dibawah ini kendala ODP -TBN-FU/32 fu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</si>
  <si>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</si>
  <si>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</si>
  <si>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</si>
  <si>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</si>
  <si>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Provisioning Failed|WFM|INF009658530|TKJ_-8.5309506,115.12466889999999_moban update WO dibawah ini kendala ODP -TBN-FU/32 ful</t>
  </si>
  <si>
    <t>ODP-TBN-FU/12</t>
  </si>
  <si>
    <t>WO065611450</t>
  </si>
  <si>
    <t>Provisioning Failed|WFM|INF009658497|TKJ_-8.5308472,115.12459759999999_moban update WO dibawah ini kendala ODP -TBN-FU/32 ful</t>
  </si>
  <si>
    <t>resort MAYA Balian</t>
  </si>
  <si>
    <t>ODP-TBN-FU/32</t>
  </si>
  <si>
    <t>WO065610832</t>
  </si>
  <si>
    <t>Provisioning Failed|WFM|INF009658507|TKJ_-8.5308864,115.12462339999999_moban update WO dibawah ini kendala ODP -TBN-FU/32 ful</t>
  </si>
  <si>
    <t>WO065610970</t>
  </si>
  <si>
    <t>Provisioning Failed|WFM|INF009658505|TKJ_-8.5308752,115.1246182_moban update WO dibawah ini kendala ODP -TBN-FU/32 full perlu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</si>
  <si>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</si>
  <si>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</si>
  <si>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</si>
  <si>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</si>
  <si>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</si>
  <si>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</si>
  <si>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</si>
  <si>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</si>
  <si>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</si>
  <si>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</si>
  <si>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</si>
  <si>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</si>
  <si>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</si>
  <si>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</si>
  <si>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</si>
  <si>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</si>
  <si>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</si>
  <si>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</si>
  <si>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</si>
  <si>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UNCONTACTED : Mail Box - Memo Benita Lailani 40951377|MYDITA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</si>
  <si>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</si>
  <si>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</si>
  <si>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</si>
  <si>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</si>
  <si>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</si>
  <si>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</si>
  <si>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</si>
  <si>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</si>
  <si>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DSS-Tourism &amp; Welfare</t>
  </si>
  <si>
    <t>PT. PULAUINTAN BAJAPERKASA KONSTRUKSI</t>
  </si>
  <si>
    <t>ODP-SAU-FP/23</t>
  </si>
  <si>
    <t>WO065500931</t>
  </si>
  <si>
    <t>DSS/TREG3/BALI/910203/AM MITA/PT. PULAUINTAN BAJAPERKASA KONSTRUKSI/PSB TELP HSI 100Mbps /PIC ARIFIN 082236639181</t>
  </si>
  <si>
    <t>PSB TELP HSI 100Mbps</t>
  </si>
  <si>
    <t>- 11_11450;Biaya PSB Reguler HSI EBIS ~ 11[500000]  - BWY DL;BWY DL ~ Saluran Dua Arah(BothWay)[0]  - E23053;E23053 ~ ES23 - Paket HSI Bisnis  Phone (PHONE)[0]  - E23053~null~44864;E23053||11||Abodemen 0[0]  - E23053~null~E23053_IN800;IN800 ~ Free Lokal d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</si>
  <si>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</si>
  <si>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</si>
  <si>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</si>
  <si>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</si>
  <si>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</si>
  <si>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</si>
  <si>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</si>
  <si>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</si>
  <si>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</si>
  <si>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</si>
  <si>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</si>
  <si>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</si>
  <si>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</si>
  <si>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</si>
  <si>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</si>
  <si>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</si>
  <si>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</si>
  <si>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</si>
  <si>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</si>
  <si>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</si>
  <si>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</si>
  <si>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</si>
  <si>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 xml:space="preserve">QC MIA - INVALID QUALITY CONTROL MIA - Foto Dokumen Usaha Tidak Valid - Mohon upload dokumen NIB/SIUP/NPWP  a.n usaha/picnya 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</si>
  <si>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</si>
  <si>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</si>
  <si>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</si>
  <si>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</si>
  <si>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</si>
  <si>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TGL_</t>
  </si>
  <si>
    <t>NOT COMPLY</t>
  </si>
  <si>
    <t>Last update proses : 05-10-2026 09:04:14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</si>
</sst>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1" fillId="3" borderId="0" xfId="0" applyFont="1" applyFill="1"/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3" fillId="9" borderId="1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3" fillId="8" borderId="13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3.0303030303030304E-2</c:v>
                </c:pt>
                <c:pt idx="2">
                  <c:v>3.0303030303030304E-2</c:v>
                </c:pt>
                <c:pt idx="3">
                  <c:v>3.6585365853658534E-2</c:v>
                </c:pt>
                <c:pt idx="4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0.23333333333333334</c:v>
                </c:pt>
                <c:pt idx="1">
                  <c:v>0.65079365079365081</c:v>
                </c:pt>
                <c:pt idx="2">
                  <c:v>0.78125</c:v>
                </c:pt>
                <c:pt idx="3">
                  <c:v>0.39743589743589741</c:v>
                </c:pt>
                <c:pt idx="4">
                  <c:v>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66</c:v>
                      </c:pt>
                      <c:pt idx="2">
                        <c:v>33</c:v>
                      </c:pt>
                      <c:pt idx="3">
                        <c:v>82</c:v>
                      </c:pt>
                      <c:pt idx="4">
                        <c:v>72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3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</c:v>
                      </c:pt>
                      <c:pt idx="1">
                        <c:v>41</c:v>
                      </c:pt>
                      <c:pt idx="2">
                        <c:v>25</c:v>
                      </c:pt>
                      <c:pt idx="3">
                        <c:v>31</c:v>
                      </c:pt>
                      <c:pt idx="4">
                        <c:v>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0.4375</c:v>
                      </c:pt>
                      <c:pt idx="1">
                        <c:v>0.93181818181818177</c:v>
                      </c:pt>
                      <c:pt idx="2">
                        <c:v>0.92592592592592593</c:v>
                      </c:pt>
                      <c:pt idx="3">
                        <c:v>0.54385964912280704</c:v>
                      </c:pt>
                      <c:pt idx="4">
                        <c:v>0.77777777777777779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0.7142857142857143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0.73529411764705888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3.0303030303030304E-2</c:v>
                </c:pt>
                <c:pt idx="2">
                  <c:v>3.0303030303030304E-2</c:v>
                </c:pt>
                <c:pt idx="3">
                  <c:v>3.6585365853658534E-2</c:v>
                </c:pt>
                <c:pt idx="4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0.4375</c:v>
                </c:pt>
                <c:pt idx="1">
                  <c:v>0.93181818181818177</c:v>
                </c:pt>
                <c:pt idx="2">
                  <c:v>0.92592592592592593</c:v>
                </c:pt>
                <c:pt idx="3">
                  <c:v>0.54385964912280704</c:v>
                </c:pt>
                <c:pt idx="4">
                  <c:v>0.77777777777777779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66</c:v>
                      </c:pt>
                      <c:pt idx="2">
                        <c:v>33</c:v>
                      </c:pt>
                      <c:pt idx="3">
                        <c:v>82</c:v>
                      </c:pt>
                      <c:pt idx="4">
                        <c:v>72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3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</c:v>
                      </c:pt>
                      <c:pt idx="1">
                        <c:v>41</c:v>
                      </c:pt>
                      <c:pt idx="2">
                        <c:v>25</c:v>
                      </c:pt>
                      <c:pt idx="3">
                        <c:v>31</c:v>
                      </c:pt>
                      <c:pt idx="4">
                        <c:v>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0.23333333333333334</c:v>
                      </c:pt>
                      <c:pt idx="1">
                        <c:v>0.65079365079365081</c:v>
                      </c:pt>
                      <c:pt idx="2">
                        <c:v>0.78125</c:v>
                      </c:pt>
                      <c:pt idx="3">
                        <c:v>0.39743589743589741</c:v>
                      </c:pt>
                      <c:pt idx="4">
                        <c:v>0.6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0.7142857142857143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0.73529411764705888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3.0303030303030304E-2</c:v>
                </c:pt>
                <c:pt idx="2">
                  <c:v>3.0303030303030304E-2</c:v>
                </c:pt>
                <c:pt idx="3">
                  <c:v>3.6585365853658534E-2</c:v>
                </c:pt>
                <c:pt idx="4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0.7142857142857143</c:v>
                </c:pt>
                <c:pt idx="1">
                  <c:v>1</c:v>
                </c:pt>
                <c:pt idx="2">
                  <c:v>1</c:v>
                </c:pt>
                <c:pt idx="3">
                  <c:v>0.73529411764705888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30</c:v>
                      </c:pt>
                      <c:pt idx="1">
                        <c:v>66</c:v>
                      </c:pt>
                      <c:pt idx="2">
                        <c:v>33</c:v>
                      </c:pt>
                      <c:pt idx="3">
                        <c:v>82</c:v>
                      </c:pt>
                      <c:pt idx="4">
                        <c:v>72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2</c:v>
                      </c:pt>
                      <c:pt idx="2">
                        <c:v>1</c:v>
                      </c:pt>
                      <c:pt idx="3">
                        <c:v>3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</c:v>
                      </c:pt>
                      <c:pt idx="1">
                        <c:v>41</c:v>
                      </c:pt>
                      <c:pt idx="2">
                        <c:v>25</c:v>
                      </c:pt>
                      <c:pt idx="3">
                        <c:v>31</c:v>
                      </c:pt>
                      <c:pt idx="4">
                        <c:v>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0.23333333333333334</c:v>
                      </c:pt>
                      <c:pt idx="1">
                        <c:v>0.65079365079365081</c:v>
                      </c:pt>
                      <c:pt idx="2">
                        <c:v>0.78125</c:v>
                      </c:pt>
                      <c:pt idx="3">
                        <c:v>0.39743589743589741</c:v>
                      </c:pt>
                      <c:pt idx="4">
                        <c:v>0.6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0.4375</c:v>
                      </c:pt>
                      <c:pt idx="1">
                        <c:v>0.93181818181818177</c:v>
                      </c:pt>
                      <c:pt idx="2">
                        <c:v>0.92592592592592593</c:v>
                      </c:pt>
                      <c:pt idx="3">
                        <c:v>0.54385964912280704</c:v>
                      </c:pt>
                      <c:pt idx="4">
                        <c:v>0.77777777777777779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0.395788541668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414"/>
    </cacheField>
    <cacheField name="ORDER_ID" numFmtId="0">
      <sharedItems containsString="0" containsBlank="1" containsNumber="1" containsInteger="1" minValue="1002616819" maxValue="1002621524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4T22:25:52"/>
    </cacheField>
    <cacheField name="LAST_UPDATED_DATE" numFmtId="0">
      <sharedItems containsNonDate="0" containsDate="1" containsString="0" containsBlank="1" minDate="2026-10-01T08:52:57" maxDate="2026-10-05T08:50:51"/>
    </cacheField>
    <cacheField name="NCLI" numFmtId="0">
      <sharedItems containsString="0" containsBlank="1" containsNumber="1" containsInteger="1" minValue="15673151" maxValue="69403996"/>
    </cacheField>
    <cacheField name="POTS" numFmtId="0">
      <sharedItems containsString="0" containsBlank="1" containsNumber="1" containsInteger="1" minValue="2716010314" maxValue="3619581022"/>
    </cacheField>
    <cacheField name="SPEEDY" numFmtId="0">
      <sharedItems containsString="0" containsBlank="1" containsNumber="1" containsInteger="1" minValue="141114228709" maxValue="1726192035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8.787814" maxValue="124.890847764909"/>
    </cacheField>
    <cacheField name="GPS_LATITUDE" numFmtId="0">
      <sharedItems containsString="0" containsBlank="1" containsNumber="1" minValue="-10.446968552249499" maxValue="-5.83253487701701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00-01-01T18:52:06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4-10T22:40:26"/>
    </cacheField>
    <cacheField name="TANGGAL_MANJA" numFmtId="0">
      <sharedItems containsNonDate="0" containsDate="1" containsString="0" containsBlank="1" minDate="2026-09-25T00:00:00" maxDate="2026-10-10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5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10T08:00:00"/>
    </cacheField>
    <cacheField name="DETAIL_MANJA" numFmtId="0">
      <sharedItems containsDate="1" containsBlank="1" containsMixedTypes="1" minDate="1900-01-01T18:52:06" maxDate="1970-01-02T00:00:00"/>
    </cacheField>
    <cacheField name="TGL_" numFmtId="0">
      <sharedItems containsString="0" containsBlank="1" containsNumber="1" containsInteger="1" minValue="2026" maxValue="2026"/>
    </cacheField>
    <cacheField name="PS" numFmtId="0">
      <sharedItems containsString="0" containsBlank="1" containsNumber="1" containsInteger="1" minValue="10" maxValue="10"/>
    </cacheField>
    <cacheField name="Field57" caption="Field57" numFmtId="0">
      <sharedItems containsString="0" containsBlank="1" containsNumber="1" containsInteger="1" minValue="1" maxValue="5"/>
    </cacheField>
    <cacheField name="PS 1" numFmtId="0">
      <sharedItems containsDate="1" containsBlank="1" containsMixedTypes="1" minDate="2026-10-01T00:00:00" maxDate="2026-10-06T00:00:00"/>
    </cacheField>
    <cacheField name="CEK" numFmtId="0">
      <sharedItems containsBlank="1" containsMixedTypes="1" containsNumber="1" minValue="-6.5" maxValue="20728.708333333332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00.395790625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414"/>
    </cacheField>
    <cacheField name="ORDER_ID" numFmtId="0">
      <sharedItems containsString="0" containsBlank="1" containsNumber="1" containsInteger="1" minValue="1002616819" maxValue="1002621524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04T22:25:52"/>
    </cacheField>
    <cacheField name="LAST_UPDATED_DATE" numFmtId="0">
      <sharedItems containsNonDate="0" containsDate="1" containsString="0" containsBlank="1" minDate="2026-10-01T08:52:57" maxDate="2026-10-05T08:50:51"/>
    </cacheField>
    <cacheField name="NCLI" numFmtId="0">
      <sharedItems containsString="0" containsBlank="1" containsNumber="1" containsInteger="1" minValue="15673151" maxValue="69403996"/>
    </cacheField>
    <cacheField name="POTS" numFmtId="0">
      <sharedItems containsString="0" containsBlank="1" containsNumber="1" containsInteger="1" minValue="2716010314" maxValue="3619581022"/>
    </cacheField>
    <cacheField name="SPEEDY" numFmtId="0">
      <sharedItems containsString="0" containsBlank="1" containsNumber="1" containsInteger="1" minValue="141114228709" maxValue="1726192035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8.787814" maxValue="124.890847764909"/>
    </cacheField>
    <cacheField name="GPS_LATITUDE" numFmtId="0">
      <sharedItems containsString="0" containsBlank="1" containsNumber="1" minValue="-10.446968552249499" maxValue="-5.83253487701701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00-01-01T18:52:06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10T07:40:28" maxDate="2026-04-10T22:40:26"/>
    </cacheField>
    <cacheField name="TANGGAL_MANJA" numFmtId="0">
      <sharedItems containsNonDate="0" containsDate="1" containsString="0" containsBlank="1" minDate="2026-09-25T00:00:00" maxDate="2026-10-10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05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10T08:00:00"/>
    </cacheField>
    <cacheField name="DETAIL_MANJA" numFmtId="0">
      <sharedItems containsDate="1" containsBlank="1" containsMixedTypes="1" minDate="1900-01-01T18:52:06" maxDate="1970-01-02T00:00:00"/>
    </cacheField>
    <cacheField name="TGL_" numFmtId="0">
      <sharedItems containsString="0" containsBlank="1" containsNumber="1" containsInteger="1" minValue="2026" maxValue="2026"/>
    </cacheField>
    <cacheField name="PS" numFmtId="0">
      <sharedItems containsString="0" containsBlank="1" containsNumber="1" containsInteger="1" minValue="10" maxValue="10"/>
    </cacheField>
    <cacheField name="Field57" caption="Field57" numFmtId="0">
      <sharedItems containsString="0" containsBlank="1" containsNumber="1" containsInteger="1" minValue="1" maxValue="5"/>
    </cacheField>
    <cacheField name="PS 1" numFmtId="0">
      <sharedItems containsDate="1" containsBlank="1" containsMixedTypes="1" minDate="2026-10-01T00:00:00" maxDate="2026-10-06T00:00:00"/>
    </cacheField>
    <cacheField name="CEK" numFmtId="0">
      <sharedItems containsBlank="1" containsMixedTypes="1" containsNumber="1" minValue="-6.5" maxValue="20728.708333333332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MOJOKERTO"/>
        <s v="SIDOARJO"/>
        <s v="PASURUAN"/>
        <s v="GRESIK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UBUNG"/>
        <s v="JIMBARAN"/>
        <s v="SANUR"/>
        <s v="GIANYAR"/>
        <m/>
        <s v="JEMBRANA" u="1"/>
        <s v="KLUNGKUNG" u="1"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3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4"/>
    <n v="1002620604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2T17:52:35"/>
    <d v="2026-10-03T15:31:1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I"/>
    <s v="X"/>
    <s v="NO ADDON"/>
    <m/>
    <s v="Provisioning Issued"/>
    <s v="HSI Bisnis Khusus Winback PSB 70% - 5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5"/>
    <n v="1002621187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3T18:14:46"/>
    <d v="2026-10-04T15:21:19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I"/>
    <s v="X"/>
    <s v="OCA"/>
    <m/>
    <s v="Provisioning Issued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6"/>
    <n v="1002618978"/>
    <n v="3"/>
    <x v="0"/>
    <n v="5"/>
    <s v="MATARAM"/>
    <s v="LOMBOK BARAT TENGAH"/>
    <s v="PRY"/>
    <s v="REG"/>
    <s v="AO"/>
    <x v="0"/>
    <s v="1P INET"/>
    <s v="OSS - FALLOUT"/>
    <s v="RBS-Regional 3"/>
    <d v="2026-10-02T08:43:40"/>
    <d v="2026-10-03T08:05:35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FO_UIM"/>
    <s v="LOMBOK TENGAH"/>
    <s v="NO ADDON"/>
    <m/>
    <s v="Provisioning Failed|UIM|INF009629314|1029:Reservation not found for Broadband CFS with Reservation ID : 39611817457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7"/>
    <n v="1002618017"/>
    <n v="3"/>
    <x v="0"/>
    <n v="5"/>
    <s v="MATARAM"/>
    <s v="LOMBOK BARAT TENGAH"/>
    <s v="PRY"/>
    <s v="DGS"/>
    <s v="AO"/>
    <x v="0"/>
    <m/>
    <s v="OSS - PROVISIONING START"/>
    <s v="DGS-Government Public Services"/>
    <d v="2026-10-01T14:05:54"/>
    <d v="2026-10-01T14:08:39"/>
    <n v="69402410"/>
    <m/>
    <n v="172603792345"/>
    <s v="COMMAND CENTER MANDALIKA II"/>
    <s v="ODP-PYA-FAS/71"/>
    <s v="WO065496629"/>
    <m/>
    <m/>
    <m/>
    <n v="116.30431652184799"/>
    <n v="-8.8921736558277598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4:10:17"/>
    <m/>
    <m/>
    <s v="PRE_PI"/>
    <s v="LOMBOK TENGAH"/>
    <s v="NO ADDON"/>
    <m/>
    <s v="Provisioning Start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1T12:00:00"/>
    <s v="AO"/>
    <m/>
    <m/>
    <m/>
    <e v="#NUM!"/>
    <e v="#NUM!"/>
    <x v="0"/>
  </r>
  <r>
    <n v="8"/>
    <n v="1002617500"/>
    <n v="3"/>
    <x v="0"/>
    <n v="5"/>
    <s v="MATARAM"/>
    <s v="LOMBOK BARAT TENGAH"/>
    <s v="PRY"/>
    <s v="DGS"/>
    <s v="AO"/>
    <x v="0"/>
    <m/>
    <s v="7 | OSS - PROVISIONING ISSUED"/>
    <s v="DGS-Government Defense Service"/>
    <d v="2026-10-01T11:02:10"/>
    <d v="2026-10-01T11:05:47"/>
    <n v="69402228"/>
    <m/>
    <n v="172603792338"/>
    <s v="COMMAND CENTER MANDALIKA"/>
    <s v="GCL-PYA-F08/19"/>
    <s v="WO065473937"/>
    <m/>
    <m/>
    <m/>
    <n v="116.301227268256"/>
    <n v="-8.8929366423666405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1:40:20"/>
    <m/>
    <m/>
    <s v="PI"/>
    <s v="LOMBOK TENGAH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AO"/>
    <m/>
    <m/>
    <m/>
    <e v="#NUM!"/>
    <e v="#NUM!"/>
    <x v="0"/>
  </r>
  <r>
    <n v="9"/>
    <n v="1002617851"/>
    <n v="3"/>
    <x v="0"/>
    <n v="5"/>
    <s v="MATARAM"/>
    <s v="LOMBOK BARAT TENGAH"/>
    <s v="PRY"/>
    <s v="DGS"/>
    <s v="AO"/>
    <x v="0"/>
    <m/>
    <s v="7 | OSS - PROVISIONING ISSUED"/>
    <s v="DGS-Government Defense Service"/>
    <d v="2026-10-01T13:26:13"/>
    <d v="2026-10-01T13:29:32"/>
    <n v="69402244"/>
    <m/>
    <n v="172603792341"/>
    <s v="COMMAND CENTER MANDALIKA"/>
    <s v="GCL-PYA-F08/19"/>
    <s v="WO065491636"/>
    <m/>
    <m/>
    <m/>
    <n v="116.30264328211901"/>
    <n v="-8.8931277703965996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3:40:38"/>
    <m/>
    <m/>
    <s v="PI"/>
    <s v="LOMBOK TENGAH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1T12:00:00"/>
    <s v="AO"/>
    <m/>
    <m/>
    <m/>
    <e v="#NUM!"/>
    <e v="#NUM!"/>
    <x v="0"/>
  </r>
  <r>
    <n v="10"/>
    <n v="1002617882"/>
    <n v="3"/>
    <x v="0"/>
    <n v="5"/>
    <s v="MATARAM"/>
    <s v="LOMBOK BARAT TENGAH"/>
    <s v="PRY"/>
    <s v="DGS"/>
    <s v="AO"/>
    <x v="0"/>
    <m/>
    <s v="7 | OSS - PROVISIONING ISSUED"/>
    <s v="DGS-Government Defense Service"/>
    <d v="2026-10-01T13:35:14"/>
    <d v="2026-10-01T13:40:22"/>
    <n v="69402358"/>
    <m/>
    <n v="172603792344"/>
    <s v="COMMAND CENTER MANDALIKA"/>
    <s v="ODP-PYA-FAT/21"/>
    <s v="WO065492798"/>
    <m/>
    <m/>
    <m/>
    <n v="116.306934241191"/>
    <n v="-8.8925755936267308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3:40:38"/>
    <m/>
    <m/>
    <s v="PI"/>
    <s v="LOMBOK TENGAH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AO"/>
    <m/>
    <m/>
    <m/>
    <e v="#NUM!"/>
    <e v="#NUM!"/>
    <x v="0"/>
  </r>
  <r>
    <n v="11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12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13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14"/>
    <n v="1002620766"/>
    <n v="3"/>
    <x v="0"/>
    <n v="5"/>
    <s v="MATARAM"/>
    <s v="LOMBOK BARAT TENGAH"/>
    <s v="PRY"/>
    <s v="REG"/>
    <s v="AO"/>
    <x v="0"/>
    <s v="1P INET"/>
    <s v="MIE - SEND SURVEY"/>
    <s v="RBS-Regional 3"/>
    <d v="2026-10-03T09:22:40"/>
    <d v="2026-10-03T09:24:06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SURVEY_NEW_MANJA"/>
    <s v="LOMBOK TENGAH"/>
    <s v="NO ADDON"/>
    <m/>
    <s v="MIE - SEND SURVEY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15"/>
    <n v="1002621319"/>
    <n v="3"/>
    <x v="0"/>
    <n v="5"/>
    <s v="MATARAM"/>
    <s v="LOMBOK BARAT TENGAH"/>
    <s v="PRY"/>
    <s v="REG"/>
    <s v="AO"/>
    <x v="0"/>
    <s v="1P INET"/>
    <s v="MIE - SEND SURVEY"/>
    <s v="RBS-Regional 3"/>
    <d v="2026-10-04T10:58:41"/>
    <d v="2026-10-04T11:00:06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SURVEY_NEW_MANJA"/>
    <s v="LOMBOK TENGAH"/>
    <s v="NO ADDON"/>
    <m/>
    <s v="MIE - SEND SURVEY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16"/>
    <n v="1002621358"/>
    <n v="3"/>
    <x v="0"/>
    <n v="5"/>
    <s v="MATARAM"/>
    <s v="LOMBOK BARAT TENGAH"/>
    <s v="PRY"/>
    <s v="REG"/>
    <s v="AO"/>
    <x v="0"/>
    <s v="1P INET"/>
    <s v="MIE - SEND SURVEY"/>
    <s v="RBS-Regional 3"/>
    <d v="2026-10-04T12:29:35"/>
    <d v="2026-10-04T12:33:01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SURVEY_NEW_MANJA"/>
    <s v="LOMBOK TENGAH"/>
    <s v="NO ADDON"/>
    <m/>
    <s v="MIE - SEND SURVEY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m/>
    <m/>
    <m/>
    <e v="#NUM!"/>
    <e v="#NUM!"/>
    <x v="0"/>
  </r>
  <r>
    <n v="17"/>
    <n v="1002620545"/>
    <n v="3"/>
    <x v="0"/>
    <n v="5"/>
    <s v="MATARAM"/>
    <s v="LOMBOK TIMUR UTARA"/>
    <s v="SEL"/>
    <s v="REG"/>
    <s v="AO"/>
    <x v="0"/>
    <s v="1P INET"/>
    <s v="OSS - PROVISIONING START"/>
    <s v="RBS-Regional 3"/>
    <d v="2026-10-02T17:10:39"/>
    <d v="2026-10-05T08:04:4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RE_PI"/>
    <s v="LOMBOK TIMUR"/>
    <s v="NO ADDON"/>
    <m/>
    <s v="Provisioning Start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m/>
    <m/>
    <m/>
    <e v="#NUM!"/>
    <e v="#NUM!"/>
    <x v="0"/>
  </r>
  <r>
    <n v="18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19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20"/>
    <n v="1002621062"/>
    <n v="3"/>
    <x v="0"/>
    <n v="5"/>
    <s v="MATARAM"/>
    <s v="LOMBOK TIMUR UTARA"/>
    <s v="SGG"/>
    <s v="REG"/>
    <s v="AO"/>
    <x v="0"/>
    <s v="1P INET"/>
    <s v="7 | OSS - PROVISIONING ISSUED"/>
    <s v="RBS-Regional 3"/>
    <d v="2026-10-03T14:53:34"/>
    <d v="2026-10-04T11:29:58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PI"/>
    <s v="LOMBOK UTARA"/>
    <s v="NO ADDON"/>
    <m/>
    <s v="Provisioning Issued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21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22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23"/>
    <n v="1002618926"/>
    <n v="3"/>
    <x v="0"/>
    <n v="5"/>
    <s v="MATARAM"/>
    <s v="INNER - NUSA TENGGARA"/>
    <s v="MTR"/>
    <s v="REG"/>
    <s v="AO"/>
    <x v="0"/>
    <s v="1P INET"/>
    <s v="OSS - PROVISIONING START"/>
    <s v="RBS-Regional 3"/>
    <d v="2026-10-02T08:23:39"/>
    <d v="2026-10-03T11:08:43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RE_PI"/>
    <s v="X"/>
    <s v="NETMONK"/>
    <m/>
    <s v="Provisioning Start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m/>
    <m/>
    <m/>
    <e v="#NUM!"/>
    <e v="#NUM!"/>
    <x v="0"/>
  </r>
  <r>
    <n v="24"/>
    <n v="1002619117"/>
    <n v="3"/>
    <x v="0"/>
    <n v="5"/>
    <s v="MATARAM"/>
    <s v="INNER - NUSA TENGGARA"/>
    <s v="MTR"/>
    <s v="REG"/>
    <s v="AO"/>
    <x v="0"/>
    <s v="1P INET"/>
    <s v="7 | OSS - PROVISIONING ISSUED"/>
    <s v="RBS-Regional 3"/>
    <d v="2026-10-02T09:23:39"/>
    <d v="2026-10-03T08:06:21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I"/>
    <s v="X"/>
    <s v="NO ADDON"/>
    <m/>
    <s v="Provisioning Issu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m/>
    <m/>
    <m/>
    <e v="#NUM!"/>
    <e v="#NUM!"/>
    <x v="0"/>
  </r>
  <r>
    <n v="25"/>
    <n v="1002618794"/>
    <n v="3"/>
    <x v="0"/>
    <n v="5"/>
    <s v="MATARAM"/>
    <s v="INNER - NUSA TENGGARA"/>
    <s v="MTR"/>
    <s v="DGS"/>
    <s v="AO"/>
    <x v="0"/>
    <m/>
    <s v="Completed (PS)"/>
    <s v="DGS-B2B TREG"/>
    <d v="2026-10-01T18:35:02"/>
    <d v="2026-10-02T07:49:38"/>
    <n v="69400977"/>
    <m/>
    <n v="172601248251"/>
    <s v="Kementerian HAM wilayah kerja NTB Dua"/>
    <s v="ODP-MTR-FAQ/31"/>
    <s v="WO065526867"/>
    <m/>
    <m/>
    <m/>
    <n v="116.1084"/>
    <n v="-8.5893999999999995"/>
    <s v="DGS HSI | I MADE ARY SWANTIKA / YAYUK | 940097 / 207465| TREG 3| Kementerian HAM wilayah kerja NTB Dua | 0818365321 |hamprovntb@gmail.com|HSI BISNIS  1S INET  300 MBPS"/>
    <s v="Plasa"/>
    <m/>
    <m/>
    <m/>
    <m/>
    <m/>
    <m/>
    <m/>
    <m/>
    <s v="Management Janji"/>
    <s v="call by phone"/>
    <s v="FCC"/>
    <d v="2026-01-10T18:40:19"/>
    <m/>
    <m/>
    <s v="PS"/>
    <s v="X"/>
    <s v="NO ADDON"/>
    <n v="20261002"/>
    <s v="Completed"/>
    <s v="- 11_11450;Biaya PSB Reguler HSI EBIS ~ 11[500000]  - E23015;E23015 ~ ES23 - Perangkat ONT[0]  - E23015~null~44292;E23015||11||Abodemen 0[0]  - E23015~null~E23015_SWONTPREM;SWONTPREM ~ Biaya Sewa ONT Premium ~ E23015[50000]  - E25060;E25060 ~ ES25 - Paket"/>
    <s v="INDIBIZ"/>
    <m/>
    <m/>
    <d v="1970-01-01T07:00:00"/>
    <s v="call by phone"/>
    <n v="2026"/>
    <n v="10"/>
    <n v="2"/>
    <d v="2026-10-02T00:00:00"/>
    <n v="20727.708333333332"/>
    <x v="2"/>
  </r>
  <r>
    <n v="26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27"/>
    <n v="1002618712"/>
    <n v="3"/>
    <x v="0"/>
    <n v="5"/>
    <s v="MATARAM"/>
    <s v="BIMA"/>
    <s v="SAP"/>
    <s v="REG"/>
    <s v="AO"/>
    <x v="0"/>
    <m/>
    <s v="7 | OSS - PROVISIONING ISSUED"/>
    <s v="RBS-Regional 3"/>
    <d v="2026-10-01T17:19:59"/>
    <d v="2026-10-02T13:23:4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I"/>
    <s v="BIMA BARAT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m/>
    <m/>
    <m/>
    <e v="#NUM!"/>
    <e v="#NUM!"/>
    <x v="0"/>
  </r>
  <r>
    <n v="28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29"/>
    <n v="1002620949"/>
    <n v="3"/>
    <x v="0"/>
    <n v="5"/>
    <s v="MATARAM"/>
    <s v="BIMA"/>
    <s v="SIL"/>
    <s v="REG"/>
    <s v="AO"/>
    <x v="0"/>
    <s v="1P INET"/>
    <s v="MIE - SEND SURVEY"/>
    <s v="RBS-Regional 3"/>
    <d v="2026-10-03T12:49:34"/>
    <d v="2026-10-03T12:54:3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SURVEY_NEW_MANJA"/>
    <s v="BIMA BARAT"/>
    <s v="NETMONK"/>
    <m/>
    <s v="MIE - SEND SURVEY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30"/>
    <n v="1002617728"/>
    <n v="3"/>
    <x v="0"/>
    <n v="5"/>
    <s v="MATARAM"/>
    <s v="BIMA"/>
    <s v="TET"/>
    <s v="DGS"/>
    <s v="AO"/>
    <x v="0"/>
    <m/>
    <s v="OSS - FALLOUT"/>
    <s v="DGS-B2B TREG"/>
    <d v="2026-10-01T12:28:40"/>
    <d v="2026-10-01T12:57:58"/>
    <n v="69397628"/>
    <m/>
    <n v="172616790515"/>
    <s v="DPMPTSP SUMBAWA BARAT"/>
    <s v="ODP-TET-FAF/55"/>
    <s v="WO065485056"/>
    <m/>
    <m/>
    <m/>
    <n v="118.66843733347299"/>
    <n v="-8.6908476808720998"/>
    <s v="DGS HSI | ADI HERMANTO | 403209 | | TREG 3 |DPMPTSP SUMBAWA BARAT | Mujiburrahman| 81237165084|100Mbps  "/>
    <s v="Amex"/>
    <m/>
    <m/>
    <m/>
    <m/>
    <m/>
    <m/>
    <m/>
    <m/>
    <s v="Management Janji"/>
    <s v="AO"/>
    <s v="FCC"/>
    <d v="2026-01-10T13:25:24"/>
    <m/>
    <s v="Kendala Lainnya"/>
    <s v="FO_WFM"/>
    <s v="BIMA BARAT"/>
    <s v="NO ADDON"/>
    <m/>
    <s v="Provisioning Failed|WFM|INF009601801|ket pelurusan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7:00:00"/>
    <s v="AO"/>
    <m/>
    <m/>
    <m/>
    <e v="#NUM!"/>
    <e v="#NUM!"/>
    <x v="0"/>
  </r>
  <r>
    <n v="31"/>
    <n v="1002617802"/>
    <n v="3"/>
    <x v="0"/>
    <n v="5"/>
    <s v="MATARAM"/>
    <s v="BIMA"/>
    <s v="TET"/>
    <s v="DGS"/>
    <s v="AO"/>
    <x v="0"/>
    <m/>
    <s v="Completed (PS)"/>
    <s v="DGS-Government Defense Service"/>
    <d v="2026-10-01T13:09:08"/>
    <d v="2026-10-01T16:20:43"/>
    <n v="69283220"/>
    <m/>
    <n v="172616790517"/>
    <s v="Polsek Langgudu BIMA KOTA"/>
    <s v="ODP-TET-FAF/55"/>
    <s v="WO065489618"/>
    <m/>
    <m/>
    <m/>
    <n v="118.669531120787"/>
    <n v="-8.6907218146498106"/>
    <s v="AO | DGS HSI | MARLINTIKA | 940162 | TREG 3 | POLSEK LANGGUDU| 82247061770|AO HSI 1S INET ONLY 50MBPS"/>
    <s v="Account Manager"/>
    <m/>
    <m/>
    <m/>
    <m/>
    <m/>
    <m/>
    <m/>
    <m/>
    <s v="Management Janji"/>
    <s v="AO"/>
    <s v="FCC"/>
    <d v="2026-01-10T13:25:24"/>
    <m/>
    <m/>
    <s v="PS"/>
    <s v="BIMA BARAT"/>
    <s v="NO ADDON"/>
    <n v="20261001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AO"/>
    <n v="2026"/>
    <n v="10"/>
    <n v="1"/>
    <d v="2026-10-01T00:00:00"/>
    <n v="20726.708333333332"/>
    <x v="2"/>
  </r>
  <r>
    <n v="32"/>
    <n v="1002620771"/>
    <n v="3"/>
    <x v="0"/>
    <n v="5"/>
    <s v="MATARAM"/>
    <s v="BIMA"/>
    <s v="DMP"/>
    <s v="REG"/>
    <s v="AO"/>
    <x v="0"/>
    <m/>
    <s v="OSS - FALLOUT"/>
    <s v="RBS-Regional 3"/>
    <d v="2026-10-03T09:30:01"/>
    <d v="2026-10-04T23:40:34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FO_ASAP"/>
    <s v="DOMPU"/>
    <s v="NO ADDON"/>
    <m/>
    <s v="Provisioning Failed|ACTIVATION|INF009649461|U31_PORT_NOT_FOUND:ServicePort Not Found / ONT Connectivity is Missing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33"/>
    <n v="1002620781"/>
    <n v="3"/>
    <x v="0"/>
    <n v="5"/>
    <s v="MATARAM"/>
    <s v="BIMA"/>
    <s v="DMP"/>
    <s v="DGS"/>
    <s v="AO"/>
    <x v="0"/>
    <m/>
    <s v="Completed (PS)"/>
    <s v="DGS-B2B TREG"/>
    <d v="2026-10-03T09:34:59"/>
    <d v="2026-10-03T14:03:49"/>
    <n v="69399747"/>
    <m/>
    <n v="172611786497"/>
    <s v="BPKAD 3 ANGGARAN"/>
    <s v="ODP-DMP-FAE/27"/>
    <s v="WO065629142"/>
    <m/>
    <m/>
    <m/>
    <n v="118.463866803789"/>
    <n v="-8.5354537662657801"/>
    <s v="DGS HSI |TREG 3 | IRAWATI | 960251| LBPKAD 3 ANGGARAN|82339765925|Indibiz 75Mbps "/>
    <s v="Account Manager"/>
    <m/>
    <m/>
    <m/>
    <m/>
    <m/>
    <m/>
    <m/>
    <m/>
    <s v="Management Janji"/>
    <s v="call by phone"/>
    <s v="FCC"/>
    <d v="2026-03-10T09:40:05"/>
    <m/>
    <m/>
    <s v="PS"/>
    <s v="DOMPU"/>
    <s v="NO ADDON"/>
    <n v="20261003"/>
    <s v="Completed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1970-01-01T07:00:00"/>
    <s v="call by phone"/>
    <n v="2026"/>
    <n v="10"/>
    <n v="3"/>
    <d v="2026-10-03T00:00:00"/>
    <n v="20728.708333333332"/>
    <x v="2"/>
  </r>
  <r>
    <n v="34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35"/>
    <n v="1002616833"/>
    <n v="3"/>
    <x v="0"/>
    <n v="5"/>
    <s v="MATARAM"/>
    <s v="SUMBAWA"/>
    <s v="SBW"/>
    <s v="REG"/>
    <s v="AO"/>
    <x v="0"/>
    <s v="1P INET"/>
    <s v="100 | REVOKE COMPLETED"/>
    <s v="RBS-Regional 3"/>
    <d v="2026-10-01T07:53:41"/>
    <d v="2026-10-03T12:31:21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Revoke Completed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36"/>
    <n v="1002619632"/>
    <n v="3"/>
    <x v="0"/>
    <n v="5"/>
    <s v="MATARAM"/>
    <s v="SUMBAWA"/>
    <s v="SBW"/>
    <s v="REG"/>
    <s v="AO"/>
    <x v="0"/>
    <s v="1P INET"/>
    <s v="7 | OSS - PROVISIONING ISSUED"/>
    <s v="RBS-Regional 3"/>
    <d v="2026-10-02T11:58:35"/>
    <d v="2026-10-03T11:13:38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I"/>
    <s v="X"/>
    <s v="NETMONK"/>
    <m/>
    <s v="Provisioning Issued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37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38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39"/>
    <n v="1002617056"/>
    <n v="3"/>
    <x v="0"/>
    <n v="5"/>
    <s v="MATARAM"/>
    <s v="SUMBAWA"/>
    <s v="MLK"/>
    <s v="DPS"/>
    <s v="AO"/>
    <x v="0"/>
    <m/>
    <s v="OSS - PROVISIONING START"/>
    <s v="DPS-Property &amp; Resources"/>
    <d v="2026-10-01T09:21:53"/>
    <d v="2026-10-01T09:24:30"/>
    <n v="69402043"/>
    <m/>
    <n v="172608206609"/>
    <s v="AMNT Townsite 2 A19"/>
    <s v="ODP-MLK-FAG/31"/>
    <s v="WO065463499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25:42"/>
    <m/>
    <m/>
    <s v="PRE_PI"/>
    <s v="SUMBAWA BARAT"/>
    <s v="NO ADDON"/>
    <m/>
    <s v="Provisioning Start"/>
    <s v="- 11_11450;Biaya PSB Reguler HSI EBIS ~ 11[500000]  - 11_70522;Biaya PSB Reguler IPTV EBIS ~ 11[100000]  - SP_NOSS;SP_NOSS ~ Internet NOSS Multispeed Network[0]  - E23015;E23015 ~ ES23 - Perangkat ONT[0]  - E23015~null~44292;E23015||11||Abodemen 0[0]  - E"/>
    <s v="INDIBIZ"/>
    <m/>
    <m/>
    <d v="2026-10-01T12:00:00"/>
    <s v="AO"/>
    <m/>
    <m/>
    <m/>
    <e v="#NUM!"/>
    <e v="#NUM!"/>
    <x v="0"/>
  </r>
  <r>
    <n v="40"/>
    <n v="1002617103"/>
    <n v="3"/>
    <x v="0"/>
    <n v="5"/>
    <s v="MATARAM"/>
    <s v="SUMBAWA"/>
    <s v="MLK"/>
    <s v="DPS"/>
    <s v="AO"/>
    <x v="0"/>
    <m/>
    <s v="OSS - PROVISIONING START"/>
    <s v="DPS-Property &amp; Resources"/>
    <d v="2026-10-01T09:33:21"/>
    <d v="2026-10-01T09:36:45"/>
    <n v="69402079"/>
    <m/>
    <n v="172608206612"/>
    <s v="AMNT Townsite 2 A21"/>
    <s v="ODP-MLK-FAG/31"/>
    <s v="WO065464382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RE_PI"/>
    <s v="SUMBAWA BARAT"/>
    <s v="NO ADDON"/>
    <m/>
    <s v="Provisioning Start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1T12:00:00"/>
    <s v="AO"/>
    <m/>
    <m/>
    <m/>
    <e v="#NUM!"/>
    <e v="#NUM!"/>
    <x v="0"/>
  </r>
  <r>
    <n v="41"/>
    <n v="1002617179"/>
    <n v="3"/>
    <x v="0"/>
    <n v="5"/>
    <s v="MATARAM"/>
    <s v="SUMBAWA"/>
    <s v="MLK"/>
    <s v="DPS"/>
    <s v="AO"/>
    <x v="0"/>
    <m/>
    <s v="7 | OSS - PROVISIONING ISSUED"/>
    <s v="DPS-Property &amp; Resources"/>
    <d v="2026-10-01T09:49:16"/>
    <d v="2026-10-01T09:53:27"/>
    <n v="69402114"/>
    <m/>
    <n v="172608206614"/>
    <s v="AMNT Townsite 2 A23"/>
    <s v="ODP-MLK-FAG/31"/>
    <s v="WO065465704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E26018;E26018 ~ ES26 - Paket SBR HSI Bisnis Basic PT AMNT Bundling IPTV[0]  - E26018~null~E"/>
    <s v="INDIBIZ"/>
    <m/>
    <m/>
    <d v="2026-10-01T12:00:00"/>
    <s v="AO"/>
    <m/>
    <m/>
    <m/>
    <e v="#NUM!"/>
    <e v="#NUM!"/>
    <x v="0"/>
  </r>
  <r>
    <n v="42"/>
    <n v="1002617083"/>
    <n v="3"/>
    <x v="0"/>
    <n v="5"/>
    <s v="MATARAM"/>
    <s v="SUMBAWA"/>
    <s v="MLK"/>
    <s v="DPS"/>
    <s v="AO"/>
    <x v="0"/>
    <m/>
    <s v="7 | OSS - PROVISIONING ISSUED"/>
    <s v="DPS-Property &amp; Resources"/>
    <d v="2026-10-01T09:28:46"/>
    <d v="2026-10-01T09:32:02"/>
    <n v="69402090"/>
    <m/>
    <n v="172608206611"/>
    <s v="AMNT Townsite 2 A20"/>
    <s v="ODP-MLK-FAG/31"/>
    <s v="WO065464015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30:00"/>
    <s v="AO"/>
    <m/>
    <m/>
    <m/>
    <e v="#NUM!"/>
    <e v="#NUM!"/>
    <x v="0"/>
  </r>
  <r>
    <n v="43"/>
    <n v="1002617153"/>
    <n v="3"/>
    <x v="0"/>
    <n v="5"/>
    <s v="MATARAM"/>
    <s v="SUMBAWA"/>
    <s v="MLK"/>
    <s v="DPS"/>
    <s v="AO"/>
    <x v="0"/>
    <m/>
    <s v="7 | OSS - PROVISIONING ISSUED"/>
    <s v="DPS-Property &amp; Resources"/>
    <d v="2026-10-01T09:43:59"/>
    <d v="2026-10-01T09:47:39"/>
    <n v="69402099"/>
    <m/>
    <n v="172608206613"/>
    <s v="AMNT Townsite 2 A22"/>
    <s v="ODP-MLK-FAG/31"/>
    <s v="WO065465247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00:00"/>
    <s v="AO"/>
    <m/>
    <m/>
    <m/>
    <e v="#NUM!"/>
    <e v="#NUM!"/>
    <x v="0"/>
  </r>
  <r>
    <n v="44"/>
    <n v="1002617207"/>
    <n v="3"/>
    <x v="0"/>
    <n v="5"/>
    <s v="MATARAM"/>
    <s v="SUMBAWA"/>
    <s v="MLK"/>
    <s v="DPS"/>
    <s v="AO"/>
    <x v="0"/>
    <m/>
    <s v="7 | OSS - PROVISIONING ISSUED"/>
    <s v="DPS-Property &amp; Resources"/>
    <d v="2026-10-01T09:55:06"/>
    <d v="2026-10-01T10:00:00"/>
    <n v="69402119"/>
    <m/>
    <n v="172608206615"/>
    <s v="AMNT Townsite 2 A24"/>
    <s v="ODP-MLK-FAG/31"/>
    <s v="WO065466303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10:25:19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00:00"/>
    <s v="AO"/>
    <m/>
    <m/>
    <m/>
    <e v="#NUM!"/>
    <e v="#NUM!"/>
    <x v="0"/>
  </r>
  <r>
    <n v="45"/>
    <n v="1002616958"/>
    <n v="3"/>
    <x v="0"/>
    <n v="5"/>
    <s v="MATARAM"/>
    <s v="SUMBAWA"/>
    <s v="MLK"/>
    <s v="DPS"/>
    <s v="AO"/>
    <x v="0"/>
    <m/>
    <s v="Completed (PS)"/>
    <s v="DPS-Property &amp; Resources"/>
    <d v="2026-10-01T08:53:43"/>
    <d v="2026-10-01T14:52:10"/>
    <n v="69402054"/>
    <m/>
    <n v="172608206279"/>
    <s v="AMNT Townsite 2 A18"/>
    <s v="ODP-MLK-FAG/31"/>
    <s v="WO065461637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25:42"/>
    <m/>
    <m/>
    <s v="PS"/>
    <s v="SUMBAWA BARAT"/>
    <s v="NO ADDON"/>
    <n v="20261001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1T12:00:00"/>
    <s v="AO"/>
    <n v="2026"/>
    <n v="10"/>
    <n v="1"/>
    <d v="2026-10-01T00:00:00"/>
    <n v="-0.5"/>
    <x v="1"/>
  </r>
  <r>
    <n v="46"/>
    <n v="1002617767"/>
    <n v="3"/>
    <x v="0"/>
    <n v="5"/>
    <s v="MATARAM"/>
    <s v="SUMBAWA"/>
    <s v="MLK"/>
    <s v="DPS"/>
    <s v="AO"/>
    <x v="0"/>
    <m/>
    <s v="Completed (PS)"/>
    <s v="DPS-Property &amp; Resources"/>
    <d v="2026-10-01T12:49:02"/>
    <d v="2026-10-01T15:20:34"/>
    <n v="69378495"/>
    <m/>
    <n v="172608206621"/>
    <s v="AMNT Townsite 2 D37"/>
    <s v="ODP-MLK-FAG/20"/>
    <s v="WO065487433"/>
    <m/>
    <m/>
    <m/>
    <n v="116.76269499999999"/>
    <n v="-8.9959889999999998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1-10T13:25:24"/>
    <m/>
    <m/>
    <s v="PS"/>
    <s v="SUMBAWA BARAT"/>
    <s v="NO ADDON"/>
    <n v="20261001"/>
    <s v="Completed"/>
    <s v="- 11_11450;Biaya PSB Reguler HSI EBIS ~ 11[500000]  - 11_70522;Biaya PSB Reguler IPTV EBIS ~ 11[100000]  - E23055;E23055 ~ ES23 - Paket HSI Bisnis Basic Bundling IPTV (USEE)[0]  - E23055~null~E23055_USEE_HD;USEE_HD ~ USEE HD ~ E23055[0]  - E23055~null~448"/>
    <s v="INDIBIZ"/>
    <m/>
    <m/>
    <d v="1970-01-01T07:00:00"/>
    <s v="AO"/>
    <n v="2026"/>
    <n v="10"/>
    <n v="1"/>
    <d v="2026-10-01T00:00:00"/>
    <n v="20726.708333333332"/>
    <x v="2"/>
  </r>
  <r>
    <n v="47"/>
    <n v="1002617248"/>
    <n v="3"/>
    <x v="0"/>
    <n v="5"/>
    <s v="MATARAM"/>
    <s v="SUMBAWA"/>
    <s v="MLK"/>
    <s v="DPS"/>
    <s v="AO"/>
    <x v="0"/>
    <m/>
    <s v="Completed (PS)"/>
    <s v="DPS-Property &amp; Resources"/>
    <d v="2026-10-01T10:04:18"/>
    <d v="2026-10-02T18:59:59"/>
    <n v="69395639"/>
    <m/>
    <n v="172608206616"/>
    <s v="AMNT Townsite 2 A16"/>
    <s v="ODP-MLK-FAG/32"/>
    <s v="WO065467270"/>
    <m/>
    <m/>
    <m/>
    <n v="116.7583703"/>
    <n v="-8.9897934999999993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10:25:19"/>
    <m/>
    <m/>
    <s v="PS"/>
    <s v="SUMBAWA BARAT"/>
    <s v="NO ADDON"/>
    <n v="20261002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2"/>
    <d v="2026-10-02T00:00:00"/>
    <n v="20727.708333333332"/>
    <x v="2"/>
  </r>
  <r>
    <n v="48"/>
    <n v="1002617432"/>
    <n v="3"/>
    <x v="0"/>
    <n v="5"/>
    <s v="MATARAM"/>
    <s v="SUMBAWA"/>
    <s v="MLK"/>
    <s v="DPS"/>
    <s v="AO"/>
    <x v="0"/>
    <m/>
    <s v="Completed (PS)"/>
    <s v="DPS-Property &amp; Resources"/>
    <d v="2026-10-01T10:45:21"/>
    <d v="2026-10-01T16:54:37"/>
    <n v="69378525"/>
    <m/>
    <n v="172608206619"/>
    <s v="AMNT Townsite 2 D39"/>
    <s v="ODP-MLK-FAG/20"/>
    <s v="WO065471910"/>
    <m/>
    <m/>
    <m/>
    <n v="116.76269499999999"/>
    <n v="-8.9959889999999998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1-10T11:40:20"/>
    <m/>
    <m/>
    <s v="PS"/>
    <s v="SUMBAWA BARAT"/>
    <s v="NO ADDON"/>
    <n v="20261001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1"/>
    <d v="2026-10-01T00:00:00"/>
    <n v="20726.708333333332"/>
    <x v="2"/>
  </r>
  <r>
    <n v="49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50"/>
    <n v="1002619460"/>
    <n v="3"/>
    <x v="0"/>
    <n v="5"/>
    <s v="MATARAM"/>
    <s v="SUMBAWA"/>
    <s v="MLK"/>
    <s v="DPS"/>
    <s v="AO"/>
    <x v="0"/>
    <m/>
    <s v="Completed (PS)"/>
    <s v="DPS-Property &amp; Resources"/>
    <d v="2026-10-02T11:01:45"/>
    <d v="2026-10-02T18:17:07"/>
    <n v="69395644"/>
    <m/>
    <n v="172608206627"/>
    <s v="AMNT Townsite 2 A17"/>
    <s v="ODP-MLK-FAG/32"/>
    <s v="WO065559098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1:11:07"/>
    <m/>
    <m/>
    <s v="PS"/>
    <s v="SUMBAWA BARAT"/>
    <s v="NO ADDON"/>
    <n v="20261002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2"/>
    <d v="2026-10-02T00:00:00"/>
    <n v="20727.708333333332"/>
    <x v="2"/>
  </r>
  <r>
    <n v="51"/>
    <n v="1002619176"/>
    <n v="3"/>
    <x v="0"/>
    <n v="5"/>
    <s v="MATARAM"/>
    <s v="SUMBAWA"/>
    <s v="MLK"/>
    <s v="DPS"/>
    <s v="AO"/>
    <x v="0"/>
    <m/>
    <s v="Completed (PS)"/>
    <s v="DPS-Property &amp; Resources"/>
    <d v="2026-10-02T09:42:31"/>
    <d v="2026-10-02T18:29:36"/>
    <n v="69402793"/>
    <m/>
    <n v="172608206625"/>
    <s v="AMNT Townsite 2 D21"/>
    <s v="ODP-MLK-FAG/14"/>
    <s v="WO06554901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0:10:27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00:00"/>
    <s v="AO"/>
    <n v="2026"/>
    <n v="10"/>
    <n v="2"/>
    <d v="2026-10-02T00:00:00"/>
    <n v="-0.5"/>
    <x v="1"/>
  </r>
  <r>
    <n v="52"/>
    <n v="1002619196"/>
    <n v="3"/>
    <x v="0"/>
    <n v="5"/>
    <s v="MATARAM"/>
    <s v="SUMBAWA"/>
    <s v="MLK"/>
    <s v="DPS"/>
    <s v="AO"/>
    <x v="0"/>
    <m/>
    <s v="Completed (PS)"/>
    <s v="DPS-Property &amp; Resources"/>
    <d v="2026-10-02T09:49:09"/>
    <d v="2026-10-02T18:34:07"/>
    <n v="69402820"/>
    <m/>
    <n v="172608206626"/>
    <s v="AMNT Townsite 2 D22"/>
    <s v="ODP-MLK-FAG/14"/>
    <s v="WO06554987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0:10:27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2T12:00:00"/>
    <s v="AO"/>
    <n v="2026"/>
    <n v="10"/>
    <n v="2"/>
    <d v="2026-10-02T00:00:00"/>
    <n v="-0.5"/>
    <x v="1"/>
  </r>
  <r>
    <n v="53"/>
    <n v="1002619125"/>
    <n v="3"/>
    <x v="0"/>
    <n v="5"/>
    <s v="MATARAM"/>
    <s v="SUMBAWA"/>
    <s v="MLK"/>
    <s v="DPS"/>
    <s v="AO"/>
    <x v="0"/>
    <m/>
    <s v="Completed (PS)"/>
    <s v="DPS-Property &amp; Resources"/>
    <d v="2026-10-02T09:26:35"/>
    <d v="2026-10-02T18:06:34"/>
    <n v="69402775"/>
    <m/>
    <n v="172608206623"/>
    <s v="AMNT Townsite 2 D19"/>
    <s v="ODP-MLK-FAG/14"/>
    <s v="WO065547396"/>
    <m/>
    <m/>
    <m/>
    <n v="116.76269499999999"/>
    <n v="-8.9959889999999998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09:40:29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00:00"/>
    <s v="AO"/>
    <n v="2026"/>
    <n v="10"/>
    <n v="2"/>
    <d v="2026-10-02T00:00:00"/>
    <n v="-0.5"/>
    <x v="1"/>
  </r>
  <r>
    <n v="54"/>
    <n v="1002619151"/>
    <n v="3"/>
    <x v="0"/>
    <n v="5"/>
    <s v="MATARAM"/>
    <s v="SUMBAWA"/>
    <s v="MLK"/>
    <s v="DPS"/>
    <s v="AO"/>
    <x v="0"/>
    <m/>
    <s v="Completed (PS)"/>
    <s v="DPS-Property &amp; Resources"/>
    <d v="2026-10-02T09:35:30"/>
    <d v="2026-10-02T18:32:17"/>
    <n v="69402805"/>
    <m/>
    <n v="172608206624"/>
    <s v="AMNT Townsite 2 D20"/>
    <s v="ODP-MLK-FAG/14"/>
    <s v="WO06554825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09:40:29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30:00"/>
    <s v="AO"/>
    <n v="2026"/>
    <n v="10"/>
    <n v="2"/>
    <d v="2026-10-02T00:00:00"/>
    <n v="-0.52083333333575865"/>
    <x v="1"/>
  </r>
  <r>
    <n v="55"/>
    <n v="1002619832"/>
    <n v="3"/>
    <x v="0"/>
    <n v="5"/>
    <s v="MATARAM"/>
    <s v="SUMBAWA"/>
    <s v="MLK"/>
    <s v="DPS"/>
    <s v="AO"/>
    <x v="0"/>
    <m/>
    <s v="8 | OSS - PONR"/>
    <s v="DPS-Property &amp; Resources"/>
    <d v="2026-10-02T13:40:37"/>
    <d v="2026-10-02T15:25:46"/>
    <n v="69378432"/>
    <m/>
    <n v="172608206282"/>
    <s v="AMNT Townsite 2 D34"/>
    <s v="ODP-MLK-FAG/19"/>
    <s v="WO065575896"/>
    <m/>
    <m/>
    <m/>
    <n v="116.764054231421"/>
    <n v="-8.9956834331392805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2-10T13:55:23"/>
    <m/>
    <m/>
    <s v="ACT_COM"/>
    <s v="SUMBAWA BARAT"/>
    <s v="NO ADDON"/>
    <m/>
    <s v="PONR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m/>
    <m/>
    <m/>
    <e v="#NUM!"/>
    <e v="#NUM!"/>
    <x v="0"/>
  </r>
  <r>
    <n v="56"/>
    <n v="1002617049"/>
    <n v="3"/>
    <x v="0"/>
    <n v="5"/>
    <s v="MATARAM"/>
    <s v="SUMBAWA"/>
    <s v="TLW"/>
    <s v="DGS"/>
    <s v="AO"/>
    <x v="0"/>
    <m/>
    <s v="Completed (PS)"/>
    <s v="DGS-B2B TREG"/>
    <d v="2026-10-01T09:20:19"/>
    <d v="2026-10-01T17:33:12"/>
    <n v="69397628"/>
    <m/>
    <n v="172610203823"/>
    <s v="DPMPTSP SUMBAWA BARAT"/>
    <s v="ODP-TLW-FA/05"/>
    <s v="WO065463392"/>
    <m/>
    <m/>
    <m/>
    <n v="116.85493630000001"/>
    <n v="-8.7518650999999998"/>
    <s v="DGS HSI | ADI HERMANTO | 403209 | | TREG 3 |DPMPTSP SUMBAWA BARAT | Mujiburrahman| 81237165084|100Mbps  "/>
    <s v="Amex"/>
    <m/>
    <m/>
    <m/>
    <m/>
    <m/>
    <m/>
    <m/>
    <m/>
    <s v="Management Janji"/>
    <s v="AO"/>
    <s v="FCC"/>
    <d v="2026-01-10T09:25:42"/>
    <m/>
    <m/>
    <s v="PS"/>
    <s v="SUMBAWA BARAT"/>
    <s v="NO ADDON"/>
    <n v="20261001"/>
    <s v="Completed"/>
    <s v="- 11_11450;Biaya PSB Reguler HSI EBIS ~ 11[150000]  - E24057;E24057 ~ ES24 - Paket HSI Bisnis (HSIE) Khusus Winback[0]  - E24057~null~E24057_UNL;UNL ~ Internet-Link Unlimited Internet Usage ~ E24057[0]  - E24057~null~103818;E24057||11||Abodemen 0[0]  - E2"/>
    <s v="INDIBIZ"/>
    <m/>
    <m/>
    <d v="1970-01-01T07:00:00"/>
    <s v="AO"/>
    <n v="2026"/>
    <n v="10"/>
    <n v="1"/>
    <d v="2026-10-01T00:00:00"/>
    <n v="20726.708333333332"/>
    <x v="2"/>
  </r>
  <r>
    <n v="57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58"/>
    <n v="1002618893"/>
    <n v="3"/>
    <x v="1"/>
    <n v="5"/>
    <s v="MALANG"/>
    <s v="KEPANJEN"/>
    <s v="DPT"/>
    <s v="REG"/>
    <s v="AO"/>
    <x v="0"/>
    <s v="1P INET"/>
    <s v="MIA - INVALID SURVEY"/>
    <s v="RBS-Regional 3"/>
    <d v="2026-10-02T08:04:40"/>
    <d v="2026-10-03T05:22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SURVEY_NEW_MANJA"/>
    <s v="TUREN"/>
    <s v="NO ADDON"/>
    <m/>
    <s v="MIE - INVALID SURVEY - Kendala Jalur/Rute Tarikan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59"/>
    <n v="1002621409"/>
    <n v="3"/>
    <x v="1"/>
    <n v="5"/>
    <s v="MALANG"/>
    <s v="KEPANJEN"/>
    <s v="GDI"/>
    <s v="REG"/>
    <s v="AO"/>
    <x v="0"/>
    <s v="1P INET"/>
    <s v="MIA - INVALID SURVEY"/>
    <s v="RBS-Regional 3"/>
    <d v="2026-10-04T14:01:36"/>
    <d v="2026-10-05T05:24:46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SURVEY_NEW_MANJA"/>
    <s v="TUREN"/>
    <s v="NO ADDON"/>
    <m/>
    <s v="MIE - INVALID SURVEY - Kendala Jalur/Rute Tarikan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m/>
    <m/>
    <m/>
    <e v="#NUM!"/>
    <e v="#NUM!"/>
    <x v="0"/>
  </r>
  <r>
    <n v="60"/>
    <n v="1002619454"/>
    <n v="3"/>
    <x v="1"/>
    <n v="5"/>
    <s v="MALANG"/>
    <s v="KEPANJEN"/>
    <s v="TUR"/>
    <s v="REG"/>
    <s v="AO"/>
    <x v="0"/>
    <m/>
    <s v="MIA - INVALID SURVEY"/>
    <s v="RBS-Regional 3"/>
    <d v="2026-10-02T11:02:20"/>
    <d v="2026-10-05T05:22:52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SURVEY_NEW_MANJA"/>
    <s v="TURE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m/>
    <m/>
    <m/>
    <e v="#NUM!"/>
    <e v="#NUM!"/>
    <x v="0"/>
  </r>
  <r>
    <n v="61"/>
    <n v="1002621501"/>
    <n v="3"/>
    <x v="1"/>
    <n v="5"/>
    <s v="MALANG"/>
    <s v="KEPANJEN"/>
    <s v="GDG"/>
    <s v="REG"/>
    <s v="AO"/>
    <x v="0"/>
    <s v="1P INET"/>
    <s v="MIE - SEND SURVEY"/>
    <s v="RBS-Regional 3"/>
    <d v="2026-10-04T17:50:50"/>
    <d v="2026-10-04T17:52:06"/>
    <n v="69403990"/>
    <m/>
    <n v="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SURVEY_NEW_MANJA"/>
    <s v="KLOJEN"/>
    <s v="NO ADDON"/>
    <m/>
    <s v="MIE - SEND SURVEY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m/>
    <m/>
    <m/>
    <e v="#NUM!"/>
    <e v="#NUM!"/>
    <x v="0"/>
  </r>
  <r>
    <n v="62"/>
    <n v="1002620164"/>
    <n v="3"/>
    <x v="1"/>
    <n v="5"/>
    <s v="MALANG"/>
    <s v="KEPANJEN"/>
    <s v="KEP"/>
    <s v="REG"/>
    <s v="AO"/>
    <x v="0"/>
    <m/>
    <s v="MYDITA RBS - HD1A - FAILED"/>
    <s v="RBS-Regional 3"/>
    <d v="2026-10-02T15:07:44"/>
    <d v="2026-10-04T10:17:01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0:00:00"/>
    <m/>
    <m/>
    <s v="KEPANJEN"/>
    <s v="NO ADDON"/>
    <m/>
    <s v="MYDITA RBS - HD1A - FAIL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63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64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65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66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67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68"/>
    <n v="1002620453"/>
    <n v="3"/>
    <x v="1"/>
    <n v="5"/>
    <s v="MALANG"/>
    <s v="BATU"/>
    <s v="KPO"/>
    <s v="REG"/>
    <s v="AO"/>
    <x v="0"/>
    <m/>
    <s v="MIA - INVALID SURVEY"/>
    <s v="RBS-Regional 3"/>
    <d v="2026-10-02T16:34:53"/>
    <d v="2026-10-05T05:23:2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m/>
    <s v="SURVEY_NEW_MANJA"/>
    <s v="KARANGPL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69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70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71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72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73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74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75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76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77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78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79"/>
    <n v="1002621375"/>
    <n v="3"/>
    <x v="1"/>
    <n v="5"/>
    <s v="KEDIRI"/>
    <s v="TULUNGAGUNG"/>
    <s v="TUL"/>
    <s v="REG"/>
    <s v="AO"/>
    <x v="0"/>
    <s v="1P INET"/>
    <s v="MIA - INVALID SURVEY"/>
    <s v="RBS-Regional 3"/>
    <d v="2026-10-04T12:58:40"/>
    <d v="2026-10-05T05:24:19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SURVEY_NEW_MANJA"/>
    <s v="TULUNGAGUNG"/>
    <s v="NO ADDON"/>
    <m/>
    <s v="MIE - INVALID SURVEY - Kendala Jalur/Rute Tarikan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m/>
    <m/>
    <m/>
    <e v="#NUM!"/>
    <e v="#NUM!"/>
    <x v="0"/>
  </r>
  <r>
    <n v="80"/>
    <n v="1002620919"/>
    <n v="3"/>
    <x v="1"/>
    <n v="5"/>
    <s v="KEDIRI"/>
    <s v="TULUNGAGUNG"/>
    <s v="TUL"/>
    <s v="REG"/>
    <s v="AO"/>
    <x v="0"/>
    <m/>
    <s v="QC MIA - INVALID QUALITY CONTROL MIA"/>
    <s v="RBS-Regional 3"/>
    <d v="2026-10-03T12:12:24"/>
    <d v="2026-10-04T16:04:59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Tidak Ada Lampiran Penunjang - ingin konfirmasi loksai pemasanga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81"/>
    <n v="1002621302"/>
    <n v="3"/>
    <x v="1"/>
    <n v="5"/>
    <s v="KEDIRI"/>
    <s v="TULUNGAGUNG"/>
    <s v="TUL"/>
    <s v="REG"/>
    <s v="AO"/>
    <x v="0"/>
    <m/>
    <s v="CC - HD1A - INPROGRESS UNCONTACTED"/>
    <s v="RBS-Regional 3"/>
    <d v="2026-10-04T10:42:40"/>
    <d v="2026-10-05T08:49:10"/>
    <n v="69403845"/>
    <m/>
    <n v="152606246697"/>
    <s v="EDO RENTAL PS3"/>
    <s v="ODP-TUL-FN/42"/>
    <m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m/>
    <m/>
    <m/>
    <d v="2026-04-10T10:54:49"/>
    <m/>
    <m/>
    <s v="FCC"/>
    <s v="TULUNGAGUNG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2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83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84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85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86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87"/>
    <n v="1002619545"/>
    <n v="3"/>
    <x v="2"/>
    <n v="4"/>
    <s v="MAGELANG"/>
    <s v="MAGELANG"/>
    <s v="MGE"/>
    <s v="REG"/>
    <s v="AO"/>
    <x v="0"/>
    <s v="1P INET"/>
    <s v="8 | OSS - PONR"/>
    <s v="RBS-Regional 3"/>
    <d v="2026-10-02T11:25:34"/>
    <d v="2026-10-04T15:27:23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ACT_COM"/>
    <s v="X"/>
    <s v="NO ADDON"/>
    <m/>
    <s v="PONR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m/>
    <m/>
    <m/>
    <e v="#NUM!"/>
    <e v="#NUM!"/>
    <x v="0"/>
  </r>
  <r>
    <n v="88"/>
    <n v="1002620316"/>
    <n v="3"/>
    <x v="2"/>
    <n v="4"/>
    <s v="MAGELANG"/>
    <s v="MAGELANG"/>
    <s v="MGE"/>
    <s v="REG"/>
    <s v="AO"/>
    <x v="0"/>
    <s v="1P INET"/>
    <s v="MIE - SEND SURVEY"/>
    <s v="RBS-Regional 3"/>
    <d v="2026-10-02T15:43:39"/>
    <d v="2026-10-02T15:46:01"/>
    <n v="69403267"/>
    <m/>
    <n v="146137148332"/>
    <s v="Kantor Pemerintah Desa Sukorejo"/>
    <s v="ODP-MGE-FBL/02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SURVEY_NEW_MANJA"/>
    <s v="X"/>
    <s v="NO ADDON"/>
    <m/>
    <s v="MIE - SEND SURVEY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m/>
    <m/>
    <m/>
    <e v="#NUM!"/>
    <e v="#NUM!"/>
    <x v="0"/>
  </r>
  <r>
    <n v="89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90"/>
    <n v="1002619511"/>
    <n v="3"/>
    <x v="1"/>
    <n v="5"/>
    <s v="KEDIRI"/>
    <s v="KEDIRI"/>
    <s v="PAE"/>
    <s v="REG"/>
    <s v="AO"/>
    <x v="0"/>
    <m/>
    <s v="MYCX - SEND OPEN PAPERLESS"/>
    <s v="RBS-Regional 2"/>
    <d v="2026-10-02T11:20:55"/>
    <d v="2026-10-02T11:22:06"/>
    <n v="66525052"/>
    <m/>
    <n v="152639219543"/>
    <s v="PT. BANGUN INFORMASI TEKNOLOGI"/>
    <s v="ODP-PAE-FF/21"/>
    <m/>
    <m/>
    <m/>
    <m/>
    <n v="112.185352589544"/>
    <n v="-7.7645908191612403"/>
    <s v="AMRBS;950223;ALDHIAZ;JKT OUTER;HSI Bisnis PSB 70% - 150 Mbps - (819000);CP SANDY 087778113956;billing@bnteknologi.com  "/>
    <s v="Account Manager"/>
    <m/>
    <m/>
    <m/>
    <m/>
    <m/>
    <m/>
    <m/>
    <m/>
    <m/>
    <m/>
    <m/>
    <d v="2026-02-10T11:25:24"/>
    <m/>
    <m/>
    <s v="INPROGRESS_SC"/>
    <s v="PARE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1"/>
    <n v="1002621267"/>
    <n v="3"/>
    <x v="1"/>
    <n v="5"/>
    <s v="KEDIRI"/>
    <s v="KEDIRI"/>
    <s v="WAT"/>
    <s v="REG"/>
    <s v="AO"/>
    <x v="0"/>
    <s v="1P INET"/>
    <s v="7 | OSS - PROVISIONING ISSUED"/>
    <s v="RBS-Regional 3"/>
    <d v="2026-10-04T09:32:40"/>
    <d v="2026-10-05T08:14:45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I"/>
    <s v="PARE"/>
    <s v="NO ADDON"/>
    <m/>
    <s v="Provisioning Issu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m/>
    <m/>
    <m/>
    <e v="#NUM!"/>
    <e v="#NUM!"/>
    <x v="0"/>
  </r>
  <r>
    <n v="92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93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94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95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96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97"/>
    <n v="1002619175"/>
    <n v="3"/>
    <x v="1"/>
    <n v="5"/>
    <s v="KEDIRI"/>
    <s v="NGANJUK"/>
    <s v="WRJ"/>
    <s v="REG"/>
    <s v="AO"/>
    <x v="0"/>
    <s v="1P INET"/>
    <s v="OSS - PROVISIONING START"/>
    <s v="RBS-Regional 3"/>
    <d v="2026-10-02T09:41:40"/>
    <d v="2026-10-03T08:05:08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m/>
    <s v="PRE_PI"/>
    <s v="KERTOSONO"/>
    <s v="NO ADDON"/>
    <m/>
    <s v="Provisioning Start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98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99"/>
    <n v="1002620565"/>
    <n v="3"/>
    <x v="1"/>
    <n v="5"/>
    <s v="KEDIRI"/>
    <s v="KEDIRI"/>
    <s v="KDI"/>
    <s v="REG"/>
    <s v="AO"/>
    <x v="0"/>
    <s v="1P INET"/>
    <s v="7 | OSS - PROVISIONING ISSUED"/>
    <s v="RBS-Regional 3"/>
    <d v="2026-10-02T17:20:35"/>
    <d v="2026-10-03T15:24:15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I"/>
    <s v="X"/>
    <s v="OCA"/>
    <m/>
    <s v="Provisioning Issu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m/>
    <m/>
    <m/>
    <e v="#NUM!"/>
    <e v="#NUM!"/>
    <x v="0"/>
  </r>
  <r>
    <n v="100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101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102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103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104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105"/>
    <n v="1002620437"/>
    <n v="3"/>
    <x v="1"/>
    <n v="5"/>
    <s v="MADIUN"/>
    <s v="MADIUN"/>
    <s v="CRB"/>
    <s v="REG"/>
    <s v="AO"/>
    <x v="0"/>
    <s v="1P INET"/>
    <s v="MIA - INVALID SURVEY"/>
    <s v="RBS-Regional 3"/>
    <d v="2026-10-02T16:26:41"/>
    <d v="2026-10-03T14:29:11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SURVEY_NEW_MANJA"/>
    <s v="CARUBAN"/>
    <s v="NO ADDON"/>
    <m/>
    <s v="MIE - INVALID SURVEY - Bangunan/Perangkat Pelanggan Belum Siap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106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107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108"/>
    <n v="1002620305"/>
    <n v="3"/>
    <x v="1"/>
    <n v="5"/>
    <s v="MADIUN"/>
    <s v="NGAWI"/>
    <s v="WKU"/>
    <s v="DGS"/>
    <s v="AO"/>
    <x v="0"/>
    <m/>
    <s v="Completed (PS)"/>
    <s v="DGS-B2B TREG"/>
    <d v="2026-10-02T15:41:00"/>
    <d v="2026-10-03T18:48:46"/>
    <n v="69403241"/>
    <m/>
    <n v="152634205899"/>
    <s v="Polsek Sambungmacan"/>
    <s v="ODP-WKU-FD/49"/>
    <s v="WO065593789"/>
    <m/>
    <m/>
    <m/>
    <n v="111.13331530000001"/>
    <n v="-7.3642681000000003"/>
    <s v="DGS HSI | YASINTA DN | 896703| TREG 3 |Polsek Sambungmacan| DHONY | 085725551706 | PSB 1S  INET 50 MBPS WINBACK"/>
    <s v="Amex"/>
    <m/>
    <m/>
    <m/>
    <m/>
    <m/>
    <m/>
    <m/>
    <m/>
    <s v="Management Janji"/>
    <n v="85725551706"/>
    <s v="FCC"/>
    <d v="2026-02-10T15:55:26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3"/>
    <d v="2026-10-03T00:00:00"/>
    <n v="0.5"/>
    <x v="1"/>
  </r>
  <r>
    <n v="109"/>
    <n v="1002620259"/>
    <n v="3"/>
    <x v="1"/>
    <n v="5"/>
    <s v="MADIUN"/>
    <s v="PONOROGO"/>
    <s v="PON"/>
    <s v="REG"/>
    <s v="AO"/>
    <x v="0"/>
    <s v="1P INET"/>
    <s v="OSS - PROVISIONING START"/>
    <s v="RBS-Regional 3"/>
    <d v="2026-10-02T15:26:39"/>
    <d v="2026-10-05T08:05:10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m/>
    <s v="PRE_PI"/>
    <s v="SAMBIT SUMOROTO"/>
    <s v="NO ADDON"/>
    <m/>
    <s v="Provisioning Start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110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111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112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113"/>
    <n v="1002617032"/>
    <n v="3"/>
    <x v="1"/>
    <n v="5"/>
    <s v="MADIUN"/>
    <s v="PONOROGO"/>
    <s v="PON"/>
    <s v="DGS"/>
    <s v="AO"/>
    <x v="0"/>
    <m/>
    <s v="SIBEL - CREATE ORDER FAIL"/>
    <s v="DGS-B2B TREG"/>
    <d v="2026-10-01T09:14:02"/>
    <d v="2026-10-01T09:16:26"/>
    <n v="69402065"/>
    <m/>
    <n v="152604231176"/>
    <s v="DISBUDPARPORA PONOROGO"/>
    <s v="ODP-PON-FAE/73"/>
    <s v="WO065462992"/>
    <m/>
    <m/>
    <m/>
    <n v="111.47605009999999"/>
    <n v="-7.8642630000000002"/>
    <s v="DGS///PSB/[75MB] HSI BISNIS/Bima Hernanda 081615163775/-7.864263, 111.478625"/>
    <s v="Account Manager"/>
    <m/>
    <m/>
    <m/>
    <m/>
    <m/>
    <m/>
    <m/>
    <m/>
    <s v="Management Janji"/>
    <s v="A"/>
    <s v="FCC"/>
    <d v="2026-01-10T09:25:42"/>
    <m/>
    <m/>
    <s v="INPROGRESS_SC"/>
    <s v="SAMBIT SUMOROTO"/>
    <s v="NO ADDON"/>
    <m/>
    <s v="Error invoking service 'EAI Siebel Adapter', method 'Upsert' at step 'Upsert CA BA SA'.(SBL-BPR-00162) -- Method 'WriteRecor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20:00:00"/>
    <s v="A"/>
    <m/>
    <m/>
    <m/>
    <e v="#NUM!"/>
    <e v="#NUM!"/>
    <x v="0"/>
  </r>
  <r>
    <n v="114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115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116"/>
    <n v="1002619854"/>
    <n v="3"/>
    <x v="2"/>
    <n v="4"/>
    <s v="YOGYAKARTA"/>
    <s v="BANTUL"/>
    <s v="WTS"/>
    <s v="REG"/>
    <s v="AO"/>
    <x v="0"/>
    <m/>
    <s v="MYCX - SEND OPEN PAPERLESS"/>
    <s v="RBS-Regional 2"/>
    <d v="2026-10-02T13:52:35"/>
    <d v="2026-10-02T13:54:11"/>
    <n v="66525052"/>
    <m/>
    <n v="146143118636"/>
    <s v="PT. BANGUN INFORMASI TEKNOLOGI"/>
    <s v="ODP-WTS-FBC/003"/>
    <m/>
    <m/>
    <m/>
    <m/>
    <n v="110.16062068784299"/>
    <n v="-7.86656911562498"/>
    <s v="AMRBS;950223;ALDHIAZ;JKT OUTER;HSI Bisnis PSB 70% - 150 Mbps - (819000);CP LOKASI FARHAN 0877-7819-1985  ALT SANDY 087778113956;billing@bnteknologi.com  "/>
    <s v="Account Manager"/>
    <m/>
    <m/>
    <m/>
    <m/>
    <m/>
    <m/>
    <m/>
    <m/>
    <m/>
    <m/>
    <m/>
    <d v="2026-02-10T13:55:23"/>
    <m/>
    <m/>
    <s v="INPROGRESS_SC"/>
    <s v="WATES"/>
    <s v="NO ADDON"/>
    <m/>
    <s v="SEND PAPERLESS OPE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17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118"/>
    <n v="1002621285"/>
    <n v="3"/>
    <x v="2"/>
    <n v="4"/>
    <s v="YOGYAKARTA"/>
    <s v="GUNUNG KIDUL"/>
    <s v="WNS"/>
    <s v="REG"/>
    <s v="AO"/>
    <x v="0"/>
    <m/>
    <s v="MIE - SEND SURVEY"/>
    <s v="RBS-Regional 3"/>
    <d v="2026-10-04T10:07:23"/>
    <d v="2026-10-05T08:16:06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SURVEY_NEW_MANJA"/>
    <s v="WON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m/>
    <m/>
    <m/>
    <e v="#NUM!"/>
    <e v="#NUM!"/>
    <x v="0"/>
  </r>
  <r>
    <n v="119"/>
    <n v="1002620785"/>
    <n v="3"/>
    <x v="2"/>
    <n v="4"/>
    <s v="YOGYAKARTA"/>
    <s v="SLEMAN"/>
    <s v="SMN"/>
    <s v="DGS"/>
    <s v="AO"/>
    <x v="0"/>
    <m/>
    <s v="OSS - PROVISIONING START"/>
    <s v="DGS-B2B TREG"/>
    <d v="2026-10-03T09:36:07"/>
    <d v="2026-10-03T09:38:35"/>
    <n v="69403487"/>
    <m/>
    <n v="146133133443"/>
    <s v="Balai Pengelola Transportasi Darat"/>
    <s v="ODP-SMN-FBP/009"/>
    <s v="WO065629223"/>
    <m/>
    <m/>
    <m/>
    <n v="110.324047180145"/>
    <n v="-7.6460405727276104"/>
    <s v="DGS HSI | RORI PRIHANTORO | NIK 40870570 | TREG 3 | Balai Pengelola Transportasi Darat PSB INDIBIZ 1S BISNIS 100MBPS | RIAN | 85270997061"/>
    <s v="Amex"/>
    <m/>
    <m/>
    <m/>
    <m/>
    <m/>
    <m/>
    <m/>
    <m/>
    <s v="Management Janji"/>
    <s v="PSB"/>
    <s v="FCC"/>
    <d v="2026-03-10T09:40:05"/>
    <m/>
    <m/>
    <s v="PRE_PI"/>
    <s v="X"/>
    <s v="NO ADDON"/>
    <m/>
    <s v="Provisioning Start"/>
    <s v="- 11_11450;Biaya PSB Reguler HSI EBIS ~ 11[150000]  - E23046;E23046 ~ ES23 - Paket HSI Bisnis[0]  - E23046~null~E23046_UNL;UNL ~ Internet-Link Unlimited Internet Usage ~ E23046[0]  - E23046~null~44877;E23046||11||Abodemen 0[0]  - E23046~null~E23046_HSIE10"/>
    <s v="INDIBIZ"/>
    <m/>
    <m/>
    <d v="2026-10-03T12:00:00"/>
    <s v="PSB"/>
    <m/>
    <m/>
    <m/>
    <e v="#NUM!"/>
    <e v="#NUM!"/>
    <x v="0"/>
  </r>
  <r>
    <n v="120"/>
    <n v="1002619607"/>
    <n v="3"/>
    <x v="2"/>
    <n v="4"/>
    <s v="YOGYAKARTA"/>
    <s v="INNER - YOGYA JATENG SELATAN"/>
    <s v="KEN"/>
    <s v="REG"/>
    <s v="AO"/>
    <x v="0"/>
    <s v="1P INET"/>
    <s v="OSS - PROVISIONING START"/>
    <s v="RBS-Regional 3"/>
    <d v="2026-10-02T11:46:35"/>
    <d v="2026-10-03T11:12:29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m/>
    <s v="PRE_PI"/>
    <s v="KENTUNGAN"/>
    <s v="NO ADDON"/>
    <m/>
    <s v="Provisioning Start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121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122"/>
    <n v="1002619746"/>
    <n v="3"/>
    <x v="2"/>
    <n v="4"/>
    <s v="YOGYAKARTA"/>
    <s v="INNER - YOGYA JATENG SELATAN"/>
    <s v="KEN"/>
    <s v="REG"/>
    <s v="AO"/>
    <x v="0"/>
    <m/>
    <s v="MYCX - SEND OPEN PAPERLESS"/>
    <s v="RBS-Regional 2"/>
    <d v="2026-10-02T13:17:44"/>
    <d v="2026-10-02T13:20:34"/>
    <n v="66525052"/>
    <m/>
    <n v="146130139224"/>
    <s v="PT. BANGUN INFORMASI TEKNOLOGI"/>
    <s v="ODP-KEN-FBB/08"/>
    <m/>
    <m/>
    <m/>
    <m/>
    <n v="110.376951320236"/>
    <n v="-7.73634158440895"/>
    <s v="AMRBS;950223;ALDHIAZ;JKT OUTER;HSI Bisnis PSB 70% - 150 Mbps - (819000);CP SANDY 087778113956;billing@bnteknologi.com  "/>
    <s v="Account Manager"/>
    <m/>
    <m/>
    <m/>
    <m/>
    <m/>
    <m/>
    <m/>
    <m/>
    <m/>
    <m/>
    <m/>
    <d v="2026-02-10T13:25:25"/>
    <m/>
    <m/>
    <s v="INPROGRESS_SC"/>
    <s v="KENTUNG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3"/>
    <n v="1002619144"/>
    <n v="3"/>
    <x v="2"/>
    <n v="4"/>
    <s v="YOGYAKARTA"/>
    <s v="INNER - YOGYA JATENG SELATAN"/>
    <s v="KBU"/>
    <s v="DSS"/>
    <s v="AO"/>
    <x v="0"/>
    <m/>
    <s v="102 | FOLLOW UP COMPLETED"/>
    <s v="DSS-Fin &amp; Regional Banking"/>
    <d v="2026-10-02T09:33:21"/>
    <d v="2026-10-02T13:23:46"/>
    <n v="69402762"/>
    <m/>
    <n v="146113147707"/>
    <s v="Gedung MAP Fisipol 2 UGM"/>
    <s v="ODP-KBU-FDS/148"/>
    <s v="WO065548008"/>
    <m/>
    <m/>
    <m/>
    <n v="110.373025478535"/>
    <n v="-7.77618564562703"/>
    <s v="DSS HSI | AM ANNASTASIA KURNIAWATI SUKARNO | NIK 810113 | YOGYA JATENG SELATAN | TREG 3 | Gedung MAP Fisipol 2 UGM | PIC 82134201998 BPK TANTO "/>
    <s v="Account Manager"/>
    <m/>
    <m/>
    <m/>
    <m/>
    <m/>
    <m/>
    <m/>
    <m/>
    <s v="Management Janji"/>
    <s v="DSS HSI | AM ANNASTASIA KURNIAWATI SUKARNO | NIK 810113 | YOGYA JATENG SELATAN | TREG 3 | Gedung MAP Fisipol 2 UGM | PIC 82134201998 BPK TANTO "/>
    <s v="FCC"/>
    <d v="2026-02-10T09:40:29"/>
    <m/>
    <s v="Kendala Teknik"/>
    <s v="REVOKE"/>
    <s v="X"/>
    <s v="NO ADDON"/>
    <m/>
    <s v="Follow Up Revoke Completed, New Order ID : SC1002619773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02T12:00:00"/>
    <s v="DSS HSI | AM ANNASTASIA KURNIAWATI SUKARNO | NIK 810113 | YOGYA JATENG SELATAN | TREG 3 | Gedung MAP Fisipol 2 UGM | PIC 82134201998 BPK TANTO "/>
    <m/>
    <m/>
    <m/>
    <e v="#NUM!"/>
    <e v="#NUM!"/>
    <x v="0"/>
  </r>
  <r>
    <n v="124"/>
    <n v="1002621010"/>
    <n v="3"/>
    <x v="2"/>
    <n v="4"/>
    <s v="YOGYAKARTA"/>
    <s v="INNER - YOGYA JATENG SELATAN"/>
    <s v="KBU"/>
    <s v="REG"/>
    <s v="AO"/>
    <x v="0"/>
    <s v="1P INET"/>
    <s v="7 | OSS - PROVISIONING ISSUED"/>
    <s v="RBS-Regional 3"/>
    <d v="2026-10-03T13:47:35"/>
    <d v="2026-10-04T11:09:53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PI"/>
    <s v="X"/>
    <s v="NO ADDON"/>
    <m/>
    <s v="Provisioning Issued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125"/>
    <n v="1002617387"/>
    <n v="3"/>
    <x v="2"/>
    <n v="4"/>
    <s v="YOGYAKARTA"/>
    <s v="INNER - YOGYA JATENG SELATAN"/>
    <s v="KBU"/>
    <s v="DSS"/>
    <s v="AO"/>
    <x v="0"/>
    <m/>
    <s v="Completed (PS)"/>
    <s v="DSS-Fin &amp; Regional Banking"/>
    <d v="2026-10-01T10:36:43"/>
    <d v="2026-10-01T12:20:51"/>
    <n v="69402175"/>
    <m/>
    <n v="146113147692"/>
    <s v="Temporer Malioboro RUN BPD DIY 2026"/>
    <s v="ODP-KBU-FGA/060"/>
    <s v="WO065470689"/>
    <m/>
    <m/>
    <m/>
    <n v="110.366016"/>
    <n v="-7.790762"/>
    <s v="DSS HSI | AM ANNASTASIA KURNIAWATI SUKARNO | NIK 810113 | YOGYA JATENG SELATAN | TREG 3 | Temporer Malioboro RUN BPD DIY 2026 | PIC 81210670160 ANJAR | Lokasi Halte Malioboro 1"/>
    <s v="Account Manager"/>
    <m/>
    <m/>
    <m/>
    <m/>
    <m/>
    <m/>
    <m/>
    <m/>
    <s v="Management Janji"/>
    <s v="DSS HSI | AM ANNASTASIA KURNIAWATI SUKARNO | NIK 810113 | YOGYA JATENG SELATAN | TREG 3 | Temporer Malioboro RUN BPD DIY 2026 | PIC 81210670160 ANJAR | Lokasi Halte Malioboro 1"/>
    <s v="FCC"/>
    <d v="2026-01-10T10:40:21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DSS HSI | AM ANNASTASIA KURNIAWATI SUKARNO | NIK 810113 | YOGYA JATENG SELATAN | TREG 3 | Temporer Malioboro RUN BPD DIY 2026 | PIC 81210670160 ANJAR | Lokasi Halte Malioboro 1"/>
    <n v="2026"/>
    <n v="10"/>
    <n v="1"/>
    <d v="2026-10-01T00:00:00"/>
    <n v="-0.5"/>
    <x v="1"/>
  </r>
  <r>
    <n v="126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127"/>
    <n v="1002617650"/>
    <n v="3"/>
    <x v="2"/>
    <n v="4"/>
    <s v="YOGYAKARTA"/>
    <s v="INNER - YOGYA JATENG SELATAN"/>
    <s v="KBU"/>
    <s v="DSS"/>
    <s v="AO"/>
    <x v="0"/>
    <m/>
    <s v="Completed (PS)"/>
    <s v="DSS-Fin &amp; Regional Banking"/>
    <d v="2026-10-01T11:44:09"/>
    <d v="2026-10-01T15:53:20"/>
    <n v="69402277"/>
    <m/>
    <n v="146113147695"/>
    <s v="Temporer Malioboro RUN BPD DIY 2026"/>
    <s v="ODP-KBU-FCQ/107"/>
    <s v="WO065479936"/>
    <m/>
    <m/>
    <m/>
    <n v="110.365504"/>
    <n v="-7.7953679999999999"/>
    <s v="DSS HSI | AM ANNASTASIA KURNIAWATI SUKARNO | NIK 810113 | YOGYA JATENG SELATAN | TREG 3 | Temporer Malioboro RUN BPD DIY 2026 | PIC 81210670160 ANJAR | Lokasi Halte Malioboro 2"/>
    <s v="Account Manager"/>
    <m/>
    <m/>
    <m/>
    <m/>
    <m/>
    <m/>
    <m/>
    <m/>
    <s v="Management Janji"/>
    <s v="DSS HSI | AM ANNASTASIA KURNIAWATI SUKARNO | NIK 810113 | YOGYA JATENG SELATAN | TREG 3 | Temporer Malioboro RUN BPD DIY 2026 | PIC 81210670160 ANJAR | Lokasi Halte Malioboro 2"/>
    <s v="FCC"/>
    <d v="2026-01-10T12:25:17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DSS HSI | AM ANNASTASIA KURNIAWATI SUKARNO | NIK 810113 | YOGYA JATENG SELATAN | TREG 3 | Temporer Malioboro RUN BPD DIY 2026 | PIC 81210670160 ANJAR | Lokasi Halte Malioboro 2"/>
    <n v="2026"/>
    <n v="10"/>
    <n v="1"/>
    <d v="2026-10-01T00:00:00"/>
    <n v="-0.5"/>
    <x v="1"/>
  </r>
  <r>
    <n v="128"/>
    <n v="1002619773"/>
    <n v="3"/>
    <x v="2"/>
    <n v="4"/>
    <s v="YOGYAKARTA"/>
    <s v="INNER - YOGYA JATENG SELATAN"/>
    <s v="KBU"/>
    <s v="DSS"/>
    <s v="AO"/>
    <x v="0"/>
    <m/>
    <s v="Completed (PS)"/>
    <s v="DSS-Fin &amp; Regional Banking"/>
    <d v="2026-10-02T13:23:47"/>
    <d v="2026-10-02T19:01:32"/>
    <n v="69402762"/>
    <m/>
    <n v="146113146875"/>
    <s v="Gedung MAP Fisipol 2 UGM"/>
    <s v="ODP-KBU-FDV/28"/>
    <s v="WO065573709"/>
    <m/>
    <m/>
    <m/>
    <n v="110.3729"/>
    <n v="-7.7767999999999997"/>
    <s v="DSS HSI | AM ANNASTASIA KURNIAWATI SUKARNO | NIK 810113 | YOGYA JATENG SELATAN | TREG 3 | Gedung MAP Fisipol 2 UGM | PIC 82134201998 BPK TANTO "/>
    <s v="Account Manager"/>
    <m/>
    <m/>
    <m/>
    <m/>
    <m/>
    <m/>
    <m/>
    <m/>
    <s v="Management Janji"/>
    <s v="DSS HSI | AM ANNASTASIA KURNIAWATI SUKARNO | NIK 810113 | YOGYA JATENG SELATAN | TREG 3 | Gedung MAP Fisipol 2 UGM | PIC 82134201998 BPK TANTO "/>
    <s v="FCC"/>
    <d v="2026-02-10T13:25:25"/>
    <m/>
    <m/>
    <s v="PS"/>
    <s v="X"/>
    <s v="NO ADDON"/>
    <n v="20261002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DSS HSI | AM ANNASTASIA KURNIAWATI SUKARNO | NIK 810113 | YOGYA JATENG SELATAN | TREG 3 | Gedung MAP Fisipol 2 UGM | PIC 82134201998 BPK TANTO "/>
    <n v="2026"/>
    <n v="10"/>
    <n v="2"/>
    <d v="2026-10-02T00:00:00"/>
    <n v="20727.708333333332"/>
    <x v="2"/>
  </r>
  <r>
    <n v="129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130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131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132"/>
    <n v="1002621359"/>
    <n v="3"/>
    <x v="2"/>
    <n v="4"/>
    <s v="YOGYAKARTA"/>
    <s v="SLEMAN"/>
    <s v="GOD"/>
    <s v="REG"/>
    <s v="AO"/>
    <x v="0"/>
    <s v="1P INET"/>
    <s v="MIE - SEND SURVEY"/>
    <s v="RBS-Regional 3"/>
    <d v="2026-10-04T12:29:40"/>
    <d v="2026-10-04T12:33:21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SURVEY_NEW_MANJA"/>
    <s v="X"/>
    <s v="NO ADDON"/>
    <m/>
    <s v="MIE - SEND SURVEY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m/>
    <m/>
    <m/>
    <e v="#NUM!"/>
    <e v="#NUM!"/>
    <x v="0"/>
  </r>
  <r>
    <n v="133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134"/>
    <n v="1002619040"/>
    <n v="3"/>
    <x v="2"/>
    <n v="4"/>
    <s v="YOGYAKARTA"/>
    <s v="INNER - YOGYA JATENG SELATAN"/>
    <s v="PGR"/>
    <s v="DPS"/>
    <s v="AO"/>
    <x v="0"/>
    <m/>
    <s v="7 | OSS - PROVISIONING ISSUED"/>
    <s v="DPS-Financial &amp; Welfare"/>
    <d v="2026-10-02T08:59:00"/>
    <d v="2026-10-02T09:05:50"/>
    <n v="69402737"/>
    <m/>
    <n v="141114228710"/>
    <s v="PT GADAI SAKTI INDONESIA"/>
    <s v="ODP-PGR-FAY/040"/>
    <s v="WO065544856"/>
    <m/>
    <m/>
    <m/>
    <n v="110.355652942856"/>
    <n v="-7.8172348760280501"/>
    <s v="DPS HSI | AM.ANDRE | 406108 | TREG 3 | PT GADAI SAKTI INDONESIA | FARID | 087719295493 | HSIBISNIS50MBPS"/>
    <s v="Account Manager"/>
    <m/>
    <m/>
    <m/>
    <m/>
    <m/>
    <m/>
    <m/>
    <m/>
    <s v="Management Janji"/>
    <s v="KONFIRMASI UP"/>
    <s v="FCC"/>
    <d v="2026-02-10T09:26:25"/>
    <m/>
    <m/>
    <s v="PI"/>
    <s v="X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KONFIRMASI UP"/>
    <m/>
    <m/>
    <m/>
    <e v="#NUM!"/>
    <e v="#NUM!"/>
    <x v="0"/>
  </r>
  <r>
    <n v="135"/>
    <n v="1002618870"/>
    <n v="3"/>
    <x v="2"/>
    <n v="4"/>
    <s v="YOGYAKARTA"/>
    <s v="INNER - YOGYA JATENG SELATAN"/>
    <s v="PGR"/>
    <s v="REG"/>
    <s v="AO"/>
    <x v="0"/>
    <s v="1P INET"/>
    <s v="7 | OSS - PROVISIONING ISSUED"/>
    <s v="RBS-Regional 3"/>
    <d v="2026-10-02T07:14:40"/>
    <d v="2026-10-05T08:06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m/>
    <s v="PI"/>
    <s v="X"/>
    <s v="NO ADDON"/>
    <m/>
    <s v="Provisioning Issu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136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137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138"/>
    <n v="1002619759"/>
    <n v="3"/>
    <x v="2"/>
    <n v="4"/>
    <s v="YOGYAKARTA"/>
    <s v="INNER - YOGYA JATENG SELATAN"/>
    <s v="PGR"/>
    <s v="REG"/>
    <s v="AO"/>
    <x v="0"/>
    <m/>
    <s v="MYCX - SEND OPEN PAPERLESS"/>
    <s v="RBS-Regional 2"/>
    <d v="2026-10-02T13:23:08"/>
    <d v="2026-10-02T13:26:27"/>
    <n v="66525052"/>
    <m/>
    <n v="141114228716"/>
    <s v="PT. BANGUN INFORMASI TEKNOLOGI"/>
    <s v="ODP-PGR-FDX/095"/>
    <m/>
    <m/>
    <m/>
    <m/>
    <n v="110.359005829857"/>
    <n v="-7.8499108474109196"/>
    <s v="AMRBS;950223;ALDHIAZ;JKT OUTER;HSI Bisnis PSB 70% - 150 Mbps - (819000);CP LOKASI RIZKY 0877-8573-3820  ALT SANDY 087778113956;billing@bnteknologi.com  "/>
    <s v="Account Manager"/>
    <m/>
    <m/>
    <m/>
    <m/>
    <m/>
    <m/>
    <m/>
    <m/>
    <m/>
    <m/>
    <m/>
    <d v="2026-02-10T13:25:25"/>
    <m/>
    <m/>
    <s v="INPROGRESS_SC"/>
    <s v="X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39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140"/>
    <n v="1002621239"/>
    <n v="3"/>
    <x v="3"/>
    <n v="5"/>
    <s v="MADURA"/>
    <s v="BANGKALAN"/>
    <s v="BEA"/>
    <s v="REG"/>
    <s v="AO"/>
    <x v="0"/>
    <s v="1P INET"/>
    <s v="7 | OSS - PROVISIONING ISSUED"/>
    <s v="RBS-Regional 3"/>
    <d v="2026-10-04T08:28:35"/>
    <d v="2026-10-05T08:09:54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m/>
    <s v="PI"/>
    <s v="X"/>
    <s v="NETMONK"/>
    <m/>
    <s v="Provisioning Issued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141"/>
    <n v="1002620451"/>
    <n v="3"/>
    <x v="3"/>
    <n v="5"/>
    <s v="MADURA"/>
    <s v="BANGKALAN"/>
    <s v="KML"/>
    <s v="REG"/>
    <s v="AO"/>
    <x v="0"/>
    <m/>
    <s v="OSS - FALLOUT"/>
    <s v="RBS-Regional 3"/>
    <d v="2026-10-02T16:34:24"/>
    <d v="2026-10-05T08:50:5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FO_ASAP"/>
    <s v="X"/>
    <s v="NO ADDON"/>
    <m/>
    <s v="Provisioning Failed|ACTIVATION|INF009658590|U31_PORT_NOT_FOUND:ServicePort Not Found / ONT Connectivity is Missi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m/>
    <m/>
    <m/>
    <e v="#NUM!"/>
    <e v="#NUM!"/>
    <x v="0"/>
  </r>
  <r>
    <n v="142"/>
    <n v="1002620621"/>
    <n v="3"/>
    <x v="3"/>
    <n v="5"/>
    <s v="MADURA"/>
    <s v="BANGKALAN"/>
    <s v="KML"/>
    <s v="REG"/>
    <s v="AO"/>
    <x v="0"/>
    <m/>
    <s v="MIA - INVALID SURVEY"/>
    <s v="RBS-Regional 3"/>
    <d v="2026-10-02T18:07:03"/>
    <d v="2026-10-03T23:53:41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SURVEY_NEW_MANJA"/>
    <s v="X"/>
    <s v="NETMONK"/>
    <m/>
    <s v="MIE - INVALID SURVEY - Kendala Jalur/Rute Tarika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143"/>
    <n v="1002619289"/>
    <n v="3"/>
    <x v="3"/>
    <n v="5"/>
    <s v="MADURA"/>
    <s v="BANGKALAN"/>
    <s v="SPG"/>
    <s v="DPS"/>
    <s v="AO"/>
    <x v="0"/>
    <m/>
    <s v="Completed (PS)"/>
    <s v="DPS-Logistic &amp; Manufacturing"/>
    <d v="2026-10-02T10:18:38"/>
    <d v="2026-10-03T16:12:53"/>
    <n v="69402848"/>
    <m/>
    <n v="152434914520"/>
    <s v="PT Nusantara Ekspres Kilat Hub Camplong"/>
    <s v="ODP-SPG-FK/16"/>
    <s v="WO065553554"/>
    <m/>
    <m/>
    <m/>
    <n v="113.27666618223201"/>
    <n v="-7.2145977391677301"/>
    <s v="P26-205585  PSB HSI Bisnis 7 Lokasi PT Nusantara Ekspres Kilat Shopee Express - 21 Agustus 2026  "/>
    <s v="TAM"/>
    <m/>
    <m/>
    <m/>
    <m/>
    <m/>
    <m/>
    <m/>
    <m/>
    <s v="Management Janji"/>
    <s v="P26-205585  PSB HSI Bisnis 7 Lokasi PT Nusantara Ekspres Kilat Shopee Express - 21 Agustus 2026  "/>
    <s v="FCC"/>
    <d v="2026-02-10T10:39:55"/>
    <m/>
    <s v="Kendala Pelanggan"/>
    <s v="PS"/>
    <s v="SAMPANG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5  PSB HSI Bisnis 7 Lokasi PT Nusantara Ekspres Kilat Shopee Express - 21 Agustus 2026  "/>
    <n v="2026"/>
    <n v="10"/>
    <n v="3"/>
    <d v="2026-10-03T00:00:00"/>
    <n v="0.125"/>
    <x v="1"/>
  </r>
  <r>
    <n v="144"/>
    <n v="1002621257"/>
    <n v="3"/>
    <x v="3"/>
    <n v="5"/>
    <s v="MADURA"/>
    <s v="PAMEKASAN"/>
    <s v="PME"/>
    <s v="REG"/>
    <s v="AO"/>
    <x v="0"/>
    <s v="1P INET"/>
    <s v="7 | OSS - PROVISIONING ISSUED"/>
    <s v="RBS-Regional 3"/>
    <d v="2026-10-04T09:19:35"/>
    <d v="2026-10-05T08:14:08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m/>
    <s v="PI"/>
    <s v="PAMEKASAN"/>
    <s v="NETMONK"/>
    <m/>
    <s v="Provisioning Issu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145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146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147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148"/>
    <n v="1002619611"/>
    <n v="3"/>
    <x v="3"/>
    <n v="5"/>
    <s v="MADURA"/>
    <s v="PAMEKASAN"/>
    <s v="PME"/>
    <s v="REG"/>
    <s v="AO"/>
    <x v="0"/>
    <s v="1P INET"/>
    <s v="MIA - INVALID SURVEY"/>
    <s v="RBS-Regional 3"/>
    <d v="2026-10-02T11:47:39"/>
    <d v="2026-10-02T21:57:07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SURVEY_NEW_MANJA"/>
    <s v="PAMEKASAN"/>
    <s v="NETMONK"/>
    <m/>
    <s v="MIE - INVALID SURVEY - Kendala Jalur/Rute Tarikan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149"/>
    <n v="1002619236"/>
    <n v="3"/>
    <x v="3"/>
    <n v="5"/>
    <s v="MADURA"/>
    <s v="PAMEKASAN"/>
    <s v="PME"/>
    <s v="REG"/>
    <s v="AO"/>
    <x v="0"/>
    <s v="1P INET"/>
    <s v="MIA - INVALID SURVEY"/>
    <s v="RBS-Regional 3"/>
    <d v="2026-10-02T10:01:40"/>
    <d v="2026-10-02T21:54:56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m/>
    <s v="SURVEY_NEW_MANJA"/>
    <s v="PAMEKASAN"/>
    <s v="NO ADDON"/>
    <m/>
    <s v="MIE - INVALID SURVEY - Kendala Jalur/Rute Tarikan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150"/>
    <n v="1002620828"/>
    <n v="3"/>
    <x v="3"/>
    <n v="5"/>
    <s v="MADURA"/>
    <s v="PAMEKASAN"/>
    <s v="PME"/>
    <s v="REG"/>
    <s v="AO"/>
    <x v="0"/>
    <s v="1P INET"/>
    <s v="MIA - INVALID SURVEY"/>
    <s v="RBS-Regional 3"/>
    <d v="2026-10-03T10:31:42"/>
    <d v="2026-10-03T23:52:24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SURVEY_NEW_MANJA"/>
    <s v="PAMEKASAN"/>
    <s v="NETMONK"/>
    <m/>
    <s v="MIE - INVALID SURVEY - Kendala Jalur/Rute Tarikan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151"/>
    <n v="1002617619"/>
    <n v="3"/>
    <x v="3"/>
    <n v="5"/>
    <s v="MADURA"/>
    <s v="PAMEKASAN"/>
    <s v="AJA"/>
    <s v="REG"/>
    <s v="AO"/>
    <x v="0"/>
    <m/>
    <s v="OSS - PROVISIONING START"/>
    <s v="RBS-Regional 3"/>
    <d v="2026-10-01T11:36:55"/>
    <d v="2026-10-04T18:10:3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m/>
    <s v="PRE_PI"/>
    <s v="X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152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153"/>
    <n v="1002617733"/>
    <n v="3"/>
    <x v="3"/>
    <n v="5"/>
    <s v="SBY UTARA"/>
    <s v="KENJERAN"/>
    <s v="KBL"/>
    <s v="REG"/>
    <s v="AO"/>
    <x v="0"/>
    <s v="1P INET"/>
    <s v="OSS - FALLOUT"/>
    <s v="RBS-Regional 3"/>
    <d v="2026-10-01T12:31:39"/>
    <d v="2026-10-03T15:42:03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FO_WFM"/>
    <s v="KEBALEN"/>
    <s v="NO ADDON"/>
    <m/>
    <s v="Provisioning Failed|WFM|INF009636679|TOF_-7.2114415,112.65197450000001_-7.229388, 112.702373, ODP SATU SATUNYA FULL ODP-KBL-F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154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155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156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157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158"/>
    <n v="1002619450"/>
    <n v="3"/>
    <x v="3"/>
    <n v="5"/>
    <s v="SBY UTARA"/>
    <s v="KENJERAN"/>
    <s v="KPS"/>
    <s v="DPS"/>
    <s v="AO"/>
    <x v="0"/>
    <m/>
    <s v="OSS - FALLOUT"/>
    <s v="DPS-Logistic &amp; Manufacturing"/>
    <d v="2026-10-02T10:59:07"/>
    <d v="2026-10-03T23:54:12"/>
    <n v="69402912"/>
    <m/>
    <n v="152404215689"/>
    <s v="PT Nusantara Ekspres Kilat FM Hub + Hub Semampir"/>
    <s v="ODP-KBL-FBU/04"/>
    <s v="WO065558802"/>
    <m/>
    <m/>
    <m/>
    <n v="112.75882627836"/>
    <n v="-7.2229637213760496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1:11:07"/>
    <m/>
    <s v="Kendala Pelanggan"/>
    <s v="FO_WFM"/>
    <s v="KAPASAN"/>
    <s v="NO ADDON"/>
    <m/>
    <s v="Provisioning Failed|WFM|INF009642895|Pemasangan masih nunggu konfirmasi BOSnya dikarenakan masih proses renovasi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7  PSB HSI Bisnis 13 Lokasi PT Nusantara Ekspres Kilat Shopee Express - 01 September 2026  "/>
    <m/>
    <m/>
    <m/>
    <e v="#NUM!"/>
    <e v="#NUM!"/>
    <x v="0"/>
  </r>
  <r>
    <n v="159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160"/>
    <n v="1002620760"/>
    <n v="3"/>
    <x v="3"/>
    <n v="5"/>
    <s v="SBY UTARA"/>
    <s v="KENJERAN"/>
    <s v="KPS"/>
    <s v="REG"/>
    <s v="AO"/>
    <x v="0"/>
    <s v="1P INET"/>
    <s v="MIA - INVALID SURVEY"/>
    <s v="RBS-Regional 3"/>
    <d v="2026-10-03T09:17:37"/>
    <d v="2026-10-03T23:53:00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m/>
    <s v="SURVEY_NEW_MANJA"/>
    <s v="KAPASAN"/>
    <s v="NO ADDON"/>
    <m/>
    <s v="MIE - INVALID SURVEY - Kendala Jalur/Rute Tarikan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161"/>
    <n v="1002621336"/>
    <n v="3"/>
    <x v="3"/>
    <n v="5"/>
    <s v="SBY UTARA"/>
    <s v="KENJERAN"/>
    <s v="KPS"/>
    <s v="REG"/>
    <s v="AO"/>
    <x v="0"/>
    <s v="1P INET"/>
    <s v="MIE - SEND SURVEY"/>
    <s v="RBS-Regional 3"/>
    <d v="2026-10-04T11:38:35"/>
    <d v="2026-10-04T11:40:01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SURVEY_NEW_MANJA"/>
    <s v="KAPASAN"/>
    <s v="NO ADDON"/>
    <m/>
    <s v="MIE - SEND SURVEY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m/>
    <m/>
    <m/>
    <e v="#NUM!"/>
    <e v="#NUM!"/>
    <x v="0"/>
  </r>
  <r>
    <n v="162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163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164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165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166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167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168"/>
    <n v="1002619480"/>
    <n v="3"/>
    <x v="3"/>
    <n v="5"/>
    <s v="SBY UTARA"/>
    <s v="TANDES"/>
    <s v="LKI"/>
    <s v="REG"/>
    <s v="AO"/>
    <x v="0"/>
    <s v="1P INET"/>
    <s v="MIA - INVALID SURVEY"/>
    <s v="RBS-Regional 3"/>
    <d v="2026-10-02T11:08:35"/>
    <d v="2026-10-02T12:57:26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m/>
    <s v="SURVEY_NEW_MANJA"/>
    <s v="TANDES"/>
    <s v="OCA"/>
    <m/>
    <s v="MIE - INVALID SURVEY - Kendala Jalur/Rute Tarikan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169"/>
    <n v="1002621074"/>
    <n v="3"/>
    <x v="3"/>
    <n v="5"/>
    <s v="SBY UTARA"/>
    <s v="TANDES"/>
    <s v="TNS"/>
    <s v="REG"/>
    <s v="AO"/>
    <x v="0"/>
    <s v="1P INET"/>
    <s v="7 | OSS - PROVISIONING ISSUED"/>
    <s v="RBS-Regional 3"/>
    <d v="2026-10-03T15:13:39"/>
    <d v="2026-10-04T15:24:04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PI"/>
    <s v="TANDES"/>
    <s v="NO ADDON"/>
    <m/>
    <s v="Provisioning Issued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170"/>
    <n v="1002620926"/>
    <n v="3"/>
    <x v="3"/>
    <n v="5"/>
    <s v="SBY UTARA"/>
    <s v="TANDES"/>
    <s v="TNS"/>
    <s v="DPS"/>
    <s v="AO"/>
    <x v="0"/>
    <m/>
    <s v="Completed (PS)"/>
    <s v="DPS-Property &amp; Resources"/>
    <d v="2026-10-03T12:18:21"/>
    <d v="2026-10-03T18:53:36"/>
    <n v="15673151"/>
    <m/>
    <n v="152409278783"/>
    <s v="PAKUWON JATI"/>
    <s v="ODP-TDS-FHQ/12"/>
    <s v="WO065645596"/>
    <m/>
    <m/>
    <m/>
    <n v="112.67560779999999"/>
    <n v="-7.2890600000000001"/>
    <s v="dpshsi/amnovi/reg 3/896661/inet only 100mbps/pictopia pakuwon mall/pic salman +62 85714911725"/>
    <s v="Account Manager"/>
    <m/>
    <m/>
    <m/>
    <m/>
    <m/>
    <m/>
    <m/>
    <m/>
    <s v="Management Janji"/>
    <s v="dpshsi/amnovi/reg 3/896661/inet only 100mbps/pictopia pakuwon mall/pic salman +62 85714911725"/>
    <s v="FCC"/>
    <d v="2026-03-10T12:25:43"/>
    <m/>
    <s v="Kendala Pelanggan"/>
    <s v="PS"/>
    <s v="TANDES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17:00:00"/>
    <s v="dpshsi/amnovi/reg 3/896661/inet only 100mbps/pictopia pakuwon mall/pic salman +62 85714911725"/>
    <n v="2026"/>
    <n v="10"/>
    <n v="3"/>
    <d v="2026-10-03T00:00:00"/>
    <n v="-0.70833333333575865"/>
    <x v="1"/>
  </r>
  <r>
    <n v="171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172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173"/>
    <n v="1002620446"/>
    <n v="3"/>
    <x v="3"/>
    <n v="5"/>
    <s v="SBY UTARA"/>
    <s v="TANDES"/>
    <s v="KLN"/>
    <s v="DGS"/>
    <s v="AO"/>
    <x v="0"/>
    <m/>
    <s v="SEGMEN BUD - WAITING AKTIVASI IHLD"/>
    <s v="DGS-B2B TREG"/>
    <d v="2026-10-02T16:30:16"/>
    <d v="2026-10-03T13:12:19"/>
    <n v="68982466"/>
    <m/>
    <m/>
    <s v="INTERNET PELAYANAN MASYARAKAT - 2025"/>
    <m/>
    <s v="WO065597657"/>
    <m/>
    <m/>
    <m/>
    <n v="112.654269"/>
    <n v="-7.2171779999999996"/>
    <s v="GS SURAMADU/ AM HANIF/ PSB INET ONLY 50MBPS/ LOKET PARKIR TERMINAL TAMBAK OSO WILANGUN /  PIC DAVIP 082245657000 /Pak Gunawan ( +62 851-0505-0477) "/>
    <s v="Account Manager"/>
    <m/>
    <m/>
    <m/>
    <m/>
    <m/>
    <m/>
    <m/>
    <m/>
    <s v="Management Janji"/>
    <s v="GS SURAMADU/ AM HANIF/ PSB INET ONLY 50MBPS/ LOKET PARKIR TERMINAL TAMBAK OSO WILANGUN /  PIC DAVIP 082245657000 /Pak Gunawan ( +62 851-0505-0477) "/>
    <s v="FCC"/>
    <d v="2026-02-10T16:40:22"/>
    <m/>
    <m/>
    <s v="UNSC"/>
    <s v="KEBALEN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2T18:00:00"/>
    <s v="GS SURAMADU/ AM HANIF/ PSB INET ONLY 50MBPS/ LOKET PARKIR TERMINAL TAMBAK OSO WILANGUN /  PIC DAVIP 082245657000 /Pak Gunawan ( +62 851-0505-0477) "/>
    <m/>
    <m/>
    <m/>
    <e v="#NUM!"/>
    <e v="#NUM!"/>
    <x v="0"/>
  </r>
  <r>
    <n v="174"/>
    <n v="1002620402"/>
    <n v="3"/>
    <x v="3"/>
    <n v="5"/>
    <s v="SBY UTARA"/>
    <s v="TANDES"/>
    <s v="KLN"/>
    <s v="DGS"/>
    <s v="AO"/>
    <x v="0"/>
    <m/>
    <s v="98 | OSS - CANCEL COMPLETE"/>
    <s v="DGS-B2B TREG"/>
    <d v="2026-10-02T16:10:54"/>
    <d v="2026-10-02T16:33:32"/>
    <n v="68982466"/>
    <m/>
    <n v="152418251092"/>
    <s v="INTERNET PELAYANAN MASYARAKAT - 2025"/>
    <s v="ODP-KLN-FAT/15"/>
    <s v="WO065597657"/>
    <m/>
    <m/>
    <m/>
    <n v="112.65452084079401"/>
    <n v="-7.21792514331253"/>
    <s v="GS SURAMADU/ AM HANIF/ PSB INET ONLY 50MBPS/ LOKET PARKIR TERMINAL TAMBAK OSO WILANGUN /  PIC DAVIP 082245657000 /Pak Gunawan ( +62 851-0505-0477) "/>
    <s v="Account Manager"/>
    <m/>
    <m/>
    <m/>
    <m/>
    <m/>
    <m/>
    <m/>
    <m/>
    <s v="Management Janji"/>
    <s v="GS SURAMADU/ AM HANIF/ PSB INET ONLY 50MBPS/ LOKET PARKIR TERMINAL TAMBAK OSO WILANGUN /  PIC DAVIP 082245657000 /Pak Gunawan ( +62 851-0505-0477) "/>
    <s v="FCC"/>
    <d v="2026-02-10T16:25:45"/>
    <m/>
    <s v="Kendala Teknik"/>
    <s v="CANCEL"/>
    <s v="KEBALEN"/>
    <s v="NO ADDON"/>
    <m/>
    <s v="Cancel 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2T18:00:00"/>
    <s v="GS SURAMADU/ AM HANIF/ PSB INET ONLY 50MBPS/ LOKET PARKIR TERMINAL TAMBAK OSO WILANGUN /  PIC DAVIP 082245657000 /Pak Gunawan ( +62 851-0505-0477) "/>
    <m/>
    <m/>
    <m/>
    <e v="#NUM!"/>
    <e v="#NUM!"/>
    <x v="0"/>
  </r>
  <r>
    <n v="175"/>
    <n v="1002617822"/>
    <n v="3"/>
    <x v="3"/>
    <n v="5"/>
    <s v="SBY UTARA"/>
    <s v="MANYAR"/>
    <s v="MGO"/>
    <s v="DPS"/>
    <s v="AO"/>
    <x v="0"/>
    <m/>
    <s v="OSS - PROVISIONING START"/>
    <s v="DPS-Property &amp; Resources"/>
    <d v="2026-10-01T13:16:36"/>
    <d v="2026-10-01T13:18:33"/>
    <n v="15673151"/>
    <m/>
    <n v="152413168358"/>
    <s v="PAKUWON JATI"/>
    <s v="ODP-DMO-FES/26"/>
    <s v="WO065490627"/>
    <m/>
    <m/>
    <m/>
    <n v="112.739006"/>
    <n v="-7.2623867999999998"/>
    <s v="dpshsi/amnovi/896661/reg 3/OT22-19 : PT ASDP INDONESIA FERRY/inet 50 mbps/pic Fajar +62 853-6873-6260"/>
    <s v="Account Manager"/>
    <m/>
    <m/>
    <m/>
    <m/>
    <m/>
    <m/>
    <m/>
    <m/>
    <s v="Management Janji"/>
    <s v="dpshsi/amnovi/896661/reg 3/OT22-19 : PT ASDP INDONESIA FERRY/inet 50 mbps/pic Fajar +62 853-6873-6260"/>
    <s v="FCC"/>
    <d v="2026-01-10T13:25:24"/>
    <m/>
    <m/>
    <s v="PRE_PI"/>
    <s v="MERGOYOSO"/>
    <s v="NO ADDON"/>
    <m/>
    <s v="Provisioning Start"/>
    <s v="- 11_11450;Biaya PSB Reguler HSI EBIS ~ 11[150000]  - SP_NOSS;SP_NOSS ~ Internet NOSS Multispeed Network[0]  - E23015;E23015 ~ ES23 - Perangkat ONT[0]  - E23015~null~44292;E23015||11||Abodemen 0[0]  - E23015~null~E23015_SWONT;SWONT ~ Biaya Sewa ONT ~ E230"/>
    <s v="INDIBIZ"/>
    <m/>
    <m/>
    <d v="2026-10-01T20:00:00"/>
    <s v="dpshsi/amnovi/896661/reg 3/OT22-19 : PT ASDP INDONESIA FERRY/inet 50 mbps/pic Fajar +62 853-6873-6260"/>
    <m/>
    <m/>
    <m/>
    <e v="#NUM!"/>
    <e v="#NUM!"/>
    <x v="0"/>
  </r>
  <r>
    <n v="176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177"/>
    <n v="1002617803"/>
    <n v="3"/>
    <x v="3"/>
    <n v="5"/>
    <s v="SBY UTARA"/>
    <s v="MANYAR"/>
    <s v="MGO"/>
    <s v="DPS"/>
    <s v="AO"/>
    <x v="0"/>
    <m/>
    <s v="Completed (PS)"/>
    <s v="DPS-Property &amp; Resources"/>
    <d v="2026-10-01T13:10:01"/>
    <d v="2026-10-01T19:27:32"/>
    <n v="15673151"/>
    <m/>
    <n v="152413168357"/>
    <s v="PAKUWON JATI"/>
    <s v="ODP-DMO-FES/20"/>
    <s v="WO065489685"/>
    <m/>
    <m/>
    <m/>
    <n v="112.739006"/>
    <n v="-7.2623867999999998"/>
    <s v="DPSHSI/AMNOVI/896661/OT22-19 : PT ASDP INDONESIA FERRY/INET ONLY 300 MBPS/PIC Fajar +62 853-6873-6260"/>
    <s v="Account Manager"/>
    <m/>
    <m/>
    <m/>
    <m/>
    <m/>
    <m/>
    <m/>
    <m/>
    <s v="Management Janji"/>
    <s v="DPSHSI/AMNOVI/896661/OT22-19 : PT ASDP INDONESIA FERRY/INET ONLY 300 MBPS/PIC Fajar +62 853-6873-6260"/>
    <s v="FCC"/>
    <d v="2026-01-10T13:25:24"/>
    <m/>
    <m/>
    <s v="PS"/>
    <s v="MERGOYOSO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20:30:00"/>
    <s v="DPSHSI/AMNOVI/896661/OT22-19 : PT ASDP INDONESIA FERRY/INET ONLY 300 MBPS/PIC Fajar +62 853-6873-6260"/>
    <n v="2026"/>
    <n v="10"/>
    <n v="1"/>
    <d v="2026-10-01T00:00:00"/>
    <n v="-0.85416666666424135"/>
    <x v="1"/>
  </r>
  <r>
    <n v="178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179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180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81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182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183"/>
    <n v="1002621509"/>
    <n v="3"/>
    <x v="3"/>
    <n v="5"/>
    <s v="SBY UTARA"/>
    <s v="MANYAR"/>
    <s v="MGO"/>
    <s v="REG"/>
    <s v="AO"/>
    <x v="0"/>
    <s v="1P INET"/>
    <s v="MIE - SEND SURVEY"/>
    <s v="RBS-Regional 3"/>
    <d v="2026-10-04T18:46:40"/>
    <d v="2026-10-04T18:48:01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SURVEY_NEW_MANJA"/>
    <s v="MERGOYOSO"/>
    <s v="NO ADDON"/>
    <m/>
    <s v="MIE - SEND SURVEY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m/>
    <m/>
    <m/>
    <e v="#NUM!"/>
    <e v="#NUM!"/>
    <x v="0"/>
  </r>
  <r>
    <n v="184"/>
    <n v="1002621155"/>
    <n v="3"/>
    <x v="3"/>
    <n v="5"/>
    <s v="SBY SELATAN"/>
    <s v="MANYAR"/>
    <s v="JGR"/>
    <s v="REG"/>
    <s v="AO"/>
    <x v="0"/>
    <s v="1P INET"/>
    <s v="OSS - PROVISIONING START"/>
    <s v="RBS-Regional 3"/>
    <d v="2026-10-03T17:19:47"/>
    <d v="2026-10-05T08:16:31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m/>
    <s v="PRE_PI"/>
    <s v="JAGIR"/>
    <s v="NO ADDON"/>
    <m/>
    <s v="Provisioning Start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185"/>
    <n v="1002621157"/>
    <n v="3"/>
    <x v="3"/>
    <n v="5"/>
    <s v="SBY SELATAN"/>
    <s v="MANYAR"/>
    <s v="JGR"/>
    <s v="REG"/>
    <s v="AO"/>
    <x v="0"/>
    <s v="1P INET"/>
    <s v="7 | OSS - PROVISIONING ISSUED"/>
    <s v="RBS-Regional 3"/>
    <d v="2026-10-03T17:19:39"/>
    <d v="2026-10-05T08:18:05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m/>
    <s v="PI"/>
    <s v="JAGIR"/>
    <s v="NO ADDON"/>
    <m/>
    <s v="Provisioning Issu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186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187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188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189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190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191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192"/>
    <n v="1002621494"/>
    <n v="3"/>
    <x v="3"/>
    <n v="5"/>
    <s v="SBY SELATAN"/>
    <s v="KETINTANG"/>
    <s v="RKT"/>
    <s v="REG"/>
    <s v="AO"/>
    <x v="0"/>
    <m/>
    <s v="MIE - SEND SURVEY"/>
    <s v="RBS-Regional 3"/>
    <d v="2026-10-04T16:59:56"/>
    <d v="2026-10-04T19:02:01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SURVEY_NEW_MANJA"/>
    <s v="RUNGKUT"/>
    <s v="ANTAREZ"/>
    <m/>
    <s v="MIE - SEND SURVEY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193"/>
    <n v="1002620934"/>
    <n v="3"/>
    <x v="4"/>
    <n v="4"/>
    <s v="SOLO"/>
    <s v="KLATEN"/>
    <s v="DLG"/>
    <s v="REG"/>
    <s v="AO"/>
    <x v="0"/>
    <s v="1P INET"/>
    <s v="7 | OSS - PROVISIONING ISSUED"/>
    <s v="RBS-Regional 3"/>
    <d v="2026-10-03T12:29:34"/>
    <d v="2026-10-04T11:20:10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I"/>
    <s v="DELANGGU"/>
    <s v="NO ADDON"/>
    <m/>
    <s v="Provisioning Issu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m/>
    <m/>
    <m/>
    <e v="#NUM!"/>
    <e v="#NUM!"/>
    <x v="0"/>
  </r>
  <r>
    <n v="194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195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196"/>
    <n v="1002621472"/>
    <n v="3"/>
    <x v="4"/>
    <n v="4"/>
    <s v="KUDUS"/>
    <s v="BLORA"/>
    <s v="BLO"/>
    <s v="REG"/>
    <s v="AO"/>
    <x v="0"/>
    <s v="1P INET"/>
    <s v="MIE - SEND SURVEY"/>
    <s v="RBS-Regional 3"/>
    <d v="2026-10-04T15:58:35"/>
    <d v="2026-10-04T16:01:04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m/>
    <s v="SURVEY_NEW_MANJA"/>
    <s v="X"/>
    <s v="NO ADDON"/>
    <m/>
    <s v="MIE - SEND SURVEY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197"/>
    <n v="1002620263"/>
    <n v="3"/>
    <x v="4"/>
    <n v="4"/>
    <s v="KUDUS"/>
    <s v="BLORA"/>
    <s v="CEP"/>
    <s v="REG"/>
    <s v="AO"/>
    <x v="0"/>
    <m/>
    <s v="7 | OSS - PROVISIONING ISSUED"/>
    <s v="RBS-Regional 3"/>
    <d v="2026-10-02T15:29:12"/>
    <d v="2026-10-04T11:13:38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m/>
    <s v="PI"/>
    <s v="CEPU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198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9"/>
    <n v="1002620740"/>
    <n v="3"/>
    <x v="4"/>
    <n v="4"/>
    <s v="KUDUS"/>
    <s v="PURWODADI"/>
    <s v="GDO"/>
    <s v="REG"/>
    <s v="AO"/>
    <x v="0"/>
    <s v="1P INET"/>
    <s v="7 | OSS - PROVISIONING ISSUED"/>
    <s v="RBS-Regional 3"/>
    <d v="2026-10-03T08:35:35"/>
    <d v="2026-10-04T08:05:27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m/>
    <s v="PI"/>
    <s v="GUBUG"/>
    <s v="NO ADDON"/>
    <m/>
    <s v="Provisioning Issu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200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201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202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203"/>
    <n v="1002620286"/>
    <n v="3"/>
    <x v="4"/>
    <n v="4"/>
    <s v="SOLO"/>
    <s v="SRAGEN"/>
    <s v="SRG"/>
    <s v="DGS"/>
    <s v="AO"/>
    <x v="0"/>
    <m/>
    <s v="OSS - PROVISIONING START"/>
    <s v="DGS-B2B TREG"/>
    <d v="2026-10-02T15:35:21"/>
    <d v="2026-10-02T15:38:42"/>
    <n v="69403240"/>
    <m/>
    <n v="142565402380"/>
    <s v="Polsek Gesi"/>
    <s v="ODP-SRG-FAN/044"/>
    <s v="WO065593077"/>
    <m/>
    <m/>
    <m/>
    <n v="111.00710391801699"/>
    <n v="-7.3352639112318503"/>
    <s v="DGS HSI | YASINTA DN | 896703| TREG 3 |Polsek Gesi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RE_PI"/>
    <s v="X"/>
    <s v="NO ADDON"/>
    <m/>
    <s v="Provisioning Star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0"/>
  </r>
  <r>
    <n v="204"/>
    <n v="1002620272"/>
    <n v="3"/>
    <x v="4"/>
    <n v="4"/>
    <s v="SOLO"/>
    <s v="SRAGEN"/>
    <s v="SRG"/>
    <s v="DGS"/>
    <s v="AO"/>
    <x v="0"/>
    <m/>
    <s v="OSS - PROVISIONING START"/>
    <s v="DGS-B2B TREG"/>
    <d v="2026-10-02T15:30:41"/>
    <d v="2026-10-02T15:32:39"/>
    <n v="69403236"/>
    <m/>
    <n v="142565402379"/>
    <s v="Polsek Plupuh"/>
    <s v="ODP-SRG-FAP/005"/>
    <s v="WO065592461"/>
    <m/>
    <m/>
    <m/>
    <n v="110.88831070000001"/>
    <n v="-7.4279023000000004"/>
    <s v="DGS HSI | YASINTA DN | 896703| TREG 3 |Polsek Plupuh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RE_PI"/>
    <s v="X"/>
    <s v="NO ADDON"/>
    <m/>
    <s v="Provisioning Star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0"/>
  </r>
  <r>
    <n v="205"/>
    <n v="1002620418"/>
    <n v="3"/>
    <x v="4"/>
    <n v="4"/>
    <s v="SOLO"/>
    <s v="SRAGEN"/>
    <s v="SRG"/>
    <s v="DGS"/>
    <s v="AO"/>
    <x v="0"/>
    <m/>
    <s v="7 | OSS - PROVISIONING ISSUED"/>
    <s v="DGS-B2B TREG"/>
    <d v="2026-10-02T16:17:18"/>
    <d v="2026-10-02T16:22:35"/>
    <n v="69403294"/>
    <m/>
    <n v="142565402385"/>
    <s v="Polsek Sragen"/>
    <s v="ODP-SRG-FH/086"/>
    <s v="WO065598423"/>
    <m/>
    <m/>
    <m/>
    <n v="111.01986816322599"/>
    <n v="-7.4176956752355103"/>
    <s v="DGS HSI | YASINTA DN | 896703| TREG 3 |Polsek Sragen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I"/>
    <s v="X"/>
    <s v="NO ADDON"/>
    <m/>
    <s v="Provisioning Issu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m/>
    <m/>
    <m/>
    <e v="#NUM!"/>
    <e v="#NUM!"/>
    <x v="0"/>
  </r>
  <r>
    <n v="206"/>
    <n v="1002620407"/>
    <n v="3"/>
    <x v="4"/>
    <n v="4"/>
    <s v="SOLO"/>
    <s v="SRAGEN"/>
    <s v="SRG"/>
    <s v="DGS"/>
    <s v="AO"/>
    <x v="0"/>
    <m/>
    <s v="7 | OSS - PROVISIONING ISSUED"/>
    <s v="DGS-B2B TREG"/>
    <d v="2026-10-02T16:12:22"/>
    <d v="2026-10-02T16:15:15"/>
    <n v="69403293"/>
    <m/>
    <n v="142565402384"/>
    <s v="Polsek Mondokan"/>
    <s v="ODP-SRG-FAN/093"/>
    <s v="WO065597916"/>
    <m/>
    <m/>
    <m/>
    <n v="110.941775376718"/>
    <n v="-7.3175452466090602"/>
    <s v="DGS HSI | YASINTA DN | 896703| TREG 3 |Polsek Mondokan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I"/>
    <s v="X"/>
    <s v="NO ADDON"/>
    <m/>
    <s v="Provisioning Issu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0"/>
  </r>
  <r>
    <n v="207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208"/>
    <n v="1002620389"/>
    <n v="3"/>
    <x v="4"/>
    <n v="4"/>
    <s v="SOLO"/>
    <s v="SRAGEN"/>
    <s v="SRG"/>
    <s v="DGS"/>
    <s v="AO"/>
    <x v="0"/>
    <m/>
    <s v="Completed (PS)"/>
    <s v="DGS-B2B TREG"/>
    <d v="2026-10-02T16:06:19"/>
    <d v="2026-10-04T15:59:32"/>
    <n v="69403283"/>
    <m/>
    <n v="142565402383"/>
    <s v="Polsek Jenar"/>
    <s v="ODP-SRG-FAM/055"/>
    <s v="WO065597033"/>
    <m/>
    <m/>
    <m/>
    <n v="111.113912610783"/>
    <n v="-7.3389244719846802"/>
    <s v="DGS HSI | YASINTA DN | 896703| TREG 3 |Polsek Jenar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4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4"/>
    <d v="2026-10-04T00:00:00"/>
    <n v="1.5"/>
    <x v="2"/>
  </r>
  <r>
    <n v="209"/>
    <n v="1002620376"/>
    <n v="3"/>
    <x v="4"/>
    <n v="4"/>
    <s v="SOLO"/>
    <s v="SRAGEN"/>
    <s v="SRG"/>
    <s v="DGS"/>
    <s v="AO"/>
    <x v="0"/>
    <m/>
    <s v="Completed (PS)"/>
    <s v="DGS-B2B TREG"/>
    <d v="2026-10-02T16:01:11"/>
    <d v="2026-10-03T14:54:04"/>
    <n v="69403279"/>
    <m/>
    <n v="142565402382"/>
    <s v="Polsek Sidoharjo"/>
    <s v="ODP-SRG-FAL/006"/>
    <s v="WO065596449"/>
    <m/>
    <m/>
    <m/>
    <n v="110.9869765"/>
    <n v="-7.4362572"/>
    <s v="DGS HSI | YASINTA DN | 896703| TREG 3 |Polsek Sidoharjo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3"/>
    <d v="2026-10-03T00:00:00"/>
    <n v="0.5"/>
    <x v="1"/>
  </r>
  <r>
    <n v="210"/>
    <n v="1002620354"/>
    <n v="3"/>
    <x v="4"/>
    <n v="4"/>
    <s v="SOLO"/>
    <s v="SRAGEN"/>
    <s v="SRG"/>
    <s v="DGS"/>
    <s v="AO"/>
    <x v="0"/>
    <m/>
    <s v="Completed (PS)"/>
    <s v="DGS-B2B TREG"/>
    <d v="2026-10-02T15:55:59"/>
    <d v="2026-10-03T17:04:36"/>
    <n v="69403290"/>
    <m/>
    <n v="142565402381"/>
    <s v="Polsek Karangmalang"/>
    <s v="ODP-SRG-FP/024"/>
    <s v="WO065595706"/>
    <m/>
    <m/>
    <m/>
    <n v="111.028575"/>
    <n v="-7.4458995000000003"/>
    <s v="DGS HSI | YASINTA DN | 896703| TREG 3 |Polsek Karangmalang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n v="2026"/>
    <n v="10"/>
    <n v="3"/>
    <d v="2026-10-03T00:00:00"/>
    <n v="0.5"/>
    <x v="1"/>
  </r>
  <r>
    <n v="211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212"/>
    <n v="1002620325"/>
    <n v="3"/>
    <x v="4"/>
    <n v="4"/>
    <s v="SOLO"/>
    <s v="INNER - SOLO JATENG TIMUR"/>
    <s v="GLD"/>
    <s v="DGS"/>
    <s v="AO"/>
    <x v="0"/>
    <m/>
    <s v="7 | OSS - PROVISIONING ISSUED"/>
    <s v="DGS-B2B TREG"/>
    <d v="2026-10-02T15:46:35"/>
    <d v="2026-10-02T15:49:56"/>
    <n v="69403269"/>
    <m/>
    <n v="146514602889"/>
    <s v="KPP MADYA SURAKARTA"/>
    <s v="ODP-GLD-FAH/056"/>
    <s v="WO065594405"/>
    <m/>
    <m/>
    <m/>
    <n v="110.849343"/>
    <n v="-7.5699100000000001"/>
    <s v="DGS HSI | NUR RAHMAWATI | 920163 | TREG 3 |KPP MADYA SURAKARTA |IIrvan Syahrusyam |  082313231387 | PSB HSI Bisnis Internet Only 1:1 300mbps Rp 1.130.000"/>
    <s v="Amex"/>
    <m/>
    <m/>
    <m/>
    <m/>
    <m/>
    <m/>
    <m/>
    <m/>
    <s v="Management Janji"/>
    <n v="82313231387"/>
    <s v="FCC"/>
    <d v="2026-02-10T15:55:26"/>
    <m/>
    <m/>
    <s v="PI"/>
    <s v="X"/>
    <s v="NO ADDON"/>
    <m/>
    <s v="Provisioning Issu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2313231387"/>
    <m/>
    <m/>
    <m/>
    <e v="#NUM!"/>
    <e v="#NUM!"/>
    <x v="0"/>
  </r>
  <r>
    <n v="213"/>
    <n v="1002620340"/>
    <n v="3"/>
    <x v="4"/>
    <n v="4"/>
    <s v="SOLO"/>
    <s v="INNER - SOLO JATENG TIMUR"/>
    <s v="GLD"/>
    <s v="DGS"/>
    <s v="AO"/>
    <x v="0"/>
    <m/>
    <s v="7 | OSS - PROVISIONING ISSUED"/>
    <s v="DGS-B2B TREG"/>
    <d v="2026-10-02T15:50:36"/>
    <d v="2026-10-02T15:54:03"/>
    <n v="69403288"/>
    <m/>
    <n v="146514602890"/>
    <s v="KPP MADYA SURAKARTA"/>
    <s v="ODP-GLD-FAH/042"/>
    <s v="WO065594895"/>
    <m/>
    <m/>
    <m/>
    <n v="110.849343"/>
    <n v="-7.5699100000000001"/>
    <s v="DGS HSI | NUR RAHMAWATI | 920163 | TREG 3 |KPP MADYA SURAKARTA |IIrvan Syahrusyam |  082313231387 | PSB HSI Bisnis Internet Only 1:1 300mbps Rp 1.130.000"/>
    <s v="Amex"/>
    <m/>
    <m/>
    <m/>
    <m/>
    <m/>
    <m/>
    <m/>
    <m/>
    <s v="Management Janji"/>
    <n v="82313231387"/>
    <s v="FCC"/>
    <d v="2026-02-10T15:55:26"/>
    <m/>
    <m/>
    <s v="PI"/>
    <s v="X"/>
    <s v="NO ADDON"/>
    <m/>
    <s v="Provisioning Issu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2313231387"/>
    <m/>
    <m/>
    <m/>
    <e v="#NUM!"/>
    <e v="#NUM!"/>
    <x v="0"/>
  </r>
  <r>
    <n v="214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215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216"/>
    <n v="1002617638"/>
    <n v="3"/>
    <x v="4"/>
    <n v="4"/>
    <s v="SOLO"/>
    <s v="INNER - SOLO JATENG TIMUR"/>
    <s v="KRT"/>
    <s v="REG"/>
    <s v="AO"/>
    <x v="0"/>
    <s v="2P INET + VOICE"/>
    <s v="7 | OSS - PROVISIONING ISSUED"/>
    <s v="RBS-Regional 3"/>
    <d v="2026-10-01T11:40:40"/>
    <d v="2026-10-04T22:34:24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m/>
    <s v="PI"/>
    <s v="X"/>
    <s v="NO ADDON"/>
    <m/>
    <s v="Provisioning Issu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217"/>
    <n v="1002618198"/>
    <n v="3"/>
    <x v="4"/>
    <n v="4"/>
    <s v="SOLO"/>
    <s v="INNER - SOLO JATENG TIMUR"/>
    <s v="KRT"/>
    <s v="DPS"/>
    <s v="AO"/>
    <x v="0"/>
    <m/>
    <s v="7 | OSS - PROVISIONING ISSUED"/>
    <s v="DPS-Logistic &amp; Manufacturing"/>
    <d v="2026-10-01T14:55:34"/>
    <d v="2026-10-01T16:39:39"/>
    <n v="69402490"/>
    <m/>
    <n v="142505404702"/>
    <s v="PT Arta Boga Cemerlang"/>
    <s v="ODP-KRT-FAE/029"/>
    <s v="WO065503095"/>
    <m/>
    <m/>
    <m/>
    <n v="110.766363"/>
    <n v="-7.5643750000000001"/>
    <s v="P26-205460  ARTHABOGA CEMERLANG HSI 100 MBPS PREMIUM SUKOHARJO JAWA TENGAH"/>
    <s v="TAM"/>
    <m/>
    <m/>
    <m/>
    <m/>
    <m/>
    <m/>
    <m/>
    <m/>
    <s v="Management Janji"/>
    <s v="P26-205460  ARTHABOGA CEMERLANG HSI 100 MBPS PREMIUM SUKOHARJO JAWA TENGAH"/>
    <s v="FCC"/>
    <d v="2026-01-10T15:10:59"/>
    <m/>
    <m/>
    <s v="PI"/>
    <s v="X"/>
    <s v="NO ADDON"/>
    <m/>
    <s v="Provisioning Issued"/>
    <s v="- 11_11450;Biaya PSB Reguler HSI EBIS ~ 11[500000]  - E23046;E23046 ~ ES23 - Paket HSI Bisnis[0]  - E23046~null~E23046_UNL;UNL ~ Internet-Link Unlimited Internet Usage ~ E23046[0]  - E23046~null~44877;E23046||11||Abodemen 0[0]  - E23046~null~E23046_HSIE10"/>
    <s v="INDIBIZ"/>
    <m/>
    <m/>
    <d v="2026-10-01T21:00:00"/>
    <s v="P26-205460  ARTHABOGA CEMERLANG HSI 100 MBPS PREMIUM SUKOHARJO JAWA TENGAH"/>
    <m/>
    <m/>
    <m/>
    <e v="#NUM!"/>
    <e v="#NUM!"/>
    <x v="0"/>
  </r>
  <r>
    <n v="218"/>
    <n v="1002621260"/>
    <n v="3"/>
    <x v="4"/>
    <n v="4"/>
    <s v="SOLO"/>
    <s v="INNER - SOLO JATENG TIMUR"/>
    <s v="KRT"/>
    <s v="REG"/>
    <s v="AO"/>
    <x v="0"/>
    <s v="1P INET"/>
    <s v="7 | OSS - PROVISIONING ISSUED"/>
    <s v="RBS-Regional 3"/>
    <d v="2026-10-04T09:20:35"/>
    <d v="2026-10-05T08:13:30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I"/>
    <s v="X"/>
    <s v="NO ADDON"/>
    <m/>
    <s v="Provisioning Issu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m/>
    <m/>
    <m/>
    <e v="#NUM!"/>
    <e v="#NUM!"/>
    <x v="0"/>
  </r>
  <r>
    <n v="219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220"/>
    <n v="1002619200"/>
    <n v="3"/>
    <x v="4"/>
    <n v="4"/>
    <s v="SOLO"/>
    <s v="INNER - SOLO JATENG TIMUR"/>
    <s v="KRT"/>
    <s v="DSS"/>
    <s v="AO"/>
    <x v="0"/>
    <m/>
    <s v="Completed (PS)"/>
    <s v="DSS-Fin &amp; Regional Banking"/>
    <d v="2026-10-02T09:51:31"/>
    <d v="2026-10-03T17:07:39"/>
    <n v="69402819"/>
    <n v="2716011747"/>
    <n v="142505404833"/>
    <s v="BANK JATENG KF RS UMS"/>
    <s v="ODP-KRT-FU/015"/>
    <s v="WO065550201"/>
    <m/>
    <m/>
    <m/>
    <n v="110.771718767461"/>
    <n v="-7.5576117213448599"/>
    <s v="DSS RACE | FELIA | 990053 | TREG 3 | BANK JATENG | ASEF | 085728554429 | 2SHSIBISNIS50MBPSPHONE"/>
    <s v="Account Manager"/>
    <m/>
    <m/>
    <m/>
    <m/>
    <m/>
    <m/>
    <m/>
    <m/>
    <s v="Management Janji"/>
    <s v="KONFIRMASI UP"/>
    <s v="FCC"/>
    <d v="2026-02-10T10:10:27"/>
    <m/>
    <m/>
    <s v="PS"/>
    <s v="X"/>
    <s v="NO ADDON"/>
    <n v="20261003"/>
    <s v="Completed"/>
    <s v="- 11_11450;Biaya PSB Reguler HSI EBIS ~ 11[250000]  - BWY DL;BWY DL ~ Saluran Dua Arah(BothWay)[0]  - E23053;E23053 ~ ES23 - Paket HSI Bisnis  Phone (PHONE)[0]  - E23053~null~44864;E23053||11||Abodemen 0[0]  - E23053~null~E23053_IN800;IN800 ~ Free Lokal d"/>
    <s v="INDIBIZ"/>
    <m/>
    <m/>
    <d v="2026-10-02T13:00:00"/>
    <s v="KONFIRMASI UP"/>
    <n v="2026"/>
    <n v="10"/>
    <n v="3"/>
    <d v="2026-10-03T00:00:00"/>
    <n v="0.45833333333575865"/>
    <x v="1"/>
  </r>
  <r>
    <n v="221"/>
    <n v="1002620244"/>
    <n v="3"/>
    <x v="4"/>
    <n v="4"/>
    <s v="SOLO"/>
    <s v="INNER - SOLO JATENG TIMUR"/>
    <s v="MSO"/>
    <s v="DGS"/>
    <s v="AO"/>
    <x v="0"/>
    <m/>
    <s v="OSS - PROVISIONING START"/>
    <s v="DGS-B2B TREG"/>
    <d v="2026-10-02T15:23:38"/>
    <d v="2026-10-02T15:26:44"/>
    <n v="69403256"/>
    <m/>
    <n v="142566102842"/>
    <s v="Polsek Kalijambe"/>
    <s v="ODP-MSO-FCC/059"/>
    <s v="WO065591592"/>
    <m/>
    <m/>
    <m/>
    <n v="110.807023"/>
    <n v="-7.4436349999999996"/>
    <s v="DGS HSI | YASINTA DN | 896703| TREG 3 |Polsek Kalijambe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RE_PI"/>
    <s v="SOLO PALUR"/>
    <s v="NO ADDON"/>
    <m/>
    <s v="Provisioning Start"/>
    <s v="- 11_11450;Biaya PSB Reguler HSI EBIS ~ 11[500000]  - SP_NOSS;SP_NOSS ~ Internet NOSS Multispeed Network[0]  - E23015;E23015 ~ ES23 - Perangkat ONT[0]  - E23015~null~44292;E23015||11||Abodemen 0[0]  - E23015~null~E23015_SWONT;SWONT ~ Biaya Sewa ONT ~ E230"/>
    <s v="INDIBIZ"/>
    <m/>
    <m/>
    <d v="2026-10-02T12:00:00"/>
    <n v="85725551706"/>
    <m/>
    <m/>
    <m/>
    <e v="#NUM!"/>
    <e v="#NUM!"/>
    <x v="0"/>
  </r>
  <r>
    <n v="222"/>
    <n v="1002620424"/>
    <n v="3"/>
    <x v="4"/>
    <n v="4"/>
    <s v="SOLO"/>
    <s v="INNER - SOLO JATENG TIMUR"/>
    <s v="MSO"/>
    <s v="DGS"/>
    <s v="AO"/>
    <x v="0"/>
    <m/>
    <s v="Completed (PS)"/>
    <s v="DGS-B2B TREG"/>
    <d v="2026-10-02T16:21:05"/>
    <d v="2026-10-04T21:33:21"/>
    <n v="69403299"/>
    <m/>
    <n v="142566102845"/>
    <s v="Polsek Gemolong"/>
    <s v="ODP-MSO-FCD/039"/>
    <s v="WO065598820"/>
    <m/>
    <m/>
    <m/>
    <n v="110.82771003253799"/>
    <n v="-7.3967957134839599"/>
    <s v="DGS HSI | YASINTA DN | 896703| TREG 3 |Polsek Gemolong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S"/>
    <s v="SOLO PALUR"/>
    <s v="NO ADDON"/>
    <n v="20261004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2026-10-02T12:00:00"/>
    <n v="85725551706"/>
    <n v="2026"/>
    <n v="10"/>
    <n v="4"/>
    <d v="2026-10-04T00:00:00"/>
    <n v="1.5"/>
    <x v="2"/>
  </r>
  <r>
    <n v="223"/>
    <n v="1002620161"/>
    <n v="3"/>
    <x v="4"/>
    <n v="4"/>
    <s v="SOLO"/>
    <s v="INNER - SOLO JATENG TIMUR"/>
    <s v="MSO"/>
    <s v="DGS"/>
    <s v="AO"/>
    <x v="0"/>
    <m/>
    <s v="Completed (PS)"/>
    <s v="DGS-B2B TREG"/>
    <d v="2026-10-02T15:06:21"/>
    <d v="2026-10-04T10:39:17"/>
    <n v="69403220"/>
    <m/>
    <n v="142566102838"/>
    <s v="Reskrim Polsek Sumberlawang"/>
    <s v="ODP-MSO-FQ/021"/>
    <s v="WO065587659"/>
    <m/>
    <m/>
    <m/>
    <n v="110.8581588"/>
    <n v="-7.3316076999999904"/>
    <s v="DGS HSI | YASINTA DN | 896703| TREG 3 |POLRES SRAGEN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S"/>
    <s v="SOLO PALUR"/>
    <s v="NO ADDON"/>
    <n v="20261004"/>
    <s v="Completed"/>
    <s v="- 11_11450;Biaya PSB Reguler HSI EBIS ~ 11[500000]  - E23015;E23015 ~ ES23 - Perangkat ONT[0]  - E23015~null~44292;E23015||11||Abodemen 0[0]  - E23015~null~E23015_SWONT;SWONT ~ Biaya Sewa ONT ~ E23015[30000]  - SP_NOSS;SP_NOSS ~ Internet NOSS Multispeed N"/>
    <s v="INDIBIZ"/>
    <m/>
    <m/>
    <d v="2026-10-02T12:00:00"/>
    <n v="85725551706"/>
    <n v="2026"/>
    <n v="10"/>
    <n v="4"/>
    <d v="2026-10-04T00:00:00"/>
    <n v="1.5"/>
    <x v="2"/>
  </r>
  <r>
    <n v="224"/>
    <n v="1002619389"/>
    <n v="3"/>
    <x v="4"/>
    <n v="4"/>
    <s v="SOLO"/>
    <s v="WONOGIRI"/>
    <s v="BRN"/>
    <s v="DPS"/>
    <s v="AO"/>
    <x v="0"/>
    <m/>
    <s v="FCC - HD1A - OPEN"/>
    <s v="DPS-Logistic &amp; Manufacturing"/>
    <d v="2026-10-02T10:43:11"/>
    <d v="2026-10-02T10:44:04"/>
    <n v="69402891"/>
    <m/>
    <n v="146517100139"/>
    <s v="PT Nusantara Ekspres Kilat FM Hub + Hub Baturetno (Replacement)"/>
    <m/>
    <m/>
    <m/>
    <m/>
    <m/>
    <n v="110.964220209087"/>
    <n v="-7.9424445837153401"/>
    <s v="P26-205585  PSB HSI Bisnis 7 Lokasi PT Nusantara Ekspres Kilat Shopee Express - 21 Agustus 2026  "/>
    <s v="TAM"/>
    <m/>
    <m/>
    <m/>
    <m/>
    <m/>
    <m/>
    <m/>
    <m/>
    <s v="Management Janji"/>
    <d v="1970-01-01T00:00:00"/>
    <s v="FCC"/>
    <d v="2026-02-10T10:55:19"/>
    <m/>
    <m/>
    <s v="FCC"/>
    <s v="X"/>
    <s v="NO ADDON"/>
    <m/>
    <s v="MYDITA DPS-Logistic &amp; Manufacturing - HD1A - OPEN, Order tidak perlu di caring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0:00:00"/>
    <d v="1970-01-01T00:00:00"/>
    <m/>
    <m/>
    <m/>
    <e v="#NUM!"/>
    <e v="#NUM!"/>
    <x v="0"/>
  </r>
  <r>
    <n v="225"/>
    <n v="1002619578"/>
    <n v="3"/>
    <x v="4"/>
    <n v="4"/>
    <s v="SOLO"/>
    <s v="WONOGIRI"/>
    <s v="JSO"/>
    <s v="REG"/>
    <s v="AO"/>
    <x v="0"/>
    <s v="1P INET"/>
    <s v="OSS - PROVISIONING START"/>
    <s v="RBS-Regional 3"/>
    <d v="2026-10-02T11:35:34"/>
    <d v="2026-10-05T08:05:12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m/>
    <s v="PRE_PI"/>
    <s v="X"/>
    <s v="NO ADDON"/>
    <m/>
    <s v="Provisioning Start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226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227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228"/>
    <n v="1002621082"/>
    <n v="3"/>
    <x v="4"/>
    <n v="4"/>
    <s v="SOLO"/>
    <s v="WONOGIRI"/>
    <s v="WNG"/>
    <s v="REG"/>
    <s v="AO"/>
    <x v="0"/>
    <s v="1P INET"/>
    <s v="7 | OSS - PROVISIONING ISSUED"/>
    <s v="RBS-Regional 3"/>
    <d v="2026-10-03T15:23:35"/>
    <d v="2026-10-04T15:24:11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I"/>
    <s v="X"/>
    <s v="NO ADDON"/>
    <m/>
    <s v="Provisioning Issu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229"/>
    <n v="1002621515"/>
    <n v="3"/>
    <x v="4"/>
    <n v="4"/>
    <s v="SOLO"/>
    <s v="WONOGIRI"/>
    <s v="WNG"/>
    <s v="REG"/>
    <s v="AO"/>
    <x v="0"/>
    <s v="1P INET"/>
    <s v="MIE - SEND SURVEY"/>
    <s v="RBS-Regional 3"/>
    <d v="2026-10-04T19:20:35"/>
    <d v="2026-10-04T19:22:44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SURVEY_NEW_MANJA"/>
    <s v="X"/>
    <s v="NO ADDON"/>
    <m/>
    <s v="MIE - SEND SURVEY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m/>
    <m/>
    <m/>
    <e v="#NUM!"/>
    <e v="#NUM!"/>
    <x v="0"/>
  </r>
  <r>
    <n v="230"/>
    <n v="1002620284"/>
    <n v="3"/>
    <x v="5"/>
    <n v="5"/>
    <s v="SIDOARJO"/>
    <s v="JOMBANG"/>
    <s v="JOM"/>
    <s v="DPS"/>
    <s v="AO"/>
    <x v="0"/>
    <m/>
    <s v="MYCX - SEND OPEN PAPERLESS"/>
    <s v="DPS-Logistic &amp; Manufacturing"/>
    <d v="2026-10-02T15:35:49"/>
    <d v="2026-10-02T15:38:09"/>
    <n v="69403260"/>
    <m/>
    <n v="152318242565"/>
    <s v="PT Nusantara Ekspres Kilat Hub Perak"/>
    <s v="ODP-JOM-FAC/029"/>
    <s v="WO065593145"/>
    <m/>
    <m/>
    <m/>
    <n v="112.163609271163"/>
    <n v="-7.56384831774103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40:15"/>
    <m/>
    <m/>
    <s v="INPROGRESS_SC"/>
    <s v="JOMBANG"/>
    <s v="NO ADDON"/>
    <m/>
    <s v="SEND PAPERLESS OPEN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00:00"/>
    <s v="P26-205589  PSB HSI Bisnis 8 Lokasi PT Nusantara Ekspres Kilat Shopee Express - 08 September 2026  "/>
    <m/>
    <m/>
    <m/>
    <e v="#NUM!"/>
    <e v="#NUM!"/>
    <x v="0"/>
  </r>
  <r>
    <n v="231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232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233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234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235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236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237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238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239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240"/>
    <n v="1002621142"/>
    <n v="3"/>
    <x v="5"/>
    <n v="5"/>
    <s v="SIDOARJO"/>
    <s v="MOJOKERTO"/>
    <s v="MRT"/>
    <s v="REG"/>
    <s v="AO"/>
    <x v="0"/>
    <m/>
    <s v="QC MIA - SEND QUALITY CONTROL MIA"/>
    <s v="RBS-Regional 3"/>
    <d v="2026-10-03T16:42:18"/>
    <d v="2026-10-03T16:46:01"/>
    <n v="69403723"/>
    <m/>
    <n v="152312243367"/>
    <s v="BIENSI FES YENINDO"/>
    <s v="ODP-MRT-FAJ/20"/>
    <m/>
    <m/>
    <m/>
    <m/>
    <n v="112.443244659539"/>
    <n v="-7.471261750679589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m/>
    <m/>
    <m/>
    <d v="2026-03-10T17:25:31"/>
    <m/>
    <m/>
    <s v="QC1"/>
    <s v="MOJOKERTO"/>
    <s v="NETMONK"/>
    <m/>
    <s v="QC MIA - SEND QUALITY CONTROL MI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1"/>
    <n v="1002617823"/>
    <n v="3"/>
    <x v="5"/>
    <n v="5"/>
    <s v="SIDOARJO"/>
    <s v="INNER - JATIM TIMUR"/>
    <s v="KRN"/>
    <s v="REG"/>
    <s v="AO"/>
    <x v="0"/>
    <s v="1P INET"/>
    <s v="OSS - PROVISIONING START"/>
    <s v="RBS-Regional 3"/>
    <d v="2026-10-01T13:16:35"/>
    <d v="2026-10-01T16:20:30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m/>
    <s v="PRE_PI"/>
    <s v="KRIAN"/>
    <s v="NO ADDON"/>
    <m/>
    <s v="Provisioning Start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242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243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244"/>
    <n v="1002617423"/>
    <n v="3"/>
    <x v="5"/>
    <n v="5"/>
    <s v="SIDOARJO"/>
    <s v="INNER - JATIM TIMUR"/>
    <s v="SDA"/>
    <s v="REG"/>
    <s v="AO"/>
    <x v="0"/>
    <s v="1P INET"/>
    <s v="OSS - FALLOUT"/>
    <s v="RBS-Regional 3"/>
    <d v="2026-10-01T10:43:39"/>
    <d v="2026-10-03T11:45:4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FO_WFM"/>
    <s v="SIDOARJO"/>
    <s v="OCA"/>
    <m/>
    <s v="Provisioning Failed|WFM|INF009633097|Pelanggan meminta pending/resechedule pemasangan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245"/>
    <n v="1002621524"/>
    <n v="3"/>
    <x v="5"/>
    <n v="5"/>
    <s v="SIDOARJO"/>
    <s v="INNER - JATIM TIMUR"/>
    <s v="SDA"/>
    <s v="DGS"/>
    <s v="AO"/>
    <x v="0"/>
    <m/>
    <s v="7 | OSS - PROVISIONING ISSUED"/>
    <s v="DGS-B2B TREG"/>
    <d v="2026-10-04T22:25:52"/>
    <d v="2026-10-04T22:31:12"/>
    <n v="69308751"/>
    <m/>
    <n v="152316233288"/>
    <s v="DSKMNF SDA 2026"/>
    <s v="ODP-SDA-FBK/11"/>
    <s v="WO065731529"/>
    <m/>
    <m/>
    <m/>
    <n v="112.73811000000001"/>
    <n v="-7.4529569999999996"/>
    <s v="AM | KOKO | 403637 | GS  | PSB  |TREG 3 |DISKOMINFO SIDOARJO|85184657451"/>
    <s v="Amex"/>
    <m/>
    <m/>
    <m/>
    <m/>
    <m/>
    <m/>
    <m/>
    <m/>
    <s v="Management Janji"/>
    <s v="PSB"/>
    <s v="FCC"/>
    <d v="2026-04-10T22:40:26"/>
    <m/>
    <m/>
    <s v="PI"/>
    <s v="SIDOARJO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5T13:30:00"/>
    <s v="PSB"/>
    <m/>
    <m/>
    <m/>
    <e v="#NUM!"/>
    <e v="#NUM!"/>
    <x v="0"/>
  </r>
  <r>
    <n v="246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247"/>
    <n v="1002617448"/>
    <n v="3"/>
    <x v="5"/>
    <n v="5"/>
    <s v="SIDOARJO"/>
    <s v="INNER - JATIM TIMUR"/>
    <s v="SDA"/>
    <s v="DPS"/>
    <s v="AO"/>
    <x v="0"/>
    <m/>
    <s v="Completed (PS)"/>
    <s v="DPS-Private Conglomeration"/>
    <d v="2026-10-01T10:48:43"/>
    <d v="2026-10-02T15:29:54"/>
    <n v="69402182"/>
    <m/>
    <n v="152316233174"/>
    <s v="PT. Andalira Cipta Abadi"/>
    <s v="ODP-SDA-FT/42"/>
    <s v="WO065472322"/>
    <m/>
    <m/>
    <m/>
    <n v="112.692944"/>
    <n v="-7.4326939999999997"/>
    <s v="DES HSI | RIZKY ANDAWASATYA | 916315 | TREG3 | PT. Andalira Cipta Abadi  | 081808489107"/>
    <s v="Account Manager"/>
    <m/>
    <m/>
    <m/>
    <m/>
    <m/>
    <m/>
    <m/>
    <m/>
    <s v="Management Janji"/>
    <s v="PT. Andalira Cipta Abadi Site Surabaya  Ruko Monroe,Ã‚Â Jl. Kahuripan Nirwana no. 32, Sumput, Sidoarjo   "/>
    <s v="FCC"/>
    <d v="2026-01-10T11:40:20"/>
    <m/>
    <s v="Kendala Pelanggan"/>
    <s v="PS"/>
    <s v="SIDOARJO"/>
    <s v="NO ADDON"/>
    <n v="20261002"/>
    <s v="Completed"/>
    <s v="- 11_11450;Biaya PSB Reguler HSI EBIS ~ 11[150000]  - SP_NOSS;SP_NOSS ~ Internet NOSS Multispeed Network[0]  - E23046;E23046 ~ ES23 - Paket HSI Bisnis[0]  - E23046~null~E23046_UNL;UNL ~ Internet-Link Unlimited Internet Usage ~ E23046[0]  - E23046~null~448"/>
    <s v="INDIBIZ"/>
    <m/>
    <m/>
    <d v="2026-10-08T12:00:00"/>
    <s v="PT. Andalira Cipta Abadi Site Surabaya  Ruko Monroe,Ã‚Â Jl. Kahuripan Nirwana no. 32, Sumput, Sidoarjo   "/>
    <n v="2026"/>
    <n v="10"/>
    <n v="2"/>
    <d v="2026-10-02T00:00:00"/>
    <n v="-6.5"/>
    <x v="1"/>
  </r>
  <r>
    <n v="248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249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250"/>
    <n v="1002621479"/>
    <n v="3"/>
    <x v="5"/>
    <n v="5"/>
    <s v="SIDOARJO"/>
    <s v="PASURUAN"/>
    <s v="PDA"/>
    <s v="REG"/>
    <s v="AO"/>
    <x v="0"/>
    <s v="1P INET"/>
    <s v="MIE - SEND SURVEY"/>
    <s v="RBS-Regional 3"/>
    <d v="2026-10-04T16:13:48"/>
    <d v="2026-10-04T16:16:02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m/>
    <s v="SURVEY_NEW_MANJA"/>
    <s v="PANDAAN"/>
    <s v="NO ADDON"/>
    <m/>
    <s v="MIE - SEND SURVEY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251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252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253"/>
    <n v="1002620404"/>
    <n v="3"/>
    <x v="3"/>
    <n v="5"/>
    <s v="SBY SELATAN"/>
    <s v="KETINTANG"/>
    <s v="WRU"/>
    <s v="REG"/>
    <s v="AO"/>
    <x v="0"/>
    <m/>
    <s v="OSS - FALLOUT"/>
    <s v="RBS-Regional 3"/>
    <d v="2026-10-02T16:14:34"/>
    <d v="2026-10-04T09:00:35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FO_WFM"/>
    <s v="WARU INJOKO"/>
    <s v="NO ADDON"/>
    <m/>
    <s v="Provisioning Failed|WFM|INF009645877|BELUM ADA JARINGAN DIDALAM PERGUDANGAN,TAGGING PELANGGAN -7.375428,112.727172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254"/>
    <n v="1002620339"/>
    <n v="3"/>
    <x v="3"/>
    <n v="5"/>
    <s v="SBY SELATAN"/>
    <s v="KETINTANG"/>
    <s v="WRU"/>
    <s v="REG"/>
    <s v="AO"/>
    <x v="0"/>
    <m/>
    <s v="OSS - PROVISIONING START"/>
    <s v="RBS-Regional 3"/>
    <d v="2026-10-02T15:52:10"/>
    <d v="2026-10-04T08:04:53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m/>
    <s v="PRE_PI"/>
    <s v="WARU INJOKO"/>
    <s v="NO ADDON"/>
    <m/>
    <s v="Provisioning Start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255"/>
    <n v="1002617383"/>
    <n v="3"/>
    <x v="3"/>
    <n v="5"/>
    <s v="SBY SELATAN"/>
    <s v="KETINTANG"/>
    <s v="TPO"/>
    <s v="REG"/>
    <s v="AO"/>
    <x v="0"/>
    <s v="1P INET"/>
    <s v="OSS - PROVISIONING START"/>
    <s v="RBS-Regional 3"/>
    <d v="2026-10-01T10:35:40"/>
    <d v="2026-10-02T08:14:43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m/>
    <s v="PRE_PI"/>
    <s v="TROPODO"/>
    <s v="NO ADDON"/>
    <m/>
    <s v="Provisioning Start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m/>
    <m/>
    <m/>
    <e v="#NUM!"/>
    <e v="#NUM!"/>
    <x v="0"/>
  </r>
  <r>
    <n v="256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257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258"/>
    <n v="1002618408"/>
    <n v="3"/>
    <x v="6"/>
    <n v="4"/>
    <s v="SEMARANG"/>
    <s v="SALATIGA"/>
    <s v="SLI"/>
    <s v="DPS"/>
    <s v="AO"/>
    <x v="0"/>
    <m/>
    <s v="7 | OSS - PROVISIONING ISSUED"/>
    <s v="DPS-Logistic &amp; Manufacturing"/>
    <d v="2026-10-01T15:42:45"/>
    <d v="2026-10-01T17:48:24"/>
    <n v="69402553"/>
    <m/>
    <n v="142434111805"/>
    <s v="PT Nusantara Ekspres Kilat FM Hub + Hub Karanggede (Replacement)"/>
    <s v="ODP-SLI-FAQ/015"/>
    <s v="WO065510887"/>
    <m/>
    <m/>
    <m/>
    <n v="110.66051459819801"/>
    <n v="-7.3115769745066101"/>
    <s v="P26-205570  PSB HSI Bisnis 5 Site PT Nusantara Ekspres Kilat Shopee Express - 19 Agustus 2026  "/>
    <s v="TAM"/>
    <m/>
    <m/>
    <m/>
    <m/>
    <m/>
    <m/>
    <m/>
    <m/>
    <s v="Management Janji"/>
    <s v="P26-205570  PSB HSI Bisnis 5 Site PT Nusantara Ekspres Kilat Shopee Express - 19 Agustus 2026  "/>
    <s v="FCC"/>
    <d v="2026-01-10T16:39:58"/>
    <m/>
    <m/>
    <s v="PI"/>
    <s v="X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20:30:00"/>
    <s v="P26-205570  PSB HSI Bisnis 5 Site PT Nusantara Ekspres Kilat Shopee Express - 19 Agustus 2026  "/>
    <m/>
    <m/>
    <m/>
    <e v="#NUM!"/>
    <e v="#NUM!"/>
    <x v="0"/>
  </r>
  <r>
    <n v="259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260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261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262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263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264"/>
    <n v="1002617361"/>
    <n v="3"/>
    <x v="4"/>
    <n v="4"/>
    <s v="KUDUS"/>
    <s v="KUDUS"/>
    <s v="KUD"/>
    <s v="REG"/>
    <s v="AO"/>
    <x v="0"/>
    <s v="1P INET"/>
    <s v="MIE - SEND SURVEY"/>
    <s v="RBS-Regional 3"/>
    <d v="2026-10-01T10:31:39"/>
    <d v="2026-10-01T10:34:0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m/>
    <s v="SURVEY_NEW_MANJA"/>
    <s v="X"/>
    <s v="NO ADDON"/>
    <m/>
    <s v="MIE - SEND SURVEY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265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266"/>
    <n v="1002620143"/>
    <n v="3"/>
    <x v="4"/>
    <n v="4"/>
    <s v="KUDUS"/>
    <s v="PATI"/>
    <s v="PAT"/>
    <s v="DPS"/>
    <s v="AO"/>
    <x v="0"/>
    <m/>
    <s v="Completed (PS)"/>
    <s v="DPS-Logistic &amp; Manufacturing"/>
    <d v="2026-10-02T15:02:12"/>
    <d v="2026-10-03T17:27:00"/>
    <n v="69403193"/>
    <m/>
    <n v="142551119694"/>
    <s v="PT Nusantara Ekspres Kilat FM Hub + Hub Margorejo (Replacement)"/>
    <s v="ODP-PAT-FAL/050"/>
    <s v="WO065587052"/>
    <m/>
    <m/>
    <m/>
    <n v="111.00917031443601"/>
    <n v="-6.75342804400469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40:15"/>
    <m/>
    <m/>
    <s v="PS"/>
    <s v="X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00:00"/>
    <s v="P26-205589  PSB HSI Bisnis 8 Lokasi PT Nusantara Ekspres Kilat Shopee Express - 08 September 2026  "/>
    <n v="2026"/>
    <n v="10"/>
    <n v="3"/>
    <d v="2026-10-03T00:00:00"/>
    <n v="-0.875"/>
    <x v="1"/>
  </r>
  <r>
    <n v="267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268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269"/>
    <n v="1002620989"/>
    <n v="3"/>
    <x v="6"/>
    <n v="4"/>
    <s v="SEMARANG"/>
    <s v="INNER - SEMARANG JATENG UTARA"/>
    <s v="SMT"/>
    <s v="REG"/>
    <s v="AO"/>
    <x v="0"/>
    <s v="1P INET"/>
    <s v="7 | OSS - PROVISIONING ISSUED"/>
    <s v="RBS-Regional 3"/>
    <d v="2026-10-03T13:29:35"/>
    <d v="2026-10-05T08:07:46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I"/>
    <s v="SEMARANG TUGU"/>
    <s v="NO ADDON"/>
    <m/>
    <s v="Provisioning Issu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m/>
    <m/>
    <m/>
    <e v="#NUM!"/>
    <e v="#NUM!"/>
    <x v="0"/>
  </r>
  <r>
    <n v="270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271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272"/>
    <n v="1002619278"/>
    <n v="3"/>
    <x v="6"/>
    <n v="4"/>
    <s v="SEMARANG"/>
    <s v="INNER - SEMARANG JATENG UTARA"/>
    <s v="GNK"/>
    <s v="REG"/>
    <s v="AO"/>
    <x v="0"/>
    <s v="1P INET"/>
    <s v="7 | OSS - PROVISIONING ISSUED"/>
    <s v="RBS-Regional 3"/>
    <d v="2026-10-02T10:14:40"/>
    <d v="2026-10-03T08:06:33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PI"/>
    <s v="JOHAR"/>
    <s v="NO ADDON"/>
    <m/>
    <s v="Provisioning Issued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273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274"/>
    <n v="1002619811"/>
    <n v="3"/>
    <x v="6"/>
    <n v="4"/>
    <s v="SEMARANG"/>
    <s v="INNER - SEMARANG JATENG UTARA"/>
    <s v="GNK"/>
    <s v="REG"/>
    <s v="AO"/>
    <x v="0"/>
    <m/>
    <s v="MYCX - SEND OPEN PAPERLESS"/>
    <s v="RBS-Regional 2"/>
    <d v="2026-10-02T13:37:19"/>
    <d v="2026-10-02T13:40:14"/>
    <n v="66525052"/>
    <m/>
    <n v="143424112888"/>
    <s v="PT. BANGUN INFORMASI TEKNOLOGI"/>
    <s v="ODP-GNK-FA/105"/>
    <m/>
    <m/>
    <m/>
    <m/>
    <n v="110.47842855576999"/>
    <n v="-6.9632283011959801"/>
    <s v="AMRBS;950223;ALDHIAZ;JKT OUTER;HSI Bisnis PSB 70% - 150 Mbps - (819000);CP RIZIQ 0877-1577-1000  ALT SANDY 087778113956;billing@bnteknologi.com  "/>
    <s v="Account Manager"/>
    <m/>
    <m/>
    <m/>
    <m/>
    <m/>
    <m/>
    <m/>
    <m/>
    <m/>
    <m/>
    <m/>
    <d v="2026-02-10T13:39:53"/>
    <m/>
    <m/>
    <s v="INPROGRESS_SC"/>
    <s v="JOHAR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275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276"/>
    <n v="1002621435"/>
    <n v="3"/>
    <x v="6"/>
    <n v="4"/>
    <s v="SEMARANG"/>
    <s v="INNER - SEMARANG JATENG UTARA"/>
    <s v="JHR"/>
    <s v="REG"/>
    <s v="AO"/>
    <x v="0"/>
    <s v="1P INET"/>
    <s v="MIE - SEND SURVEY"/>
    <s v="RBS-Regional 3"/>
    <d v="2026-10-04T14:34:40"/>
    <d v="2026-10-04T14:36:06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SURVEY_NEW_MANJA"/>
    <s v="JOHAR"/>
    <s v="NO ADDON"/>
    <m/>
    <s v="MIE - SEND SURVEY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m/>
    <m/>
    <m/>
    <e v="#NUM!"/>
    <e v="#NUM!"/>
    <x v="0"/>
  </r>
  <r>
    <n v="277"/>
    <n v="1002619079"/>
    <n v="3"/>
    <x v="6"/>
    <n v="4"/>
    <s v="SEMARANG"/>
    <s v="INNER - SEMARANG JATENG UTARA"/>
    <s v="MJP"/>
    <s v="DSS"/>
    <s v="AO"/>
    <x v="0"/>
    <m/>
    <s v="7 | OSS - PROVISIONING ISSUED"/>
    <s v="DSS-Fin &amp; Regional Banking"/>
    <d v="2026-10-02T09:12:14"/>
    <d v="2026-10-02T09:16:21"/>
    <n v="69402751"/>
    <m/>
    <n v="142410346879"/>
    <s v="BPJS KETENAGAKERJAAN CABANG SEMARANG MAJAPAHIT "/>
    <s v="ODP-MJP-FCJ/028"/>
    <s v="WO065545939"/>
    <m/>
    <m/>
    <m/>
    <n v="110.48600869737101"/>
    <n v="-7.0169656294131002"/>
    <s v="DSS RACE | AM.ANDRE | 406108 | TREG 3 | BPJS KETENAGAKERJAAN | NOVIZAR | 085727214336 | HSIBISNIS200MBPS"/>
    <s v="Account Manager"/>
    <m/>
    <m/>
    <m/>
    <m/>
    <m/>
    <m/>
    <m/>
    <m/>
    <s v="Management Janji"/>
    <s v="KONFIRMASI UP"/>
    <s v="FCC"/>
    <d v="2026-02-10T09:26:25"/>
    <m/>
    <m/>
    <s v="PI"/>
    <s v="MAJAPAHIT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KONFIRMASI UP"/>
    <m/>
    <m/>
    <m/>
    <e v="#NUM!"/>
    <e v="#NUM!"/>
    <x v="0"/>
  </r>
  <r>
    <n v="278"/>
    <n v="1002620382"/>
    <n v="3"/>
    <x v="2"/>
    <n v="4"/>
    <s v="PURWOKERTO"/>
    <s v="PURWOKERTO"/>
    <s v="AJB"/>
    <s v="DPS"/>
    <s v="AO"/>
    <x v="0"/>
    <m/>
    <s v="Completed (PS)"/>
    <s v="DPS-Financial &amp; Welfare"/>
    <d v="2026-10-02T16:03:31"/>
    <d v="2026-10-03T11:20:15"/>
    <n v="69401616"/>
    <m/>
    <n v="143387116577"/>
    <s v="Permodalan Nasional Madani"/>
    <s v="ODP-AJB-FQ/005"/>
    <s v="WO065596692"/>
    <m/>
    <m/>
    <m/>
    <n v="109.0855741"/>
    <n v="-7.3865591999999998"/>
    <s v="DSS RACE | astri | 403357 | Witel Yogya Jateng Selatan | TREG 3 | pak Yoga| +62 857-2944-3311"/>
    <s v="Amex"/>
    <m/>
    <m/>
    <m/>
    <m/>
    <m/>
    <m/>
    <m/>
    <m/>
    <s v="Management Janji"/>
    <s v="HSI 50 MBPS"/>
    <s v="FCC"/>
    <d v="2026-02-10T16:10:13"/>
    <m/>
    <m/>
    <s v="PS"/>
    <s v="AJIBARANG"/>
    <s v="NO ADDON"/>
    <n v="20261003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HSI 50 MBPS"/>
    <n v="2026"/>
    <n v="10"/>
    <n v="3"/>
    <d v="2026-10-03T00:00:00"/>
    <n v="20728.708333333332"/>
    <x v="2"/>
  </r>
  <r>
    <n v="279"/>
    <n v="1002621149"/>
    <n v="3"/>
    <x v="2"/>
    <n v="4"/>
    <s v="PURWOKERTO"/>
    <s v="PURWOKERTO"/>
    <s v="CLO"/>
    <s v="REG"/>
    <s v="AO"/>
    <x v="0"/>
    <s v="1P INET"/>
    <s v="OSS - PROVISIONING START"/>
    <s v="RBS-Regional 3"/>
    <d v="2026-10-03T17:01:35"/>
    <d v="2026-10-05T08:14:33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m/>
    <s v="PRE_PI"/>
    <s v="AJIBARANG"/>
    <s v="NO ADDON"/>
    <m/>
    <s v="Provisioning Start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280"/>
    <n v="1002619536"/>
    <n v="3"/>
    <x v="2"/>
    <n v="4"/>
    <s v="PURWOKERTO"/>
    <s v="PURWOKERTO"/>
    <s v="PWT"/>
    <s v="DPS"/>
    <s v="AO"/>
    <x v="0"/>
    <m/>
    <s v="OSS - FALLOUT"/>
    <s v="DPS-Retail &amp; Media"/>
    <d v="2026-10-02T11:23:29"/>
    <d v="2026-10-02T14:35:06"/>
    <n v="61866186"/>
    <m/>
    <n v="146303629362"/>
    <s v="AKUR PRATAMA"/>
    <s v="ODP-PWT-FAL/090"/>
    <s v="WO065562715"/>
    <m/>
    <m/>
    <m/>
    <n v="109.24125256008099"/>
    <n v="-7.4476682686611904"/>
    <s v="DPS HSI; AM RATU INTAN; PSB INDIBIZ 1S 50MBPS; PIC IMAM PURNAMA 081120057915"/>
    <s v="Account Manager"/>
    <m/>
    <m/>
    <m/>
    <m/>
    <m/>
    <m/>
    <m/>
    <m/>
    <s v="Management Janji"/>
    <s v="DPS HSI; AM RATU INTAN; PSB INDIBIZ 1S 50MBPS; PIC DANI AULIA 081809636768"/>
    <s v="FCC"/>
    <d v="2026-02-10T11:25:24"/>
    <m/>
    <s v="Kendala Teknik"/>
    <s v="FO_WFM"/>
    <s v="X"/>
    <s v="NO ADDON"/>
    <m/>
    <s v="Provisioning Failed|WFM|INF009619244|TKJ_-7.4475104000000005,109.2414503_ganti SC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DPS HSI; AM RATU INTAN; PSB INDIBIZ 1S 50MBPS; PIC DANI AULIA 081809636768"/>
    <m/>
    <m/>
    <m/>
    <e v="#NUM!"/>
    <e v="#NUM!"/>
    <x v="0"/>
  </r>
  <r>
    <n v="281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282"/>
    <n v="1002618750"/>
    <n v="3"/>
    <x v="2"/>
    <n v="4"/>
    <s v="PURWOKERTO"/>
    <s v="PURWOKERTO"/>
    <s v="PWT"/>
    <s v="REG"/>
    <s v="AO"/>
    <x v="0"/>
    <s v="1P INET"/>
    <s v="7 | OSS - PROVISIONING ISSUED"/>
    <s v="RBS-Regional 3"/>
    <d v="2026-10-01T17:40:40"/>
    <d v="2026-10-02T15:13:48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m/>
    <s v="PI"/>
    <s v="X"/>
    <s v="NO ADDON"/>
    <m/>
    <s v="Provisioning Issued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283"/>
    <n v="1002620985"/>
    <n v="3"/>
    <x v="2"/>
    <n v="4"/>
    <s v="PURWOKERTO"/>
    <s v="PURWOKERTO"/>
    <s v="PWT"/>
    <s v="REG"/>
    <s v="AO"/>
    <x v="0"/>
    <m/>
    <s v="7 | OSS - PROVISIONING ISSUED"/>
    <s v="RBS-Regional 3"/>
    <d v="2026-10-03T13:21:08"/>
    <d v="2026-10-03T13:59:24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284"/>
    <n v="1002620248"/>
    <n v="3"/>
    <x v="2"/>
    <n v="4"/>
    <s v="PURWOKERTO"/>
    <s v="PURWOKERTO"/>
    <s v="PWT"/>
    <s v="DPS"/>
    <s v="AO"/>
    <x v="0"/>
    <m/>
    <s v="Completed (PS)"/>
    <s v="DPS-Retail &amp; Media"/>
    <d v="2026-10-02T15:24:30"/>
    <d v="2026-10-02T18:04:05"/>
    <n v="61866186"/>
    <m/>
    <n v="146303629373"/>
    <s v="AKUR PRATAMA"/>
    <s v="ODP-PWT-FAL/156"/>
    <s v="WO065591686"/>
    <m/>
    <m/>
    <m/>
    <n v="109.241611090218"/>
    <n v="-7.4478042956110899"/>
    <s v="DPS HSI; AM RATU INTAN; PSB INDIBIZ 1S 50MBPS; PIC IMAM PURNAMA 081120057915"/>
    <s v="Account Manager"/>
    <m/>
    <m/>
    <m/>
    <m/>
    <m/>
    <m/>
    <m/>
    <m/>
    <s v="Management Janji"/>
    <s v="DPS HSI; AM RATU INTAN; PSB INDIBIZ 1S 50MBPS; PIC IMAM PURNAMA 081120057915"/>
    <s v="FCC"/>
    <d v="2026-02-10T15:40:15"/>
    <m/>
    <m/>
    <s v="PS"/>
    <s v="X"/>
    <s v="NO ADDON"/>
    <n v="20261002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02T12:00:00"/>
    <s v="DPS HSI; AM RATU INTAN; PSB INDIBIZ 1S 50MBPS; PIC IMAM PURNAMA 081120057915"/>
    <n v="2026"/>
    <n v="10"/>
    <n v="2"/>
    <d v="2026-10-02T00:00:00"/>
    <n v="-0.5"/>
    <x v="1"/>
  </r>
  <r>
    <n v="285"/>
    <n v="1002621493"/>
    <n v="3"/>
    <x v="2"/>
    <n v="4"/>
    <s v="PURWOKERTO"/>
    <s v="PURWOKERTO"/>
    <s v="PWT"/>
    <s v="REG"/>
    <s v="AO"/>
    <x v="0"/>
    <s v="1P INET"/>
    <s v="MIE - SEND SURVEY"/>
    <s v="RBS-Regional 3"/>
    <d v="2026-10-04T16:52:34"/>
    <d v="2026-10-04T16:54:29"/>
    <n v="69403976"/>
    <m/>
    <n v="146303629038"/>
    <s v="SAFE BAKERY"/>
    <s v="ODP-PWT-FAX/114 FAX/D07/114.01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SURVEY_NEW_MANJA"/>
    <s v="X"/>
    <s v="NO ADDON"/>
    <m/>
    <s v="MIE - SEND SURVEY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m/>
    <m/>
    <m/>
    <e v="#NUM!"/>
    <e v="#NUM!"/>
    <x v="0"/>
  </r>
  <r>
    <n v="286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287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288"/>
    <n v="1002620365"/>
    <n v="3"/>
    <x v="2"/>
    <n v="4"/>
    <s v="PURWOKERTO"/>
    <s v="CILACAP"/>
    <s v="MAN"/>
    <s v="REG"/>
    <s v="AO"/>
    <x v="0"/>
    <m/>
    <s v="MIE - SEND SURVEY"/>
    <s v="RBS-Regional 3"/>
    <d v="2026-10-02T15:59:15"/>
    <d v="2026-10-03T09:22:03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m/>
    <s v="SURVEY_NEW_MANJA"/>
    <s v="MAJENANG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289"/>
    <n v="1002619769"/>
    <n v="3"/>
    <x v="2"/>
    <n v="4"/>
    <s v="PURWOKERTO"/>
    <s v="BANJARNEGARA"/>
    <s v="BJR"/>
    <s v="REG"/>
    <s v="AO"/>
    <x v="0"/>
    <s v="1P INET"/>
    <s v="7 | OSS - PROVISIONING ISSUED"/>
    <s v="RBS-Regional 3"/>
    <d v="2026-10-02T13:22:41"/>
    <d v="2026-10-04T08:05:26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I"/>
    <s v="X"/>
    <s v="NO ADDON"/>
    <m/>
    <s v="Provisioning Issu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m/>
    <m/>
    <m/>
    <e v="#NUM!"/>
    <e v="#NUM!"/>
    <x v="0"/>
  </r>
  <r>
    <n v="290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291"/>
    <n v="1002621300"/>
    <n v="3"/>
    <x v="2"/>
    <n v="4"/>
    <s v="PURWOKERTO"/>
    <s v="BANJARNEGARA"/>
    <s v="BJR"/>
    <s v="REG"/>
    <s v="AO"/>
    <x v="0"/>
    <s v="1P INET"/>
    <s v="MIE - SEND SURVEY"/>
    <s v="RBS-Regional 3"/>
    <d v="2026-10-04T10:30:34"/>
    <d v="2026-10-04T10:32:01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m/>
    <s v="SURVEY_NEW_MANJA"/>
    <s v="X"/>
    <s v="NO ADDON"/>
    <m/>
    <s v="MIE - SEND SURVEY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292"/>
    <n v="1002621299"/>
    <n v="3"/>
    <x v="2"/>
    <n v="4"/>
    <s v="PURWOKERTO"/>
    <s v="BANJARNEGARA"/>
    <s v="BJR"/>
    <s v="REG"/>
    <s v="AO"/>
    <x v="0"/>
    <s v="1P INET"/>
    <s v="MIE - SEND SURVEY"/>
    <s v="RBS-Regional 3"/>
    <d v="2026-10-04T10:29:51"/>
    <d v="2026-10-04T10:32:06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m/>
    <s v="SURVEY_NEW_MANJA"/>
    <s v="X"/>
    <s v="NO ADDON"/>
    <m/>
    <s v="MIE - SEND SURVEY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293"/>
    <n v="1002616994"/>
    <n v="3"/>
    <x v="2"/>
    <n v="4"/>
    <s v="PURWOKERTO"/>
    <s v="BANJARNEGARA"/>
    <s v="BJR"/>
    <s v="REG"/>
    <s v="AO"/>
    <x v="0"/>
    <m/>
    <s v="CC - HD1A - INPROGRESS UNCONTACTED"/>
    <s v="RBS-Regional 3"/>
    <d v="2026-10-01T09:07:32"/>
    <d v="2026-10-04T19:14:41"/>
    <n v="69402039"/>
    <m/>
    <n v="146372102975"/>
    <s v="Kopi Jjb Ratamba"/>
    <s v="ODP-BJR-FAE/052"/>
    <m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m/>
    <m/>
    <m/>
    <d v="2026-01-10T09:25:42"/>
    <m/>
    <m/>
    <s v="FCC"/>
    <s v="X"/>
    <s v="NO ADDON"/>
    <m/>
    <s v="UNCONTACTED : Mail Box - Memo Ilham Budhi Prasetya 40000802|MYDITA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m/>
    <m/>
    <m/>
    <m/>
    <m/>
    <e v="#NUM!"/>
    <e v="#NUM!"/>
    <x v="0"/>
  </r>
  <r>
    <n v="294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295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296"/>
    <n v="1002620719"/>
    <n v="3"/>
    <x v="2"/>
    <n v="4"/>
    <s v="PURWOKERTO"/>
    <s v="BANJARNEGARA"/>
    <s v="KLP"/>
    <s v="REG"/>
    <s v="AO"/>
    <x v="0"/>
    <m/>
    <s v="MIE - SEND SURVEY"/>
    <s v="RBS-Regional 2"/>
    <d v="2026-10-03T10:59:37"/>
    <d v="2026-10-03T14:47:46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SURVEY_NEW_MANJA"/>
    <s v="KLAMPOK"/>
    <s v="NO ADDON"/>
    <m/>
    <s v="MIE - SEND SURVEY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297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298"/>
    <n v="1002619644"/>
    <n v="3"/>
    <x v="6"/>
    <n v="4"/>
    <s v="PEKALONGAN"/>
    <s v="BATANG"/>
    <s v="BTG"/>
    <s v="DPS"/>
    <s v="AO"/>
    <x v="0"/>
    <m/>
    <s v="7 | OSS - PROVISIONING ISSUED"/>
    <s v="DPS-Logistic &amp; Manufacturing"/>
    <d v="2026-10-02T12:14:05"/>
    <d v="2026-10-02T16:52:30"/>
    <n v="69402999"/>
    <m/>
    <n v="146279106157"/>
    <s v="PT Nusantara Ekspres Kilat FM Hub + Hub Tulis (Replacement)"/>
    <s v="ODP-BTG-FA/06"/>
    <s v="WO065567511"/>
    <m/>
    <m/>
    <m/>
    <n v="109.74981699999999"/>
    <n v="-6.9168570000000003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2:25:49"/>
    <m/>
    <m/>
    <s v="PI"/>
    <s v="X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14:00:00"/>
    <s v="P26-205587  PSB HSI Bisnis 13 Lokasi PT Nusantara Ekspres Kilat Shopee Express - 01 September 2026  "/>
    <m/>
    <m/>
    <m/>
    <e v="#NUM!"/>
    <e v="#NUM!"/>
    <x v="0"/>
  </r>
  <r>
    <n v="299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300"/>
    <n v="1002621460"/>
    <n v="3"/>
    <x v="6"/>
    <n v="4"/>
    <s v="PEKALONGAN"/>
    <s v="BATANG"/>
    <s v="BTG"/>
    <s v="REG"/>
    <s v="AO"/>
    <x v="0"/>
    <s v="1P INET"/>
    <s v="MIE - SEND SURVEY"/>
    <s v="RBS-Regional 3"/>
    <d v="2026-10-04T15:28:39"/>
    <d v="2026-10-04T15:30:01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m/>
    <s v="SURVEY_NEW_MANJA"/>
    <s v="X"/>
    <s v="NO ADDON"/>
    <m/>
    <s v="MIE - SEND SURVEY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301"/>
    <n v="1002620906"/>
    <n v="3"/>
    <x v="6"/>
    <n v="4"/>
    <s v="PEKALONGAN"/>
    <s v="PEKALONGAN"/>
    <s v="PKL"/>
    <s v="REG"/>
    <s v="AO"/>
    <x v="0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302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303"/>
    <n v="1002619655"/>
    <n v="3"/>
    <x v="6"/>
    <n v="4"/>
    <s v="PEKALONGAN"/>
    <s v="PEMALANG"/>
    <s v="PML"/>
    <s v="DPS"/>
    <s v="AO"/>
    <x v="0"/>
    <m/>
    <s v="OSS - PROVISIONING START"/>
    <s v="DPS-Logistic &amp; Manufacturing"/>
    <d v="2026-10-02T12:27:16"/>
    <d v="2026-10-02T16:54:47"/>
    <n v="69403004"/>
    <m/>
    <n v="142278112917"/>
    <s v="PT Nusantara Ekspres Kilat FM Hub + Hub Petarukan (Replacement)"/>
    <s v="ODP-PML-FH/034"/>
    <s v="WO065568517"/>
    <m/>
    <m/>
    <m/>
    <n v="109.45214526688299"/>
    <n v="-6.8934250161883703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2:55:31"/>
    <m/>
    <m/>
    <s v="PRE_PI"/>
    <s v="X"/>
    <s v="NO ADDON"/>
    <m/>
    <s v="Provisioning Start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7  PSB HSI Bisnis 13 Lokasi PT Nusantara Ekspres Kilat Shopee Express - 01 September 2026  "/>
    <m/>
    <m/>
    <m/>
    <e v="#NUM!"/>
    <e v="#NUM!"/>
    <x v="0"/>
  </r>
  <r>
    <n v="304"/>
    <n v="1002618034"/>
    <n v="3"/>
    <x v="6"/>
    <n v="4"/>
    <s v="PEKALONGAN"/>
    <s v="PEMALANG"/>
    <s v="PML"/>
    <s v="DGS"/>
    <s v="AO"/>
    <x v="0"/>
    <m/>
    <s v="102 | FOLLOW UP COMPLETED"/>
    <s v="DGS-B2B TREG"/>
    <d v="2026-10-01T14:09:48"/>
    <d v="2026-10-02T11:37:44"/>
    <n v="69402418"/>
    <n v="2846130008"/>
    <n v="142278112913"/>
    <s v="SEKSI KSDA WILAYAH II"/>
    <s v="ODP-PML-FL/095"/>
    <s v="WO065497169"/>
    <m/>
    <m/>
    <m/>
    <n v="109.390857"/>
    <n v="-6.9057709000000003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SOON"/>
    <s v="FCC"/>
    <d v="2026-01-10T14:40:16"/>
    <m/>
    <m/>
    <s v="REVOKE"/>
    <s v="X"/>
    <s v="NO ADDON"/>
    <m/>
    <s v="Follow Up Revoke Completed, New Order ID : SC1002619586"/>
    <s v="- 11_11450;Biaya PSB Reguler HSI EBIS ~ 11[150000]  - BWY DL;BWY DL ~ Saluran Dua Arah(BothWay)[0]  - E23053;E23053 ~ ES23 - Paket HSI Bisnis  Phone (PHONE)[0]  - E23053~null~44864;E23053||11||Abodemen 0[0]  - E23053~null~E23053_IN800;IN800 ~ Free Lokal d"/>
    <s v="INDIBIZ"/>
    <m/>
    <m/>
    <d v="2026-10-01T12:00:00"/>
    <s v="SOON"/>
    <m/>
    <m/>
    <m/>
    <e v="#NUM!"/>
    <e v="#NUM!"/>
    <x v="0"/>
  </r>
  <r>
    <n v="305"/>
    <n v="1002619340"/>
    <n v="3"/>
    <x v="6"/>
    <n v="4"/>
    <s v="PEKALONGAN"/>
    <s v="PEMALANG"/>
    <s v="PML"/>
    <s v="DGS"/>
    <s v="AO"/>
    <x v="0"/>
    <m/>
    <s v="100 | REVOKE COMPLETED"/>
    <s v="DGS-B2B TREG"/>
    <d v="2026-10-02T10:30:30"/>
    <d v="2026-10-02T11:30:15"/>
    <n v="69402418"/>
    <n v="2846130008"/>
    <n v="142278112915"/>
    <s v="SEKSI KSDA WILAYAH II"/>
    <s v="ODP-PML-FCL/26"/>
    <s v="WO065555150"/>
    <m/>
    <m/>
    <m/>
    <n v="109.393399"/>
    <n v="-6.9057659999999998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ok"/>
    <s v="FCC"/>
    <d v="2026-02-10T10:39:55"/>
    <m/>
    <m/>
    <s v="REVOKE"/>
    <s v="X"/>
    <s v="NO ADDON"/>
    <m/>
    <s v="Revoke Completed"/>
    <s v="- BWY DL;BWY DL ~ Saluran Dua Arah(BothWay)[0]  - E23053;E23053 ~ ES23 - Paket HSI Bisnis  Phone (PHONE)[0]  - E23053~null~44864;E23053||11||Abodemen 0[0]  - E23053~null~E23053_IN800;IN800 ~ Free Lokal dan SLJJ 800 Menit ~ E23053[40000]  - 11_11450;Biaya "/>
    <s v="INDIBIZ"/>
    <m/>
    <m/>
    <d v="1970-01-01T07:00:00"/>
    <s v="ok"/>
    <m/>
    <m/>
    <m/>
    <e v="#NUM!"/>
    <e v="#NUM!"/>
    <x v="0"/>
  </r>
  <r>
    <n v="306"/>
    <n v="1002619586"/>
    <n v="3"/>
    <x v="6"/>
    <n v="4"/>
    <s v="PEKALONGAN"/>
    <s v="PEMALANG"/>
    <s v="PML"/>
    <s v="DGS"/>
    <s v="AO"/>
    <x v="0"/>
    <m/>
    <s v="Completed (PS)"/>
    <s v="DGS-B2B TREG"/>
    <d v="2026-10-02T11:37:45"/>
    <d v="2026-10-02T13:54:32"/>
    <n v="69402418"/>
    <n v="2846130008"/>
    <n v="142278112755"/>
    <s v="SEKSI KSDA WILAYAH II"/>
    <s v="ODP-PML-FCL/26"/>
    <s v="WO065564334"/>
    <m/>
    <m/>
    <m/>
    <n v="109.393399"/>
    <n v="-6.9057659999999998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ok"/>
    <s v="FCC"/>
    <d v="2026-02-10T11:39:58"/>
    <m/>
    <m/>
    <s v="PS"/>
    <s v="X"/>
    <s v="NO ADDON"/>
    <n v="20261002"/>
    <s v="Completed"/>
    <s v="- 11_11450;Biaya PSB Reguler HSI EBIS ~ 11[150000]  - BWY DL;BWY DL ~ Saluran Dua Arah(BothWay)[0]  - E23053;E23053 ~ ES23 - Paket HSI Bisnis  Phone (PHONE)[0]  - E23053~null~44864;E23053||11||Abodemen 0[0]  - E23053~null~E23053_IN800;IN800 ~ Free Lokal d"/>
    <s v="INDIBIZ"/>
    <m/>
    <m/>
    <d v="1970-01-01T07:00:00"/>
    <s v="ok"/>
    <n v="2026"/>
    <n v="10"/>
    <n v="2"/>
    <d v="2026-10-02T00:00:00"/>
    <n v="20727.708333333332"/>
    <x v="2"/>
  </r>
  <r>
    <n v="307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308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309"/>
    <n v="1002619139"/>
    <n v="3"/>
    <x v="2"/>
    <n v="4"/>
    <s v="PURWOKERTO"/>
    <s v="PURBALINGGA"/>
    <s v="PBG"/>
    <s v="DGS"/>
    <s v="AO"/>
    <x v="0"/>
    <m/>
    <s v="102 | FOLLOW UP COMPLETED"/>
    <s v="DGS-B2B TREG"/>
    <d v="2026-10-02T09:30:42"/>
    <d v="2026-10-02T14:31:39"/>
    <n v="69402761"/>
    <m/>
    <n v="143363107190"/>
    <s v="RUPBASAN Kejaksaan Negeri Purbalingga"/>
    <s v="ODP-PBG-FG/087"/>
    <s v="WO065547757"/>
    <m/>
    <m/>
    <m/>
    <n v="109.36990533141601"/>
    <n v="-7.3902613457029398"/>
    <s v="AM|AZAM|950436|/RUPBASAN Kejaksaan Negeri Purbalingga/081310842088| keu_kejaripbg@yahoo.co.id/1S HSI BISNIS 1:1 PROMO 50 Mbps  "/>
    <s v="Amex"/>
    <m/>
    <m/>
    <m/>
    <m/>
    <m/>
    <m/>
    <m/>
    <m/>
    <s v="Management Janji"/>
    <s v="Internet 1S IndiBiz 50"/>
    <s v="FCC"/>
    <d v="2026-02-10T09:40:29"/>
    <m/>
    <m/>
    <s v="REVOKE"/>
    <s v="X"/>
    <s v="NO ADDON"/>
    <m/>
    <s v="Follow Up Revoke Completed, New Order ID : SC1002620022"/>
    <s v="- 11_11450;Biaya PSB Reguler HSI EBIS ~ 11[500000]  - E23015;E23015 ~ ES23 - Perangkat ONT[0]  - E23015~null~44292;E23015||11||Abodemen 0[0]  - E23015~null~E23015_SWONT;SWONT ~ Biaya Sewa ONT ~ E23015[30000]  - E25060;E25060 ~ ES25 - Paket HSI Bisnis (HSI"/>
    <s v="INDIBIZ"/>
    <m/>
    <m/>
    <d v="2026-10-02T21:30:00"/>
    <s v="Internet 1S IndiBiz 50"/>
    <m/>
    <m/>
    <m/>
    <e v="#NUM!"/>
    <e v="#NUM!"/>
    <x v="0"/>
  </r>
  <r>
    <n v="310"/>
    <n v="1002620022"/>
    <n v="3"/>
    <x v="2"/>
    <n v="4"/>
    <s v="PURWOKERTO"/>
    <s v="PURBALINGGA"/>
    <s v="PBG"/>
    <s v="DGS"/>
    <s v="AO"/>
    <x v="0"/>
    <m/>
    <s v="Completed (PS)"/>
    <s v="DGS-B2B TREG"/>
    <d v="2026-10-02T14:31:40"/>
    <d v="2026-10-03T08:49:31"/>
    <n v="69402761"/>
    <m/>
    <n v="143363107462"/>
    <s v="RUPBASAN Kejaksaan Negeri Purbalingga"/>
    <s v="ODP-PBG-FG/176"/>
    <s v="WO065582896"/>
    <m/>
    <m/>
    <m/>
    <n v="109.38176900000001"/>
    <n v="-7.3945970000000001"/>
    <s v="AM|AZAM|950436|/RUPBASAN Kejaksaan Negeri Purbalingga/081310842088| keu_kejaripbg@yahoo.co.id/1S HSI BISNIS 1:1 PROMO 50 Mbps  "/>
    <s v="Amex"/>
    <m/>
    <m/>
    <m/>
    <m/>
    <m/>
    <m/>
    <m/>
    <m/>
    <s v="Management Janji"/>
    <s v="50 mbps"/>
    <s v="FCC"/>
    <d v="2026-02-10T14:39:55"/>
    <m/>
    <m/>
    <s v="PS"/>
    <s v="X"/>
    <s v="NO ADDON"/>
    <n v="20261003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1970-01-01T07:00:00"/>
    <s v="50 mbps"/>
    <n v="2026"/>
    <n v="10"/>
    <n v="3"/>
    <d v="2026-10-03T00:00:00"/>
    <n v="20728.708333333332"/>
    <x v="2"/>
  </r>
  <r>
    <n v="311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312"/>
    <n v="1002621485"/>
    <n v="3"/>
    <x v="2"/>
    <n v="4"/>
    <s v="PURWOKERTO"/>
    <s v="PURBALINGGA"/>
    <s v="PBG"/>
    <s v="REG"/>
    <s v="AO"/>
    <x v="0"/>
    <s v="1P INET"/>
    <s v="MIE - SEND SURVEY"/>
    <s v="RBS-Regional 3"/>
    <d v="2026-10-04T16:21:35"/>
    <d v="2026-10-04T16:24:01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m/>
    <s v="SURVEY_NEW_MANJA"/>
    <s v="X"/>
    <s v="NO ADDON"/>
    <m/>
    <s v="MIE - SEND SURVEY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313"/>
    <n v="1002621483"/>
    <n v="3"/>
    <x v="2"/>
    <n v="4"/>
    <s v="PURWOKERTO"/>
    <s v="PURBALINGGA"/>
    <s v="PBG"/>
    <s v="REG"/>
    <s v="AO"/>
    <x v="0"/>
    <s v="1P INET"/>
    <s v="MIE - SEND SURVEY"/>
    <s v="RBS-Regional 3"/>
    <d v="2026-10-04T16:22:10"/>
    <d v="2026-10-04T16:24:0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m/>
    <s v="SURVEY_NEW_MANJA"/>
    <s v="X"/>
    <s v="NO ADDON"/>
    <m/>
    <s v="MIE - SEND SURVEY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314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315"/>
    <n v="1002618417"/>
    <n v="3"/>
    <x v="6"/>
    <n v="4"/>
    <s v="PEKALONGAN"/>
    <s v="BREBES"/>
    <s v="BMU"/>
    <s v="REG"/>
    <s v="AO"/>
    <x v="0"/>
    <m/>
    <s v="MIA - INVALID SURVEY"/>
    <s v="RBS-Regional 3"/>
    <d v="2026-10-01T15:44:25"/>
    <d v="2026-10-03T14:45:25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SURVEY_NEW_MANJA"/>
    <s v="BUMIAYU"/>
    <s v="NO ADDON"/>
    <m/>
    <s v="MIE - INVALID SURVEY - Salah Taggi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0"/>
  </r>
  <r>
    <n v="316"/>
    <n v="1002618251"/>
    <n v="3"/>
    <x v="6"/>
    <n v="4"/>
    <s v="PEKALONGAN"/>
    <s v="BREBES"/>
    <s v="BMU"/>
    <s v="REG"/>
    <s v="AO"/>
    <x v="0"/>
    <m/>
    <s v="MIA - INVALID SURVEY"/>
    <s v="RBS-Regional 3"/>
    <d v="2026-10-01T15:07:39"/>
    <d v="2026-10-03T14:47:35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s v="SURVEY_NEW_MANJA"/>
    <s v="BUMIAYU"/>
    <s v="NO ADDON"/>
    <m/>
    <s v="MIE - INVALID SURVEY - Salah Taggi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317"/>
    <n v="1002618002"/>
    <n v="3"/>
    <x v="6"/>
    <n v="4"/>
    <s v="PEKALONGAN"/>
    <s v="TEGAL"/>
    <s v="MGN"/>
    <s v="REG"/>
    <s v="AO"/>
    <x v="0"/>
    <m/>
    <s v="OSS - FALLOUT"/>
    <s v="RBS-Regional 4"/>
    <d v="2026-10-01T14:04:27"/>
    <d v="2026-10-03T15:36:51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FO_WFM"/>
    <s v="X"/>
    <s v="NO ADDON"/>
    <m/>
    <s v="Provisioning Failed|WFM|INF009636602|TOJ_-6.870570000000001,109.112915_ODP inputan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318"/>
    <n v="1002617834"/>
    <n v="3"/>
    <x v="6"/>
    <n v="4"/>
    <s v="PEKALONGAN"/>
    <s v="TEGAL"/>
    <s v="MGN"/>
    <s v="REG"/>
    <s v="AO"/>
    <x v="0"/>
    <m/>
    <s v="OSS - FALLOUT"/>
    <s v="RBS-Regional 4"/>
    <d v="2026-10-01T13:23:04"/>
    <d v="2026-10-03T15:36:05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FO_WFM"/>
    <s v="X"/>
    <s v="NO ADDON"/>
    <m/>
    <s v="Provisioning Failed|WFM|INF009636590|TOJ_-6.8704656,109.1127609_ODP-INPUTAN 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319"/>
    <n v="1002619976"/>
    <n v="3"/>
    <x v="6"/>
    <n v="4"/>
    <s v="PEKALONGAN"/>
    <s v="TEGAL"/>
    <s v="TEG"/>
    <s v="REG"/>
    <s v="AO"/>
    <x v="0"/>
    <m/>
    <s v="OSS - PROVISIONING START"/>
    <s v="RBS-Regional 3"/>
    <d v="2026-10-02T14:22:47"/>
    <d v="2026-10-05T08:05:25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m/>
    <s v="PRE_PI"/>
    <s v="X"/>
    <s v="NO ADDON"/>
    <m/>
    <s v="Provisioning Start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320"/>
    <n v="1002617002"/>
    <n v="3"/>
    <x v="6"/>
    <n v="4"/>
    <s v="PEKALONGAN"/>
    <s v="TEGAL"/>
    <s v="TEG"/>
    <s v="DGS"/>
    <s v="AO"/>
    <x v="0"/>
    <m/>
    <s v="Completed (PS)"/>
    <s v="DGS-B2B TREG"/>
    <d v="2026-10-01T09:06:46"/>
    <d v="2026-10-01T14:57:11"/>
    <n v="69402061"/>
    <m/>
    <n v="142212128226"/>
    <s v="Museum Semedo"/>
    <s v="ODP-TEG-FBZ/008"/>
    <s v="WO065462461"/>
    <m/>
    <m/>
    <m/>
    <n v="109.28596899999999"/>
    <n v="-6.957611"/>
    <s v="DGS HSI | BUDIYANTO ZHEZA ARDANA | NIK. 960209 | TREG 3 | PIC 087831250926 | HSI 200MB | 1.049.000 | semedomuseum@gmail.com"/>
    <s v="Account Manager"/>
    <m/>
    <m/>
    <m/>
    <m/>
    <m/>
    <m/>
    <m/>
    <m/>
    <s v="Management Janji"/>
    <s v="OK"/>
    <s v="FCC"/>
    <d v="2026-01-10T09:25:42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OK"/>
    <n v="2026"/>
    <n v="10"/>
    <n v="1"/>
    <d v="2026-10-01T00:00:00"/>
    <n v="-0.5"/>
    <x v="1"/>
  </r>
  <r>
    <n v="321"/>
    <n v="1002620302"/>
    <n v="3"/>
    <x v="6"/>
    <n v="4"/>
    <s v="PEKALONGAN"/>
    <s v="SLAWI"/>
    <s v="ADW"/>
    <s v="DPS"/>
    <s v="AO"/>
    <x v="0"/>
    <m/>
    <s v="OSS - PROVISIONING START"/>
    <s v="DPS-Logistic &amp; Manufacturing"/>
    <d v="2026-10-02T15:41:26"/>
    <d v="2026-10-02T17:00:44"/>
    <n v="69403265"/>
    <m/>
    <n v="146282105638"/>
    <s v="PT Nusantara Ekspres Kilat FM Hub + Hub Pangkah (Replacement)"/>
    <s v="ODP-ADW-FS/001"/>
    <s v="WO065593871"/>
    <m/>
    <m/>
    <m/>
    <n v="109.18415782327099"/>
    <n v="-6.94657444280491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55:26"/>
    <m/>
    <m/>
    <s v="PRE_PI"/>
    <s v="ADIWERNA"/>
    <s v="NO ADDON"/>
    <m/>
    <s v="Provisioning Start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30:00"/>
    <s v="P26-205589  PSB HSI Bisnis 8 Lokasi PT Nusantara Ekspres Kilat Shopee Express - 08 September 2026  "/>
    <m/>
    <m/>
    <m/>
    <e v="#NUM!"/>
    <e v="#NUM!"/>
    <x v="0"/>
  </r>
  <r>
    <n v="322"/>
    <n v="1002618011"/>
    <n v="3"/>
    <x v="6"/>
    <n v="4"/>
    <s v="PEKALONGAN"/>
    <s v="SLAWI"/>
    <s v="BLU"/>
    <s v="REG"/>
    <s v="AO"/>
    <x v="0"/>
    <s v="1P INET"/>
    <s v="7 | OSS - PROVISIONING ISSUED"/>
    <s v="RBS-Regional 3"/>
    <d v="2026-10-01T14:04:34"/>
    <d v="2026-10-02T11:13:21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PI"/>
    <s v="X"/>
    <s v="NO ADDON"/>
    <m/>
    <s v="Provisioning Issued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323"/>
    <n v="1002619152"/>
    <n v="3"/>
    <x v="6"/>
    <n v="4"/>
    <s v="PEKALONGAN"/>
    <s v="SLAWI"/>
    <s v="BLU"/>
    <s v="REG"/>
    <s v="AO"/>
    <x v="0"/>
    <s v="1P INET"/>
    <s v="7 | OSS - PROVISIONING ISSUED"/>
    <s v="RBS-Regional 3"/>
    <d v="2026-10-02T09:35:35"/>
    <d v="2026-10-03T08:06:21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m/>
    <s v="PI"/>
    <s v="X"/>
    <s v="NO ADDON"/>
    <m/>
    <s v="Provisioning Issued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324"/>
    <n v="1002621459"/>
    <n v="3"/>
    <x v="6"/>
    <n v="4"/>
    <s v="PEKALONGAN"/>
    <s v="SLAWI"/>
    <s v="BLU"/>
    <s v="REG"/>
    <s v="AO"/>
    <x v="0"/>
    <s v="1P INET"/>
    <s v="MIE - SEND SURVEY"/>
    <s v="RBS-Regional 3"/>
    <d v="2026-10-04T15:28:34"/>
    <d v="2026-10-04T15:30:29"/>
    <n v="69403954"/>
    <m/>
    <n v="142206131458"/>
    <s v="TOKO EMAS H AMINAH DJAMALI"/>
    <s v="ODP-BLU-FA/023 FA/D01/023.01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SURVEY_NEW_MANJA"/>
    <s v="X"/>
    <s v="NO ADDON"/>
    <m/>
    <s v="MIE - SEND SURVEY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m/>
    <m/>
    <m/>
    <e v="#NUM!"/>
    <e v="#NUM!"/>
    <x v="0"/>
  </r>
  <r>
    <n v="325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326"/>
    <n v="1002620964"/>
    <n v="3"/>
    <x v="3"/>
    <n v="5"/>
    <s v="SBY UTARA"/>
    <s v="GRESIK"/>
    <s v="GSK"/>
    <s v="REG"/>
    <s v="AO"/>
    <x v="0"/>
    <s v="1P INET"/>
    <s v="OSS - FALLOUT"/>
    <s v="RBS-Regional 3"/>
    <d v="2026-10-03T13:04:40"/>
    <d v="2026-10-04T17:13:14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FO_WFM"/>
    <s v="GRESIK"/>
    <s v="NO ADDON"/>
    <m/>
    <s v="Provisioning Failed|WFM|INF009652283|PP_-7.160940500000001,112.64708970000001_MANJA TGL 5 OKTOBER 2026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327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328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329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330"/>
    <n v="1002619716"/>
    <n v="3"/>
    <x v="3"/>
    <n v="5"/>
    <s v="SBY UTARA"/>
    <s v="GRESIK"/>
    <s v="SDY"/>
    <s v="REG"/>
    <s v="AO"/>
    <x v="0"/>
    <s v="1P INET"/>
    <s v="OSS - FALLOUT"/>
    <s v="RBS-Regional 3"/>
    <d v="2026-10-02T13:04:40"/>
    <d v="2026-10-03T13:43:5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FO_WFM"/>
    <s v="GRESIK"/>
    <s v="NO ADDON"/>
    <m/>
    <s v="Provisioning Failed|WFM|INF009634941|PCL Pelanggan Batal pemasangan, pelanggan minta batal sudah konfirmasi ke tim salesnya.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331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332"/>
    <n v="1002618083"/>
    <n v="3"/>
    <x v="3"/>
    <n v="5"/>
    <s v="SBY UTARA"/>
    <s v="LAMONGAN"/>
    <s v="BBA"/>
    <s v="REG"/>
    <s v="AO"/>
    <x v="0"/>
    <m/>
    <s v="OSS - FALLOUT"/>
    <s v="RBS-Regional 3"/>
    <d v="2026-10-01T14:22:50"/>
    <d v="2026-10-02T16:45:32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FO_WFM"/>
    <s v="X"/>
    <s v="NO ADDON"/>
    <m/>
    <s v="Provisioning Failed|WFM|INF009622310|TOR_-7.2308433,112.17575360000001_ODP-BBA-FAD sekitar calang redaman tinggi, order tim m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333"/>
    <n v="1002617657"/>
    <n v="3"/>
    <x v="3"/>
    <n v="5"/>
    <s v="SBY UTARA"/>
    <s v="LAMONGAN"/>
    <s v="BDG"/>
    <s v="REG"/>
    <s v="AO"/>
    <x v="0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334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335"/>
    <n v="1002621212"/>
    <n v="3"/>
    <x v="3"/>
    <n v="5"/>
    <s v="SBY UTARA"/>
    <s v="LAMONGAN"/>
    <s v="BDG"/>
    <s v="REG"/>
    <s v="AO"/>
    <x v="0"/>
    <s v="1P INET"/>
    <s v="MIE - SEND SURVEY"/>
    <s v="RBS-Regional 3"/>
    <d v="2026-10-03T19:37:40"/>
    <d v="2026-10-03T19:40:30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SURVEY_NEW_MANJA"/>
    <s v="X"/>
    <s v="NO ADDON"/>
    <m/>
    <s v="MIE - SEND SURVEY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m/>
    <m/>
    <m/>
    <e v="#NUM!"/>
    <e v="#NUM!"/>
    <x v="0"/>
  </r>
  <r>
    <n v="336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337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338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339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340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341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342"/>
    <n v="1002618689"/>
    <n v="3"/>
    <x v="1"/>
    <n v="5"/>
    <s v="MADIUN"/>
    <s v="BOJONEGORO"/>
    <s v="SMJ"/>
    <s v="REG"/>
    <s v="AO"/>
    <x v="0"/>
    <s v="1P INET"/>
    <s v="100 | REVOKE COMPLETED"/>
    <s v="RBS-Regional 3"/>
    <d v="2026-10-01T17:05:34"/>
    <d v="2026-10-03T12:31:29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Revoke Completed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343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344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345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346"/>
    <n v="1002617098"/>
    <n v="3"/>
    <x v="1"/>
    <n v="5"/>
    <s v="MADIUN"/>
    <s v="TUBAN"/>
    <s v="JTR"/>
    <s v="REG"/>
    <s v="AO"/>
    <x v="0"/>
    <s v="1P INET"/>
    <s v="OSS - PROVISIONING START"/>
    <s v="RBS-Regional 3"/>
    <d v="2026-10-01T09:31:42"/>
    <d v="2026-10-02T08:14:47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m/>
    <s v="PRE_PI"/>
    <s v="JATIROGO BANCAR"/>
    <s v="NO ADDON"/>
    <m/>
    <s v="Provisioning Start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347"/>
    <n v="1002621096"/>
    <n v="3"/>
    <x v="1"/>
    <n v="5"/>
    <s v="MADIUN"/>
    <s v="TUBAN"/>
    <s v="RGL"/>
    <s v="REG"/>
    <s v="AO"/>
    <x v="0"/>
    <s v="1P INET"/>
    <s v="7 | OSS - PROVISIONING ISSUED"/>
    <s v="RBS-Regional 3"/>
    <d v="2026-10-03T15:47:40"/>
    <d v="2026-10-04T15:24:30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I"/>
    <s v="JATIROGO BANCAR"/>
    <s v="NO ADDON"/>
    <m/>
    <s v="Provisioning Issu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m/>
    <m/>
    <m/>
    <e v="#NUM!"/>
    <e v="#NUM!"/>
    <x v="0"/>
  </r>
  <r>
    <n v="348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349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350"/>
    <n v="1002617177"/>
    <n v="3"/>
    <x v="0"/>
    <n v="5"/>
    <s v="KUPANG"/>
    <s v="KUPANG"/>
    <s v="OSP"/>
    <s v="REG"/>
    <s v="AO"/>
    <x v="0"/>
    <m/>
    <s v="OSS - PROVISIONING START"/>
    <s v="RBS-Regional 4"/>
    <d v="2026-10-01T09:49:48"/>
    <d v="2026-10-02T11:12:38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m/>
    <s v="PRE_PI"/>
    <s v="KUPANG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351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352"/>
    <n v="1002619312"/>
    <n v="3"/>
    <x v="0"/>
    <n v="5"/>
    <s v="KUPANG"/>
    <s v="KUPANG"/>
    <s v="KPN"/>
    <s v="REG"/>
    <s v="AO"/>
    <x v="0"/>
    <s v="1P INET"/>
    <s v="OSS - PROVISIONING START"/>
    <s v="RBS-Regional 3"/>
    <d v="2026-10-02T10:22:39"/>
    <d v="2026-10-03T08:04:35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RE_PI"/>
    <s v="KUPANG"/>
    <s v="NO ADDON"/>
    <m/>
    <s v="Provisioning Start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0"/>
  </r>
  <r>
    <n v="353"/>
    <n v="1002618763"/>
    <n v="3"/>
    <x v="0"/>
    <n v="5"/>
    <s v="KUPANG"/>
    <s v="KUPANG"/>
    <s v="KPN"/>
    <s v="REG"/>
    <s v="AO"/>
    <x v="0"/>
    <s v="1P INET"/>
    <s v="7 | OSS - PROVISIONING ISSUED"/>
    <s v="RBS-Regional 3"/>
    <d v="2026-10-01T17:50:39"/>
    <d v="2026-10-02T09:33:35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I"/>
    <s v="KUPANG"/>
    <s v="NO ADDON"/>
    <m/>
    <s v="Provisioning Issu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m/>
    <m/>
    <m/>
    <e v="#NUM!"/>
    <e v="#NUM!"/>
    <x v="0"/>
  </r>
  <r>
    <n v="354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355"/>
    <n v="1002620236"/>
    <n v="3"/>
    <x v="0"/>
    <n v="5"/>
    <s v="KUPANG"/>
    <s v="KUPANG"/>
    <s v="KPN"/>
    <s v="REG"/>
    <s v="AO"/>
    <x v="0"/>
    <s v="1P INET"/>
    <s v="8 | OSS - PONR"/>
    <s v="RBS-Regional 3"/>
    <d v="2026-10-02T15:22:40"/>
    <d v="2026-10-03T17:40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ACT_COM"/>
    <s v="KUPANG"/>
    <s v="NO ADDON"/>
    <m/>
    <s v="PONR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m/>
    <m/>
    <m/>
    <e v="#NUM!"/>
    <e v="#NUM!"/>
    <x v="0"/>
  </r>
  <r>
    <n v="356"/>
    <n v="1002620326"/>
    <n v="3"/>
    <x v="0"/>
    <n v="5"/>
    <s v="KUPANG"/>
    <s v="KUPANG"/>
    <s v="KPN"/>
    <s v="REG"/>
    <s v="AO"/>
    <x v="0"/>
    <s v="1P INET"/>
    <s v="8 | OSS - PONR"/>
    <s v="RBS-Regional 3"/>
    <d v="2026-10-02T15:46:34"/>
    <d v="2026-10-04T16:35:31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ACT_COM"/>
    <s v="KUPANG"/>
    <s v="NO ADDON"/>
    <m/>
    <s v="PONR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m/>
    <m/>
    <m/>
    <e v="#NUM!"/>
    <e v="#NUM!"/>
    <x v="0"/>
  </r>
  <r>
    <n v="357"/>
    <n v="1002621034"/>
    <n v="3"/>
    <x v="0"/>
    <n v="5"/>
    <s v="KUPANG"/>
    <s v="KUPANG"/>
    <s v="KPN"/>
    <s v="REG"/>
    <s v="AO"/>
    <x v="0"/>
    <s v="1P INET"/>
    <s v="MIE - SEND SURVEY"/>
    <s v="RBS-Regional 3"/>
    <d v="2026-10-03T14:14:39"/>
    <d v="2026-10-03T14:17:0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0:00:00"/>
    <m/>
    <s v="SURVEY_NEW_MANJA"/>
    <s v="KUPANG"/>
    <s v="NO ADDON"/>
    <m/>
    <s v="MIE - SEND SURVEY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m/>
    <m/>
    <m/>
    <e v="#NUM!"/>
    <e v="#NUM!"/>
    <x v="0"/>
  </r>
  <r>
    <n v="358"/>
    <n v="1002620003"/>
    <n v="3"/>
    <x v="0"/>
    <n v="5"/>
    <s v="KUPANG"/>
    <s v="WAINGAPU"/>
    <s v="SEB"/>
    <s v="REG"/>
    <s v="AO"/>
    <x v="0"/>
    <m/>
    <s v="MYCX - SEND OPEN PAPERLESS"/>
    <s v="RBS-Regional 3"/>
    <d v="2026-10-02T14:29:25"/>
    <d v="2026-10-02T14:32:07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INPROGRESS_SC"/>
    <s v="X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359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360"/>
    <n v="1002620730"/>
    <n v="3"/>
    <x v="0"/>
    <n v="5"/>
    <s v="KUPANG"/>
    <s v="WAIKABUBAK"/>
    <s v="WKB"/>
    <s v="REG"/>
    <s v="AO"/>
    <x v="0"/>
    <s v="1P INET"/>
    <s v="MIE - SEND SURVEY"/>
    <s v="RBS-Regional 3"/>
    <d v="2026-10-03T08:22:34"/>
    <d v="2026-10-03T08:24:06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m/>
    <s v="SURVEY_NEW_MANJA"/>
    <s v="WAIKABUBAK"/>
    <s v="PIJAR"/>
    <m/>
    <s v="MIE - SEND SURVEY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361"/>
    <n v="1002621356"/>
    <n v="3"/>
    <x v="5"/>
    <n v="5"/>
    <s v="JEMBER"/>
    <s v="BANYUWANGI"/>
    <s v="KBR"/>
    <s v="REG"/>
    <s v="AO"/>
    <x v="0"/>
    <s v="1P INET"/>
    <s v="MIE - SEND SURVEY"/>
    <s v="RBS-Regional 3"/>
    <d v="2026-10-04T12:26:38"/>
    <d v="2026-10-04T12:28:02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SURVEY_NEW_MANJA"/>
    <s v="GENTENG"/>
    <s v="NO ADDON"/>
    <m/>
    <s v="MIE - SEND SURVEY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m/>
    <m/>
    <m/>
    <e v="#NUM!"/>
    <e v="#NUM!"/>
    <x v="0"/>
  </r>
  <r>
    <n v="362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363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364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365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366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367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368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369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370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371"/>
    <n v="1002617346"/>
    <n v="3"/>
    <x v="0"/>
    <n v="5"/>
    <s v="KUPANG"/>
    <s v="ENDE"/>
    <s v="END"/>
    <s v="DGS"/>
    <s v="AO"/>
    <x v="0"/>
    <m/>
    <s v="OSS - FALLOUT"/>
    <s v="DGS-Government Public Services"/>
    <d v="2026-10-01T10:28:18"/>
    <d v="2026-10-01T10:31:28"/>
    <n v="69402168"/>
    <m/>
    <n v="172506789127"/>
    <s v="KUA ENDE TENGAH"/>
    <s v="ODP-END-FA/44"/>
    <s v="WO065469721"/>
    <m/>
    <m/>
    <m/>
    <n v="121.650545098639"/>
    <n v="-8.8473171428748998"/>
    <s v="DGS HSI||AIDAH|780018|TREG 3-NUSRA|KUA ENDE TENGAH|CHAIRUL WELLA|082237343936|HSI 50 Mbps (Bisnis)"/>
    <s v="Account Manager"/>
    <m/>
    <m/>
    <m/>
    <m/>
    <m/>
    <m/>
    <m/>
    <m/>
    <s v="Management Janji"/>
    <s v="moban di proses"/>
    <s v="FCC"/>
    <d v="2026-01-10T10:40:21"/>
    <m/>
    <m/>
    <s v="FO_UIM"/>
    <s v="ENDE"/>
    <s v="NETMONK"/>
    <m/>
    <s v="Provisioning Failed|UIM|INF009598768|1052:vlan voice not found at = GPON00-D5-END-3(172.25.207.20)"/>
    <s v="- 11_11450;Biaya PSB Reguler HSI EBIS ~ 11[500000]  - SP_NOSS;SP_NOSS ~ Internet NOSS Multispeed Network[0]  - E23046;E23046 ~ ES23 - Paket HSI Bisnis[0]  - E23046~null~E23046_UNL;UNL ~ Internet-Link Unlimited Internet Usage ~ E23046[0]  - E23046~null~448"/>
    <s v="INDIBIZ"/>
    <m/>
    <m/>
    <d v="2026-10-01T12:00:00"/>
    <s v="moban di proses"/>
    <m/>
    <m/>
    <m/>
    <e v="#NUM!"/>
    <e v="#NUM!"/>
    <x v="0"/>
  </r>
  <r>
    <n v="372"/>
    <n v="1002618049"/>
    <n v="3"/>
    <x v="0"/>
    <n v="5"/>
    <s v="KUPANG"/>
    <s v="ENDE"/>
    <s v="END"/>
    <s v="DPS"/>
    <s v="AO"/>
    <x v="0"/>
    <m/>
    <s v="7 | OSS - PROVISIONING ISSUED"/>
    <s v="DPS-Private Conglomeration"/>
    <d v="2026-10-01T14:13:49"/>
    <d v="2026-10-01T14:18:11"/>
    <n v="69402424"/>
    <m/>
    <n v="172506789379"/>
    <s v="INDOMARET GATOT SUBROTO"/>
    <s v="ODP-END-FDA/27"/>
    <s v="WO065497788"/>
    <m/>
    <m/>
    <m/>
    <n v="121.673188788723"/>
    <n v="-8.8409475506778499"/>
    <s v="DES HSI | RIZKY ANDAWASATYA | 916315 | TREG3 | INDOMARCO | KHOIRUL GRAFERS | 082284440053"/>
    <s v="Account Manager"/>
    <m/>
    <m/>
    <m/>
    <m/>
    <m/>
    <m/>
    <m/>
    <m/>
    <s v="Management Janji"/>
    <s v="INDOMARET GATOT SUBROTO  Jl. Gatot Subroto, Kel. Mautapaga, Kec. Ende Tim., Kabupaten Ende, Nusa Tenggara Tim.  "/>
    <s v="FCC"/>
    <d v="2026-01-10T14:40:16"/>
    <m/>
    <m/>
    <s v="PI"/>
    <s v="ENDE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8T12:00:00"/>
    <s v="INDOMARET GATOT SUBROTO  Jl. Gatot Subroto, Kel. Mautapaga, Kec. Ende Tim., Kabupaten Ende, Nusa Tenggara Tim.  "/>
    <m/>
    <m/>
    <m/>
    <e v="#NUM!"/>
    <e v="#NUM!"/>
    <x v="0"/>
  </r>
  <r>
    <n v="373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374"/>
    <n v="1002617427"/>
    <n v="3"/>
    <x v="0"/>
    <n v="5"/>
    <s v="KUPANG"/>
    <s v="ENDE"/>
    <s v="END"/>
    <s v="DGS"/>
    <s v="AO"/>
    <x v="0"/>
    <m/>
    <s v="Completed (PS)"/>
    <s v="DGS-Government Public Services"/>
    <d v="2026-10-01T10:44:10"/>
    <d v="2026-10-02T14:07:52"/>
    <n v="69402197"/>
    <m/>
    <n v="172506789367"/>
    <s v="KUA ENDE TENGAH"/>
    <s v="ODP-END-FA/42"/>
    <s v="WO065471792"/>
    <m/>
    <m/>
    <m/>
    <n v="121.650545098639"/>
    <n v="-8.8473171428748998"/>
    <s v="DGS HSI||AIDAH|780018|TREG 3-NUSRA|KUA ENDE TENGAH|CHAIRUL WELLA|082237343936|HSI 50 Mbps (Bisnis)"/>
    <s v="Account Manager"/>
    <m/>
    <m/>
    <m/>
    <m/>
    <m/>
    <m/>
    <m/>
    <m/>
    <s v="Management Janji"/>
    <s v="moban di proses"/>
    <s v="FCC"/>
    <d v="2026-01-10T11:40:20"/>
    <m/>
    <m/>
    <s v="PS"/>
    <s v="ENDE"/>
    <s v="NETMONK"/>
    <n v="20261002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moban di proses"/>
    <n v="2026"/>
    <n v="10"/>
    <n v="2"/>
    <d v="2026-10-02T00:00:00"/>
    <n v="0.5"/>
    <x v="1"/>
  </r>
  <r>
    <n v="375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376"/>
    <n v="1002621429"/>
    <n v="3"/>
    <x v="0"/>
    <n v="5"/>
    <s v="KUPANG"/>
    <s v="ENDE"/>
    <s v="END"/>
    <s v="REG"/>
    <s v="AO"/>
    <x v="0"/>
    <s v="1P INET"/>
    <s v="MIE - SEND SURVEY"/>
    <s v="RBS-Regional 3"/>
    <d v="2026-10-04T14:26:35"/>
    <d v="2026-10-04T14:28:06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SURVEY_NEW_MANJA"/>
    <s v="ENDE"/>
    <s v="NO ADDON"/>
    <m/>
    <s v="MIE - SEND SURVEY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m/>
    <m/>
    <m/>
    <e v="#NUM!"/>
    <e v="#NUM!"/>
    <x v="0"/>
  </r>
  <r>
    <n v="377"/>
    <n v="1002621270"/>
    <n v="3"/>
    <x v="0"/>
    <n v="5"/>
    <s v="KUPANG"/>
    <s v="MAUMERE"/>
    <s v="MMR"/>
    <s v="REG"/>
    <s v="AO"/>
    <x v="0"/>
    <s v="1P INET"/>
    <s v="OSS - PROVISIONING START"/>
    <s v="RBS-Regional 3"/>
    <d v="2026-10-04T09:43:35"/>
    <d v="2026-10-05T08:14:31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RE_PI"/>
    <s v="X"/>
    <s v="NO ADDON"/>
    <m/>
    <s v="Provisioning Start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m/>
    <m/>
    <m/>
    <e v="#NUM!"/>
    <e v="#NUM!"/>
    <x v="0"/>
  </r>
  <r>
    <n v="378"/>
    <n v="1002621271"/>
    <n v="3"/>
    <x v="0"/>
    <n v="5"/>
    <s v="KUPANG"/>
    <s v="MAUMERE"/>
    <s v="MMR"/>
    <s v="REG"/>
    <s v="AO"/>
    <x v="0"/>
    <s v="1P INET"/>
    <s v="7 | OSS - PROVISIONING ISSUED"/>
    <s v="RBS-Regional 3"/>
    <d v="2026-10-04T09:43:40"/>
    <d v="2026-10-05T08:16:13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I"/>
    <s v="X"/>
    <s v="NO ADDON"/>
    <m/>
    <s v="Provisioning Issu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m/>
    <m/>
    <m/>
    <e v="#NUM!"/>
    <e v="#NUM!"/>
    <x v="0"/>
  </r>
  <r>
    <n v="379"/>
    <n v="1002621495"/>
    <n v="3"/>
    <x v="0"/>
    <n v="5"/>
    <s v="KUPANG"/>
    <s v="MAUMERE"/>
    <s v="MMR"/>
    <s v="REG"/>
    <s v="AO"/>
    <x v="0"/>
    <s v="1P INET"/>
    <s v="MIE - SEND SURVEY"/>
    <s v="RBS-Regional 3"/>
    <d v="2026-10-04T17:07:41"/>
    <d v="2026-10-04T17:10:01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SURVEY_NEW_MANJA"/>
    <s v="X"/>
    <s v="NETMONK"/>
    <m/>
    <s v="MIE - SEND SURVEY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0"/>
  </r>
  <r>
    <n v="380"/>
    <n v="1002620214"/>
    <n v="3"/>
    <x v="0"/>
    <n v="5"/>
    <s v="KUPANG"/>
    <s v="LABOAN BAJO"/>
    <s v="REO"/>
    <s v="DGS"/>
    <s v="AO"/>
    <x v="0"/>
    <m/>
    <s v="7 | OSS - PROVISIONING ISSUED"/>
    <s v="DGS-Government Public Services"/>
    <d v="2026-10-02T15:17:27"/>
    <d v="2026-10-02T15:21:30"/>
    <n v="69403201"/>
    <m/>
    <n v="172513217715"/>
    <s v="Kantor Unit Penyelenggara Pelabuhan Kelas II Reo"/>
    <s v="ODP-REO-FA/43"/>
    <s v="WO065590648"/>
    <m/>
    <m/>
    <m/>
    <n v="120.453249810457"/>
    <n v="-8.2858846381407396"/>
    <s v="DGS HSI|172513217715|MUHAMAD NATSIR ALAMSYAH HUMRIS|770010|TREG 3-NUSRA|Kantor Unit Penyelenggara Pelabuhan Kelas II Reo|HESRON LAIPUTA|085217705757|INDIBIZ BISNIS (1:1) INET ONLY 100 MBPS"/>
    <s v="Cesa"/>
    <m/>
    <m/>
    <m/>
    <m/>
    <m/>
    <m/>
    <m/>
    <m/>
    <s v="Management Janji"/>
    <s v="moban di proses "/>
    <s v="FCC"/>
    <d v="2026-02-10T15:40:15"/>
    <m/>
    <m/>
    <s v="PI"/>
    <s v="X"/>
    <s v="NO ADDON"/>
    <m/>
    <s v="Provisioning Issued"/>
    <s v="- 11_11450;Biaya PSB Reguler HSI EBIS ~ 11[150000]  - SP_NOSS;SP_NOSS ~ Internet NOSS Multispeed Network[0]  - E23015;E23015 ~ ES23 - Perangkat ONT[0]  - E23015~null~44292;E23015||11||Abodemen 0[0]  - E23015~null~E23015_SWONTDUALB;SWONTDUALB ~ Biaya Sewa "/>
    <s v="INDIBIZ"/>
    <m/>
    <m/>
    <d v="2026-10-02T12:00:00"/>
    <s v="moban di proses "/>
    <m/>
    <m/>
    <m/>
    <e v="#NUM!"/>
    <e v="#NUM!"/>
    <x v="0"/>
  </r>
  <r>
    <n v="381"/>
    <n v="1002620752"/>
    <n v="3"/>
    <x v="0"/>
    <n v="5"/>
    <s v="KUPANG"/>
    <s v="LABOAN BAJO"/>
    <s v="LBO"/>
    <s v="REG"/>
    <s v="AO"/>
    <x v="0"/>
    <m/>
    <s v="7 | OSS - PROVISIONING ISSUED"/>
    <s v="RBS-Regional 3"/>
    <d v="2026-10-03T08:58:24"/>
    <d v="2026-10-04T08:05:29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I"/>
    <s v="LABUAN BAJO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m/>
    <m/>
    <m/>
    <e v="#NUM!"/>
    <e v="#NUM!"/>
    <x v="0"/>
  </r>
  <r>
    <n v="382"/>
    <n v="1002621180"/>
    <n v="3"/>
    <x v="0"/>
    <n v="5"/>
    <s v="KUPANG"/>
    <s v="LABOAN BAJO"/>
    <s v="RTE"/>
    <s v="REG"/>
    <s v="AO"/>
    <x v="0"/>
    <s v="1P INET"/>
    <s v="OSS - PROVISIONING START"/>
    <s v="RBS-Regional 3"/>
    <d v="2026-10-03T18:04:40"/>
    <d v="2026-10-05T08:08:32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RE_PI"/>
    <s v="X"/>
    <s v="NO ADDON"/>
    <m/>
    <s v="Provisioning Start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m/>
    <m/>
    <m/>
    <e v="#NUM!"/>
    <e v="#NUM!"/>
    <x v="0"/>
  </r>
  <r>
    <n v="383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384"/>
    <n v="1002619237"/>
    <n v="3"/>
    <x v="0"/>
    <n v="5"/>
    <s v="KUPANG"/>
    <s v="ENDE"/>
    <s v="BJW"/>
    <s v="REG"/>
    <s v="AO"/>
    <x v="0"/>
    <s v="1P INET"/>
    <s v="7 | OSS - PROVISIONING ISSUED"/>
    <s v="RBS-Regional 3"/>
    <d v="2026-10-02T10:01:40"/>
    <d v="2026-10-05T08:06:28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I"/>
    <s v="BAJAWA"/>
    <s v="NO ADDON"/>
    <m/>
    <s v="Provisioning Issu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m/>
    <m/>
    <m/>
    <e v="#NUM!"/>
    <e v="#NUM!"/>
    <x v="0"/>
  </r>
  <r>
    <n v="385"/>
    <n v="1002617668"/>
    <n v="3"/>
    <x v="7"/>
    <n v="5"/>
    <s v="SINGARJA"/>
    <s v="SINGARAJA"/>
    <s v="SRR"/>
    <s v="DGS"/>
    <s v="AO"/>
    <x v="0"/>
    <m/>
    <s v="Completed (PS)"/>
    <s v="DGS-B2B TREG"/>
    <d v="2026-10-01T11:51:15"/>
    <d v="2026-10-01T14:55:51"/>
    <n v="69394624"/>
    <m/>
    <n v="172425708139"/>
    <s v="Puskemas Pembantu Patemon"/>
    <s v="ODP-SRR-FN/04"/>
    <s v="WO065480786"/>
    <m/>
    <m/>
    <m/>
    <n v="114.9287298"/>
    <n v="-8.2033623999999996"/>
    <s v="DGS HSI | KETUT SOMA | 403210 | TREG3 | Puskemas Pembantu Patemon| HSI Bisnis 50mbps | Pic : +628951532-2310 an Pak Suprayogi"/>
    <s v="Amex"/>
    <m/>
    <m/>
    <m/>
    <m/>
    <m/>
    <m/>
    <m/>
    <m/>
    <s v="Management Janji"/>
    <s v="FU"/>
    <s v="FCC"/>
    <d v="2026-01-10T12:25:17"/>
    <m/>
    <m/>
    <s v="PS"/>
    <s v="X"/>
    <s v="NO ADDON"/>
    <n v="20261001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FU"/>
    <n v="2026"/>
    <n v="10"/>
    <n v="1"/>
    <d v="2026-10-01T00:00:00"/>
    <n v="20726.708333333332"/>
    <x v="2"/>
  </r>
  <r>
    <n v="386"/>
    <n v="1002620294"/>
    <n v="3"/>
    <x v="7"/>
    <n v="5"/>
    <s v="SINGARJA"/>
    <s v="TABANAN"/>
    <s v="BTR"/>
    <s v="REG"/>
    <s v="AO"/>
    <x v="0"/>
    <m/>
    <s v="OSS - PROVISIONING START"/>
    <s v="RBS-Regional 3"/>
    <d v="2026-10-02T15:40:40"/>
    <d v="2026-10-05T08:05:26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RE_PI"/>
    <s v="TABANAN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m/>
    <m/>
    <m/>
    <e v="#NUM!"/>
    <e v="#NUM!"/>
    <x v="0"/>
  </r>
  <r>
    <n v="387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388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389"/>
    <n v="1002620541"/>
    <n v="3"/>
    <x v="7"/>
    <n v="5"/>
    <s v="SINGARJA"/>
    <s v="TABANAN"/>
    <s v="TBN"/>
    <s v="REG"/>
    <s v="AO"/>
    <x v="0"/>
    <m/>
    <s v="OSS - FALLOUT"/>
    <s v="RBS-Regional 3"/>
    <d v="2026-10-02T17:11:21"/>
    <d v="2026-10-05T08:43:15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FO_WFM"/>
    <s v="TABANAN"/>
    <s v="NO ADDON"/>
    <m/>
    <s v="Provisioning Failed|WFM|INF009658534|TKJ_-8.5308735,115.12462029999999_moban update WO dibawah ini kendala ODP -TBN-FU/32 fu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390"/>
    <n v="1002620478"/>
    <n v="3"/>
    <x v="7"/>
    <n v="5"/>
    <s v="SINGARJA"/>
    <s v="TABANAN"/>
    <s v="TBN"/>
    <s v="REG"/>
    <s v="AO"/>
    <x v="0"/>
    <m/>
    <s v="OSS - FALLOUT"/>
    <s v="RBS-Regional 3"/>
    <d v="2026-10-02T16:48:02"/>
    <d v="2026-10-05T08:44:33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FO_WFM"/>
    <s v="TABANAN"/>
    <s v="NO ADDON"/>
    <m/>
    <s v="Provisioning Failed|WFM|INF009658556|TKJ_-8.530854900000001,115.1246087_moban update WO dibawah ini kendala ODP -TBN-FU/32 fu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391"/>
    <n v="1002620582"/>
    <n v="3"/>
    <x v="7"/>
    <n v="5"/>
    <s v="SINGARJA"/>
    <s v="TABANAN"/>
    <s v="TBN"/>
    <s v="REG"/>
    <s v="AO"/>
    <x v="0"/>
    <m/>
    <s v="OSS - FALLOUT"/>
    <s v="RBS-Regional 3"/>
    <d v="2026-10-02T17:30:45"/>
    <d v="2026-10-05T08:44:0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FO_WFM"/>
    <s v="TABANAN"/>
    <s v="NO ADDON"/>
    <m/>
    <s v="Provisioning Failed|WFM|INF009658530|TKJ_-8.5309506,115.12466889999999_moban update WO dibawah ini kendala ODP -TBN-FU/32 fu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392"/>
    <n v="1002620552"/>
    <n v="3"/>
    <x v="7"/>
    <n v="5"/>
    <s v="SINGARJA"/>
    <s v="TABANAN"/>
    <s v="TBN"/>
    <s v="REG"/>
    <s v="AO"/>
    <x v="0"/>
    <m/>
    <s v="OSS - FALLOUT"/>
    <s v="RBS-Regional 3"/>
    <d v="2026-10-02T17:15:51"/>
    <d v="2026-10-05T08:40:58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FO_WFM"/>
    <s v="TABANAN"/>
    <s v="NO ADDON"/>
    <m/>
    <s v="Provisioning Failed|WFM|INF009658497|TKJ_-8.5308472,115.12459759999999_moban update WO dibawah ini kendala ODP -TBN-FU/32 fu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393"/>
    <n v="1002620445"/>
    <n v="3"/>
    <x v="7"/>
    <n v="5"/>
    <s v="SINGARJA"/>
    <s v="TABANAN"/>
    <s v="TBN"/>
    <s v="REG"/>
    <s v="AO"/>
    <x v="0"/>
    <m/>
    <s v="OSS - FALLOUT"/>
    <s v="RBS-Regional 3"/>
    <d v="2026-10-02T16:31:39"/>
    <d v="2026-10-05T08:42:42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FO_WFM"/>
    <s v="TABANAN"/>
    <s v="NO ADDON"/>
    <m/>
    <s v="Provisioning Failed|WFM|INF009658507|TKJ_-8.5308864,115.12462339999999_moban update WO dibawah ini kendala ODP -TBN-FU/32 ful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394"/>
    <n v="1002620534"/>
    <n v="3"/>
    <x v="7"/>
    <n v="5"/>
    <s v="SINGARJA"/>
    <s v="TABANAN"/>
    <s v="TBN"/>
    <s v="REG"/>
    <s v="AO"/>
    <x v="0"/>
    <m/>
    <s v="OSS - FALLOUT"/>
    <s v="RBS-Regional 3"/>
    <d v="2026-10-02T17:07:30"/>
    <d v="2026-10-05T08:42:01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FO_WFM"/>
    <s v="TABANAN"/>
    <s v="NO ADDON"/>
    <m/>
    <s v="Provisioning Failed|WFM|INF009658505|TKJ_-8.5308752,115.1246182_moban update WO dibawah ini kendala ODP -TBN-FU/32 full perl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395"/>
    <n v="1002620492"/>
    <n v="3"/>
    <x v="7"/>
    <n v="5"/>
    <s v="SINGARJA"/>
    <s v="TABANAN"/>
    <s v="TBN"/>
    <s v="REG"/>
    <s v="AO"/>
    <x v="0"/>
    <m/>
    <s v="OSS - PROVISIONING START"/>
    <s v="RBS-Regional 3"/>
    <d v="2026-10-02T16:53:37"/>
    <d v="2026-10-04T08:04:48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m/>
    <s v="PRE_PI"/>
    <s v="TABANAN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396"/>
    <n v="1002620569"/>
    <n v="3"/>
    <x v="7"/>
    <n v="5"/>
    <s v="SINGARJA"/>
    <s v="TABANAN"/>
    <s v="TBN"/>
    <s v="REG"/>
    <s v="AO"/>
    <x v="0"/>
    <m/>
    <s v="OSS - PROVISIONING START"/>
    <s v="RBS-Regional 3"/>
    <d v="2026-10-02T17:24:03"/>
    <d v="2026-10-04T08:04:52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m/>
    <s v="PRE_PI"/>
    <s v="TABANAN"/>
    <s v="NO ADDON"/>
    <m/>
    <s v="Provisioning Start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397"/>
    <n v="1002620470"/>
    <n v="3"/>
    <x v="7"/>
    <n v="5"/>
    <s v="SINGARJA"/>
    <s v="TABANAN"/>
    <s v="TBN"/>
    <s v="REG"/>
    <s v="AO"/>
    <x v="0"/>
    <m/>
    <s v="OSS - PROVISIONING START"/>
    <s v="RBS-Regional 3"/>
    <d v="2026-10-02T16:44:10"/>
    <d v="2026-10-04T08:04:40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m/>
    <s v="PRE_PI"/>
    <s v="TABANAN"/>
    <s v="NO ADDON"/>
    <m/>
    <s v="Provisioning Start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398"/>
    <n v="1002620518"/>
    <n v="3"/>
    <x v="7"/>
    <n v="5"/>
    <s v="SINGARJA"/>
    <s v="TABANAN"/>
    <s v="TBN"/>
    <s v="REG"/>
    <s v="AO"/>
    <x v="0"/>
    <m/>
    <s v="OSS - PROVISIONING START"/>
    <s v="RBS-Regional 3"/>
    <d v="2026-10-02T17:02:07"/>
    <d v="2026-10-04T08:04:48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m/>
    <s v="PRE_PI"/>
    <s v="TABANAN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399"/>
    <n v="1002620504"/>
    <n v="3"/>
    <x v="7"/>
    <n v="5"/>
    <s v="SINGARJA"/>
    <s v="TABANAN"/>
    <s v="TBN"/>
    <s v="REG"/>
    <s v="AO"/>
    <x v="0"/>
    <m/>
    <s v="OSS - PROVISIONING START"/>
    <s v="RBS-Regional 3"/>
    <d v="2026-10-02T16:57:32"/>
    <d v="2026-10-04T08:04:32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m/>
    <s v="PRE_PI"/>
    <s v="TABANAN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400"/>
    <n v="1002619183"/>
    <n v="3"/>
    <x v="7"/>
    <n v="5"/>
    <s v="SINGARJA"/>
    <s v="TABANAN"/>
    <s v="TBN"/>
    <s v="REG"/>
    <s v="AO"/>
    <x v="0"/>
    <m/>
    <s v="7 | OSS - PROVISIONING ISSUED"/>
    <s v="RBS-Regional 3"/>
    <d v="2026-10-02T09:46:18"/>
    <d v="2026-10-03T11:39:40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m/>
    <s v="PI"/>
    <s v="TABANAN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401"/>
    <n v="1002617925"/>
    <n v="3"/>
    <x v="7"/>
    <n v="5"/>
    <s v="DENPASAR"/>
    <s v="UBUNG"/>
    <s v="UBN"/>
    <s v="REG"/>
    <s v="AO"/>
    <x v="0"/>
    <m/>
    <s v="OSS - PROVISIONING START"/>
    <s v="RBS-Regional 3"/>
    <d v="2026-10-01T13:48:55"/>
    <d v="2026-10-02T11:42:44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m/>
    <s v="PRE_PI"/>
    <s v="UBUNG"/>
    <s v="NETMONK"/>
    <m/>
    <s v="Provisioning Start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402"/>
    <n v="1002616933"/>
    <n v="3"/>
    <x v="7"/>
    <n v="5"/>
    <s v="DENPASAR"/>
    <s v="UBUNG"/>
    <s v="UBN"/>
    <s v="REG"/>
    <s v="AO"/>
    <x v="0"/>
    <m/>
    <s v="7 | OSS - PROVISIONING ISSUED"/>
    <s v="RBS-Regional 3"/>
    <d v="2026-10-01T08:46:21"/>
    <d v="2026-10-01T08:52:57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m/>
    <s v="PI"/>
    <s v="UBUNG"/>
    <s v="OCA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403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404"/>
    <n v="1002619911"/>
    <n v="3"/>
    <x v="7"/>
    <n v="5"/>
    <s v="DENPASAR"/>
    <s v="JIMBARAN"/>
    <s v="KUT"/>
    <s v="REG"/>
    <s v="AO"/>
    <x v="0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405"/>
    <n v="1002619261"/>
    <n v="3"/>
    <x v="7"/>
    <n v="5"/>
    <s v="DENPASAR"/>
    <s v="JIMBARAN"/>
    <s v="KUT"/>
    <s v="REG"/>
    <s v="AO"/>
    <x v="0"/>
    <m/>
    <s v="CC - HD1A - INPROGRESS UNCONTACTED"/>
    <s v="RBS-Regional 3"/>
    <d v="2026-10-02T10:22:26"/>
    <d v="2026-10-02T14:19:09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FCC"/>
    <s v="KUTA"/>
    <s v="NETMONK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06"/>
    <n v="1002621473"/>
    <n v="3"/>
    <x v="7"/>
    <n v="5"/>
    <s v="DENPASAR"/>
    <s v="SANUR"/>
    <s v="KLM"/>
    <s v="REG"/>
    <s v="AO"/>
    <x v="0"/>
    <s v="1P INET"/>
    <s v="MIE - SEND SURVEY"/>
    <s v="RBS-Regional 3"/>
    <d v="2026-10-04T15:58:40"/>
    <d v="2026-10-04T16:01:03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SURVEY_NEW_MANJA"/>
    <s v="KALIASEM"/>
    <s v="NO ADDON"/>
    <m/>
    <s v="MIE - SEND SURVEY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m/>
    <m/>
    <m/>
    <e v="#NUM!"/>
    <e v="#NUM!"/>
    <x v="0"/>
  </r>
  <r>
    <n v="407"/>
    <n v="1002618140"/>
    <n v="3"/>
    <x v="7"/>
    <n v="5"/>
    <s v="DENPASAR"/>
    <s v="SANUR"/>
    <s v="SAU"/>
    <s v="DSS"/>
    <s v="AO"/>
    <x v="0"/>
    <m/>
    <s v="Completed (PS)"/>
    <s v="DSS-Tourism &amp; Welfare"/>
    <d v="2026-10-01T14:38:37"/>
    <d v="2026-10-02T10:49:21"/>
    <n v="69401646"/>
    <n v="3619581022"/>
    <n v="172401298392"/>
    <s v="PT. PULAUINTAN BAJAPERKASA KONSTRUKSI"/>
    <s v="ODP-SAU-FP/23"/>
    <s v="WO065500931"/>
    <m/>
    <m/>
    <m/>
    <n v="115.26216592999999"/>
    <n v="-8.6823983459999994"/>
    <s v="DSS/TREG3/BALI/910203/AM MITA/PT. PULAUINTAN BAJAPERKASA KONSTRUKSI/PSB TELP HSI 100Mbps /PIC ARIFIN 082236639181"/>
    <s v="Account Manager"/>
    <m/>
    <m/>
    <m/>
    <m/>
    <m/>
    <m/>
    <m/>
    <m/>
    <s v="Management Janji"/>
    <s v="PSB TELP HSI 100Mbps"/>
    <s v="FCC"/>
    <d v="2026-01-10T14:40:16"/>
    <m/>
    <m/>
    <s v="PS"/>
    <s v="SANUR"/>
    <s v="NO ADDON"/>
    <n v="20261002"/>
    <s v="Completed"/>
    <s v="- 11_11450;Biaya PSB Reguler HSI EBIS ~ 11[500000]  - BWY DL;BWY DL ~ Saluran Dua Arah(BothWay)[0]  - E23053;E23053 ~ ES23 - Paket HSI Bisnis  Phone (PHONE)[0]  - E23053~null~44864;E23053||11||Abodemen 0[0]  - E23053~null~E23053_IN800;IN800 ~ Free Lokal d"/>
    <s v="INDIBIZ"/>
    <m/>
    <m/>
    <d v="1970-01-01T07:00:00"/>
    <s v="PSB TELP HSI 100Mbps"/>
    <n v="2026"/>
    <n v="10"/>
    <n v="2"/>
    <d v="2026-10-02T00:00:00"/>
    <n v="20727.708333333332"/>
    <x v="2"/>
  </r>
  <r>
    <n v="408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409"/>
    <n v="1002619726"/>
    <n v="3"/>
    <x v="7"/>
    <n v="5"/>
    <s v="SINGARJA"/>
    <s v="GIANYAR"/>
    <s v="GIN"/>
    <s v="REG"/>
    <s v="AO"/>
    <x v="0"/>
    <m/>
    <s v="OSS - PROVISIONING START"/>
    <s v="RBS-Regional 3"/>
    <d v="2026-10-02T13:09:24"/>
    <d v="2026-10-03T15:22:47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RE_PI"/>
    <s v="GIANYAR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m/>
    <m/>
    <m/>
    <e v="#NUM!"/>
    <e v="#NUM!"/>
    <x v="0"/>
  </r>
  <r>
    <n v="410"/>
    <n v="1002620148"/>
    <n v="3"/>
    <x v="7"/>
    <n v="5"/>
    <s v="SINGARJA"/>
    <s v="GIANYAR"/>
    <s v="GIN"/>
    <s v="REG"/>
    <s v="AO"/>
    <x v="0"/>
    <m/>
    <s v="OSS - PROVISIONING START"/>
    <s v="RBS-Regional 3"/>
    <d v="2026-10-02T15:03:19"/>
    <d v="2026-10-05T08:05:25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RE_PI"/>
    <s v="GIANYAR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m/>
    <m/>
    <m/>
    <e v="#NUM!"/>
    <e v="#NUM!"/>
    <x v="0"/>
  </r>
  <r>
    <n v="411"/>
    <n v="1002619348"/>
    <n v="3"/>
    <x v="7"/>
    <n v="5"/>
    <s v="SINGARJA"/>
    <s v="GIANYAR"/>
    <s v="GIN"/>
    <s v="REG"/>
    <s v="AO"/>
    <x v="0"/>
    <m/>
    <s v="OSS - PROVISIONING START"/>
    <s v="RBS-Regional 3"/>
    <d v="2026-10-02T10:34:36"/>
    <d v="2026-10-03T08:04:52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RE_PI"/>
    <s v="GIANYAR"/>
    <s v="NO ADDON"/>
    <m/>
    <s v="Provisioning Start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m/>
    <m/>
    <m/>
    <e v="#NUM!"/>
    <e v="#NUM!"/>
    <x v="0"/>
  </r>
  <r>
    <n v="412"/>
    <n v="1002621371"/>
    <n v="3"/>
    <x v="7"/>
    <n v="5"/>
    <s v="SINGARJA"/>
    <s v="GIANYAR"/>
    <s v="GIN"/>
    <s v="REG"/>
    <s v="AO"/>
    <x v="0"/>
    <m/>
    <s v="MYDITA RBS - HD1A - FAILED"/>
    <s v="RBS-Regional 3"/>
    <d v="2026-10-04T12:56:44"/>
    <d v="2026-10-04T14:06:02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m/>
    <s v="GIANYAR"/>
    <s v="NO ADDON"/>
    <m/>
    <s v="MYDITA RBS - HD1A - FAIL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413"/>
    <n v="1002621378"/>
    <n v="3"/>
    <x v="7"/>
    <n v="5"/>
    <s v="SINGARJA"/>
    <s v="GIANYAR"/>
    <s v="GIN"/>
    <s v="REG"/>
    <s v="AO"/>
    <x v="0"/>
    <m/>
    <s v="QC MIA - INVALID QUALITY CONTROL MIA"/>
    <s v="RBS-Regional 3"/>
    <d v="2026-10-04T13:02:47"/>
    <d v="2026-10-04T15:50:09"/>
    <n v="69403881"/>
    <m/>
    <n v="172407215034"/>
    <s v="YADNYA GROSIR"/>
    <s v="ODP-GIN-FH/98"/>
    <m/>
    <m/>
    <m/>
    <m/>
    <n v="115.327792869205"/>
    <n v="-8.5251278300011801"/>
    <s v="|MN02658|/PIC COKORDA RAKA WISMA PUTRA/082147822274/cokrakawismaputra@gmail.com"/>
    <s v="Sales Force DBS"/>
    <m/>
    <m/>
    <m/>
    <m/>
    <m/>
    <m/>
    <m/>
    <m/>
    <m/>
    <m/>
    <m/>
    <d v="2026-04-10T13:10:49"/>
    <m/>
    <m/>
    <s v="QC1"/>
    <s v="GIANYAR"/>
    <s v="NO ADDON"/>
    <m/>
    <s v="QC MIA - INVALID QUALITY CONTROL MIA - Foto Dokumen Usaha Tidak Valid - Mohon upload dokumen NIB/SIUP/NPWP  a.n usaha/picnya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14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3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4"/>
    <n v="1002620604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2T17:52:35"/>
    <d v="2026-10-03T15:31:1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I"/>
    <s v="X"/>
    <s v="NO ADDON"/>
    <m/>
    <s v="Provisioning Issued"/>
    <s v="HSI Bisnis Khusus Winback PSB 70% - 5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"/>
  </r>
  <r>
    <n v="5"/>
    <n v="1002621187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3T18:14:46"/>
    <d v="2026-10-04T15:21:19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I"/>
    <s v="X"/>
    <s v="OCA"/>
    <m/>
    <s v="Provisioning Issued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6"/>
    <n v="1002618978"/>
    <n v="3"/>
    <x v="0"/>
    <n v="5"/>
    <s v="MATARAM"/>
    <s v="LOMBOK BARAT TENGAH"/>
    <s v="PRY"/>
    <s v="REG"/>
    <s v="AO"/>
    <s v="NEW SALES"/>
    <s v="1P INET"/>
    <s v="OSS - FALLOUT"/>
    <s v="RBS-Regional 3"/>
    <d v="2026-10-02T08:43:40"/>
    <d v="2026-10-03T08:05:35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FO_UIM"/>
    <s v="LOMBOK TENGAH"/>
    <s v="NO ADDON"/>
    <m/>
    <s v="Provisioning Failed|UIM|INF009629314|1029:Reservation not found for Broadband CFS with Reservation ID : 39611817457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7"/>
    <n v="1002618017"/>
    <n v="3"/>
    <x v="0"/>
    <n v="5"/>
    <s v="MATARAM"/>
    <s v="LOMBOK BARAT TENGAH"/>
    <s v="PRY"/>
    <s v="DGS"/>
    <s v="AO"/>
    <s v="NEW SALES"/>
    <m/>
    <s v="OSS - PROVISIONING START"/>
    <s v="DGS-Government Public Services"/>
    <d v="2026-10-01T14:05:54"/>
    <d v="2026-10-01T14:08:39"/>
    <n v="69402410"/>
    <m/>
    <n v="172603792345"/>
    <s v="COMMAND CENTER MANDALIKA II"/>
    <s v="ODP-PYA-FAS/71"/>
    <s v="WO065496629"/>
    <m/>
    <m/>
    <m/>
    <n v="116.30431652184799"/>
    <n v="-8.8921736558277598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4:10:17"/>
    <m/>
    <m/>
    <s v="PRE_PI"/>
    <s v="LOMBOK TENGAH"/>
    <s v="NO ADDON"/>
    <m/>
    <s v="Provisioning Start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1T12:00:00"/>
    <s v="AO"/>
    <m/>
    <m/>
    <m/>
    <e v="#NUM!"/>
    <e v="#NUM!"/>
    <x v="0"/>
    <x v="0"/>
  </r>
  <r>
    <n v="8"/>
    <n v="1002617500"/>
    <n v="3"/>
    <x v="0"/>
    <n v="5"/>
    <s v="MATARAM"/>
    <s v="LOMBOK BARAT TENGAH"/>
    <s v="PRY"/>
    <s v="DGS"/>
    <s v="AO"/>
    <s v="NEW SALES"/>
    <m/>
    <s v="7 | OSS - PROVISIONING ISSUED"/>
    <s v="DGS-Government Defense Service"/>
    <d v="2026-10-01T11:02:10"/>
    <d v="2026-10-01T11:05:47"/>
    <n v="69402228"/>
    <m/>
    <n v="172603792338"/>
    <s v="COMMAND CENTER MANDALIKA"/>
    <s v="GCL-PYA-F08/19"/>
    <s v="WO065473937"/>
    <m/>
    <m/>
    <m/>
    <n v="116.301227268256"/>
    <n v="-8.8929366423666405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1:40:20"/>
    <m/>
    <m/>
    <s v="PI"/>
    <s v="LOMBOK TENGAH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AO"/>
    <m/>
    <m/>
    <m/>
    <e v="#NUM!"/>
    <e v="#NUM!"/>
    <x v="0"/>
    <x v="0"/>
  </r>
  <r>
    <n v="9"/>
    <n v="1002617851"/>
    <n v="3"/>
    <x v="0"/>
    <n v="5"/>
    <s v="MATARAM"/>
    <s v="LOMBOK BARAT TENGAH"/>
    <s v="PRY"/>
    <s v="DGS"/>
    <s v="AO"/>
    <s v="NEW SALES"/>
    <m/>
    <s v="7 | OSS - PROVISIONING ISSUED"/>
    <s v="DGS-Government Defense Service"/>
    <d v="2026-10-01T13:26:13"/>
    <d v="2026-10-01T13:29:32"/>
    <n v="69402244"/>
    <m/>
    <n v="172603792341"/>
    <s v="COMMAND CENTER MANDALIKA"/>
    <s v="GCL-PYA-F08/19"/>
    <s v="WO065491636"/>
    <m/>
    <m/>
    <m/>
    <n v="116.30264328211901"/>
    <n v="-8.8931277703965996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3:40:38"/>
    <m/>
    <m/>
    <s v="PI"/>
    <s v="LOMBOK TENGAH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1T12:00:00"/>
    <s v="AO"/>
    <m/>
    <m/>
    <m/>
    <e v="#NUM!"/>
    <e v="#NUM!"/>
    <x v="0"/>
    <x v="0"/>
  </r>
  <r>
    <n v="10"/>
    <n v="1002617882"/>
    <n v="3"/>
    <x v="0"/>
    <n v="5"/>
    <s v="MATARAM"/>
    <s v="LOMBOK BARAT TENGAH"/>
    <s v="PRY"/>
    <s v="DGS"/>
    <s v="AO"/>
    <s v="NEW SALES"/>
    <m/>
    <s v="7 | OSS - PROVISIONING ISSUED"/>
    <s v="DGS-Government Defense Service"/>
    <d v="2026-10-01T13:35:14"/>
    <d v="2026-10-01T13:40:22"/>
    <n v="69402358"/>
    <m/>
    <n v="172603792344"/>
    <s v="COMMAND CENTER MANDALIKA"/>
    <s v="ODP-PYA-FAT/21"/>
    <s v="WO065492798"/>
    <m/>
    <m/>
    <m/>
    <n v="116.306934241191"/>
    <n v="-8.8925755936267308"/>
    <s v="AO | DGS HSI | MARLINTIKA | 940162 | TREG 3 | COMMAND CENTER MANDALIKA| 81339527212|AO HSI 1S INET ONLY 100MBPS"/>
    <s v="Account Manager"/>
    <m/>
    <m/>
    <m/>
    <m/>
    <m/>
    <m/>
    <m/>
    <m/>
    <s v="Management Janji"/>
    <s v="AO"/>
    <s v="FCC"/>
    <d v="2026-01-10T13:40:38"/>
    <m/>
    <m/>
    <s v="PI"/>
    <s v="LOMBOK TENGAH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AO"/>
    <m/>
    <m/>
    <m/>
    <e v="#NUM!"/>
    <e v="#NUM!"/>
    <x v="0"/>
    <x v="0"/>
  </r>
  <r>
    <n v="11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12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13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14"/>
    <n v="1002620766"/>
    <n v="3"/>
    <x v="0"/>
    <n v="5"/>
    <s v="MATARAM"/>
    <s v="LOMBOK BARAT TENGAH"/>
    <s v="PRY"/>
    <s v="REG"/>
    <s v="AO"/>
    <s v="NEW SALES"/>
    <s v="1P INET"/>
    <s v="MIE - SEND SURVEY"/>
    <s v="RBS-Regional 3"/>
    <d v="2026-10-03T09:22:40"/>
    <d v="2026-10-03T09:24:06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m/>
    <s v="SURVEY_NEW_MANJA"/>
    <s v="LOMBOK TENGAH"/>
    <s v="NO ADDON"/>
    <m/>
    <s v="MIE - SEND SURVEY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15"/>
    <n v="1002621319"/>
    <n v="3"/>
    <x v="0"/>
    <n v="5"/>
    <s v="MATARAM"/>
    <s v="LOMBOK BARAT TENGAH"/>
    <s v="PRY"/>
    <s v="REG"/>
    <s v="AO"/>
    <s v="NEW SALES"/>
    <s v="1P INET"/>
    <s v="MIE - SEND SURVEY"/>
    <s v="RBS-Regional 3"/>
    <d v="2026-10-04T10:58:41"/>
    <d v="2026-10-04T11:00:06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SURVEY_NEW_MANJA"/>
    <s v="LOMBOK TENGAH"/>
    <s v="NO ADDON"/>
    <m/>
    <s v="MIE - SEND SURVEY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16"/>
    <n v="1002621358"/>
    <n v="3"/>
    <x v="0"/>
    <n v="5"/>
    <s v="MATARAM"/>
    <s v="LOMBOK BARAT TENGAH"/>
    <s v="PRY"/>
    <s v="REG"/>
    <s v="AO"/>
    <s v="NEW SALES"/>
    <s v="1P INET"/>
    <s v="MIE - SEND SURVEY"/>
    <s v="RBS-Regional 3"/>
    <d v="2026-10-04T12:29:35"/>
    <d v="2026-10-04T12:33:01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SURVEY_NEW_MANJA"/>
    <s v="LOMBOK TENGAH"/>
    <s v="NO ADDON"/>
    <m/>
    <s v="MIE - SEND SURVEY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m/>
    <m/>
    <m/>
    <e v="#NUM!"/>
    <e v="#NUM!"/>
    <x v="0"/>
    <x v="0"/>
  </r>
  <r>
    <n v="17"/>
    <n v="1002620545"/>
    <n v="3"/>
    <x v="0"/>
    <n v="5"/>
    <s v="MATARAM"/>
    <s v="LOMBOK TIMUR UTARA"/>
    <s v="SEL"/>
    <s v="REG"/>
    <s v="AO"/>
    <s v="NEW SALES"/>
    <s v="1P INET"/>
    <s v="OSS - PROVISIONING START"/>
    <s v="RBS-Regional 3"/>
    <d v="2026-10-02T17:10:39"/>
    <d v="2026-10-05T08:04:4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RE_PI"/>
    <s v="LOMBOK TIMUR"/>
    <s v="NO ADDON"/>
    <m/>
    <s v="Provisioning Start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m/>
    <m/>
    <m/>
    <e v="#NUM!"/>
    <e v="#NUM!"/>
    <x v="0"/>
    <x v="0"/>
  </r>
  <r>
    <n v="18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19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20"/>
    <n v="1002621062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03T14:53:34"/>
    <d v="2026-10-04T11:29:58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PI"/>
    <s v="LOMBOK UTARA"/>
    <s v="NO ADDON"/>
    <m/>
    <s v="Provisioning Issued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21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22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23"/>
    <n v="1002618926"/>
    <n v="3"/>
    <x v="0"/>
    <n v="5"/>
    <s v="MATARAM"/>
    <s v="INNER - NUSA TENGGARA"/>
    <s v="MTR"/>
    <s v="REG"/>
    <s v="AO"/>
    <s v="NEW SALES"/>
    <s v="1P INET"/>
    <s v="OSS - PROVISIONING START"/>
    <s v="RBS-Regional 3"/>
    <d v="2026-10-02T08:23:39"/>
    <d v="2026-10-03T11:08:43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RE_PI"/>
    <s v="X"/>
    <s v="NETMONK"/>
    <m/>
    <s v="Provisioning Start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m/>
    <m/>
    <m/>
    <e v="#NUM!"/>
    <e v="#NUM!"/>
    <x v="0"/>
    <x v="1"/>
  </r>
  <r>
    <n v="24"/>
    <n v="1002619117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10-02T09:23:39"/>
    <d v="2026-10-03T08:06:21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I"/>
    <s v="X"/>
    <s v="NO ADDON"/>
    <m/>
    <s v="Provisioning Issu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m/>
    <m/>
    <m/>
    <e v="#NUM!"/>
    <e v="#NUM!"/>
    <x v="0"/>
    <x v="1"/>
  </r>
  <r>
    <n v="25"/>
    <n v="1002618794"/>
    <n v="3"/>
    <x v="0"/>
    <n v="5"/>
    <s v="MATARAM"/>
    <s v="INNER - NUSA TENGGARA"/>
    <s v="MTR"/>
    <s v="DGS"/>
    <s v="AO"/>
    <s v="NEW SALES"/>
    <m/>
    <s v="Completed (PS)"/>
    <s v="DGS-B2B TREG"/>
    <d v="2026-10-01T18:35:02"/>
    <d v="2026-10-02T07:49:38"/>
    <n v="69400977"/>
    <m/>
    <n v="172601248251"/>
    <s v="Kementerian HAM wilayah kerja NTB Dua"/>
    <s v="ODP-MTR-FAQ/31"/>
    <s v="WO065526867"/>
    <m/>
    <m/>
    <m/>
    <n v="116.1084"/>
    <n v="-8.5893999999999995"/>
    <s v="DGS HSI | I MADE ARY SWANTIKA / YAYUK | 940097 / 207465| TREG 3| Kementerian HAM wilayah kerja NTB Dua | 0818365321 |hamprovntb@gmail.com|HSI BISNIS  1S INET  300 MBPS"/>
    <s v="Plasa"/>
    <m/>
    <m/>
    <m/>
    <m/>
    <m/>
    <m/>
    <m/>
    <m/>
    <s v="Management Janji"/>
    <s v="call by phone"/>
    <s v="FCC"/>
    <d v="2026-01-10T18:40:19"/>
    <m/>
    <m/>
    <s v="PS"/>
    <s v="X"/>
    <s v="NO ADDON"/>
    <n v="20261002"/>
    <s v="Completed"/>
    <s v="- 11_11450;Biaya PSB Reguler HSI EBIS ~ 11[500000]  - E23015;E23015 ~ ES23 - Perangkat ONT[0]  - E23015~null~44292;E23015||11||Abodemen 0[0]  - E23015~null~E23015_SWONTPREM;SWONTPREM ~ Biaya Sewa ONT Premium ~ E23015[50000]  - E25060;E25060 ~ ES25 - Paket"/>
    <s v="INDIBIZ"/>
    <m/>
    <m/>
    <d v="1970-01-01T07:00:00"/>
    <s v="call by phone"/>
    <n v="2026"/>
    <n v="10"/>
    <n v="2"/>
    <d v="2026-10-02T00:00:00"/>
    <n v="20727.708333333332"/>
    <x v="2"/>
    <x v="1"/>
  </r>
  <r>
    <n v="26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27"/>
    <n v="1002618712"/>
    <n v="3"/>
    <x v="0"/>
    <n v="5"/>
    <s v="MATARAM"/>
    <s v="BIMA"/>
    <s v="SAP"/>
    <s v="REG"/>
    <s v="AO"/>
    <s v="NEW SALES"/>
    <m/>
    <s v="7 | OSS - PROVISIONING ISSUED"/>
    <s v="RBS-Regional 3"/>
    <d v="2026-10-01T17:19:59"/>
    <d v="2026-10-02T13:23:4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I"/>
    <s v="BIMA BARAT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m/>
    <m/>
    <m/>
    <e v="#NUM!"/>
    <e v="#NUM!"/>
    <x v="0"/>
    <x v="2"/>
  </r>
  <r>
    <n v="28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29"/>
    <n v="1002620949"/>
    <n v="3"/>
    <x v="0"/>
    <n v="5"/>
    <s v="MATARAM"/>
    <s v="BIMA"/>
    <s v="SIL"/>
    <s v="REG"/>
    <s v="AO"/>
    <s v="NEW SALES"/>
    <s v="1P INET"/>
    <s v="MIE - SEND SURVEY"/>
    <s v="RBS-Regional 3"/>
    <d v="2026-10-03T12:49:34"/>
    <d v="2026-10-03T12:54:3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m/>
    <s v="SURVEY_NEW_MANJA"/>
    <s v="BIMA BARAT"/>
    <s v="NETMONK"/>
    <m/>
    <s v="MIE - SEND SURVEY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30"/>
    <n v="1002617728"/>
    <n v="3"/>
    <x v="0"/>
    <n v="5"/>
    <s v="MATARAM"/>
    <s v="BIMA"/>
    <s v="TET"/>
    <s v="DGS"/>
    <s v="AO"/>
    <s v="NEW SALES"/>
    <m/>
    <s v="OSS - FALLOUT"/>
    <s v="DGS-B2B TREG"/>
    <d v="2026-10-01T12:28:40"/>
    <d v="2026-10-01T12:57:58"/>
    <n v="69397628"/>
    <m/>
    <n v="172616790515"/>
    <s v="DPMPTSP SUMBAWA BARAT"/>
    <s v="ODP-TET-FAF/55"/>
    <s v="WO065485056"/>
    <m/>
    <m/>
    <m/>
    <n v="118.66843733347299"/>
    <n v="-8.6908476808720998"/>
    <s v="DGS HSI | ADI HERMANTO | 403209 | | TREG 3 |DPMPTSP SUMBAWA BARAT | Mujiburrahman| 81237165084|100Mbps  "/>
    <s v="Amex"/>
    <m/>
    <m/>
    <m/>
    <m/>
    <m/>
    <m/>
    <m/>
    <m/>
    <s v="Management Janji"/>
    <s v="AO"/>
    <s v="FCC"/>
    <d v="2026-01-10T13:25:24"/>
    <m/>
    <s v="Kendala Lainnya"/>
    <s v="FO_WFM"/>
    <s v="BIMA BARAT"/>
    <s v="NO ADDON"/>
    <m/>
    <s v="Provisioning Failed|WFM|INF009601801|ket pelurusan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7:00:00"/>
    <s v="AO"/>
    <m/>
    <m/>
    <m/>
    <e v="#NUM!"/>
    <e v="#NUM!"/>
    <x v="0"/>
    <x v="2"/>
  </r>
  <r>
    <n v="31"/>
    <n v="1002617802"/>
    <n v="3"/>
    <x v="0"/>
    <n v="5"/>
    <s v="MATARAM"/>
    <s v="BIMA"/>
    <s v="TET"/>
    <s v="DGS"/>
    <s v="AO"/>
    <s v="NEW SALES"/>
    <m/>
    <s v="Completed (PS)"/>
    <s v="DGS-Government Defense Service"/>
    <d v="2026-10-01T13:09:08"/>
    <d v="2026-10-01T16:20:43"/>
    <n v="69283220"/>
    <m/>
    <n v="172616790517"/>
    <s v="Polsek Langgudu BIMA KOTA"/>
    <s v="ODP-TET-FAF/55"/>
    <s v="WO065489618"/>
    <m/>
    <m/>
    <m/>
    <n v="118.669531120787"/>
    <n v="-8.6907218146498106"/>
    <s v="AO | DGS HSI | MARLINTIKA | 940162 | TREG 3 | POLSEK LANGGUDU| 82247061770|AO HSI 1S INET ONLY 50MBPS"/>
    <s v="Account Manager"/>
    <m/>
    <m/>
    <m/>
    <m/>
    <m/>
    <m/>
    <m/>
    <m/>
    <s v="Management Janji"/>
    <s v="AO"/>
    <s v="FCC"/>
    <d v="2026-01-10T13:25:24"/>
    <m/>
    <m/>
    <s v="PS"/>
    <s v="BIMA BARAT"/>
    <s v="NO ADDON"/>
    <n v="20261001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AO"/>
    <n v="2026"/>
    <n v="10"/>
    <n v="1"/>
    <d v="2026-10-01T00:00:00"/>
    <n v="20726.708333333332"/>
    <x v="2"/>
    <x v="2"/>
  </r>
  <r>
    <n v="32"/>
    <n v="1002620771"/>
    <n v="3"/>
    <x v="0"/>
    <n v="5"/>
    <s v="MATARAM"/>
    <s v="BIMA"/>
    <s v="DMP"/>
    <s v="REG"/>
    <s v="AO"/>
    <s v="NEW SALES"/>
    <m/>
    <s v="OSS - FALLOUT"/>
    <s v="RBS-Regional 3"/>
    <d v="2026-10-03T09:30:01"/>
    <d v="2026-10-04T23:40:34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FO_ASAP"/>
    <s v="DOMPU"/>
    <s v="NO ADDON"/>
    <m/>
    <s v="Provisioning Failed|ACTIVATION|INF009649461|U31_PORT_NOT_FOUND:ServicePort Not Found / ONT Connectivity is Missing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33"/>
    <n v="1002620781"/>
    <n v="3"/>
    <x v="0"/>
    <n v="5"/>
    <s v="MATARAM"/>
    <s v="BIMA"/>
    <s v="DMP"/>
    <s v="DGS"/>
    <s v="AO"/>
    <s v="NEW SALES"/>
    <m/>
    <s v="Completed (PS)"/>
    <s v="DGS-B2B TREG"/>
    <d v="2026-10-03T09:34:59"/>
    <d v="2026-10-03T14:03:49"/>
    <n v="69399747"/>
    <m/>
    <n v="172611786497"/>
    <s v="BPKAD 3 ANGGARAN"/>
    <s v="ODP-DMP-FAE/27"/>
    <s v="WO065629142"/>
    <m/>
    <m/>
    <m/>
    <n v="118.463866803789"/>
    <n v="-8.5354537662657801"/>
    <s v="DGS HSI |TREG 3 | IRAWATI | 960251| LBPKAD 3 ANGGARAN|82339765925|Indibiz 75Mbps "/>
    <s v="Account Manager"/>
    <m/>
    <m/>
    <m/>
    <m/>
    <m/>
    <m/>
    <m/>
    <m/>
    <s v="Management Janji"/>
    <s v="call by phone"/>
    <s v="FCC"/>
    <d v="2026-03-10T09:40:05"/>
    <m/>
    <m/>
    <s v="PS"/>
    <s v="DOMPU"/>
    <s v="NO ADDON"/>
    <n v="20261003"/>
    <s v="Completed"/>
    <s v="- 11_11450;Biaya PSB Reguler HSI EBIS ~ 11[150000]  - E23015;E23015 ~ ES23 - Perangkat ONT[0]  - E23015~null~44292;E23015||11||Abodemen 0[0]  - E23015~null~E23015_SWONT;SWONT ~ Biaya Sewa ONT ~ E23015[30000]  - E24057;E24057 ~ ES24 - Paket HSI Bisnis (HSI"/>
    <s v="INDIBIZ"/>
    <m/>
    <m/>
    <d v="1970-01-01T07:00:00"/>
    <s v="call by phone"/>
    <n v="2026"/>
    <n v="10"/>
    <n v="3"/>
    <d v="2026-10-03T00:00:00"/>
    <n v="20728.708333333332"/>
    <x v="2"/>
    <x v="2"/>
  </r>
  <r>
    <n v="34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35"/>
    <n v="1002616833"/>
    <n v="3"/>
    <x v="0"/>
    <n v="5"/>
    <s v="MATARAM"/>
    <s v="SUMBAWA"/>
    <s v="SBW"/>
    <s v="REG"/>
    <s v="AO"/>
    <s v="NEW SALES"/>
    <s v="1P INET"/>
    <s v="100 | REVOKE COMPLETED"/>
    <s v="RBS-Regional 3"/>
    <d v="2026-10-01T07:53:41"/>
    <d v="2026-10-03T12:31:21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Revoke Completed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36"/>
    <n v="1002619632"/>
    <n v="3"/>
    <x v="0"/>
    <n v="5"/>
    <s v="MATARAM"/>
    <s v="SUMBAWA"/>
    <s v="SBW"/>
    <s v="REG"/>
    <s v="AO"/>
    <s v="NEW SALES"/>
    <s v="1P INET"/>
    <s v="7 | OSS - PROVISIONING ISSUED"/>
    <s v="RBS-Regional 3"/>
    <d v="2026-10-02T11:58:35"/>
    <d v="2026-10-03T11:13:38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I"/>
    <s v="X"/>
    <s v="NETMONK"/>
    <m/>
    <s v="Provisioning Issued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37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38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39"/>
    <n v="1002617056"/>
    <n v="3"/>
    <x v="0"/>
    <n v="5"/>
    <s v="MATARAM"/>
    <s v="SUMBAWA"/>
    <s v="MLK"/>
    <s v="DPS"/>
    <s v="AO"/>
    <s v="NEW SALES"/>
    <m/>
    <s v="OSS - PROVISIONING START"/>
    <s v="DPS-Property &amp; Resources"/>
    <d v="2026-10-01T09:21:53"/>
    <d v="2026-10-01T09:24:30"/>
    <n v="69402043"/>
    <m/>
    <n v="172608206609"/>
    <s v="AMNT Townsite 2 A19"/>
    <s v="ODP-MLK-FAG/31"/>
    <s v="WO065463499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25:42"/>
    <m/>
    <m/>
    <s v="PRE_PI"/>
    <s v="SUMBAWA BARAT"/>
    <s v="NO ADDON"/>
    <m/>
    <s v="Provisioning Start"/>
    <s v="- 11_11450;Biaya PSB Reguler HSI EBIS ~ 11[500000]  - 11_70522;Biaya PSB Reguler IPTV EBIS ~ 11[100000]  - SP_NOSS;SP_NOSS ~ Internet NOSS Multispeed Network[0]  - E23015;E23015 ~ ES23 - Perangkat ONT[0]  - E23015~null~44292;E23015||11||Abodemen 0[0]  - E"/>
    <s v="INDIBIZ"/>
    <m/>
    <m/>
    <d v="2026-10-01T12:00:00"/>
    <s v="AO"/>
    <m/>
    <m/>
    <m/>
    <e v="#NUM!"/>
    <e v="#NUM!"/>
    <x v="0"/>
    <x v="3"/>
  </r>
  <r>
    <n v="40"/>
    <n v="1002617103"/>
    <n v="3"/>
    <x v="0"/>
    <n v="5"/>
    <s v="MATARAM"/>
    <s v="SUMBAWA"/>
    <s v="MLK"/>
    <s v="DPS"/>
    <s v="AO"/>
    <s v="NEW SALES"/>
    <m/>
    <s v="OSS - PROVISIONING START"/>
    <s v="DPS-Property &amp; Resources"/>
    <d v="2026-10-01T09:33:21"/>
    <d v="2026-10-01T09:36:45"/>
    <n v="69402079"/>
    <m/>
    <n v="172608206612"/>
    <s v="AMNT Townsite 2 A21"/>
    <s v="ODP-MLK-FAG/31"/>
    <s v="WO065464382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RE_PI"/>
    <s v="SUMBAWA BARAT"/>
    <s v="NO ADDON"/>
    <m/>
    <s v="Provisioning Start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1T12:00:00"/>
    <s v="AO"/>
    <m/>
    <m/>
    <m/>
    <e v="#NUM!"/>
    <e v="#NUM!"/>
    <x v="0"/>
    <x v="3"/>
  </r>
  <r>
    <n v="41"/>
    <n v="1002617179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49:16"/>
    <d v="2026-10-01T09:53:27"/>
    <n v="69402114"/>
    <m/>
    <n v="172608206614"/>
    <s v="AMNT Townsite 2 A23"/>
    <s v="ODP-MLK-FAG/31"/>
    <s v="WO065465704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E26018;E26018 ~ ES26 - Paket SBR HSI Bisnis Basic PT AMNT Bundling IPTV[0]  - E26018~null~E"/>
    <s v="INDIBIZ"/>
    <m/>
    <m/>
    <d v="2026-10-01T12:00:00"/>
    <s v="AO"/>
    <m/>
    <m/>
    <m/>
    <e v="#NUM!"/>
    <e v="#NUM!"/>
    <x v="0"/>
    <x v="3"/>
  </r>
  <r>
    <n v="42"/>
    <n v="1002617083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28:46"/>
    <d v="2026-10-01T09:32:02"/>
    <n v="69402090"/>
    <m/>
    <n v="172608206611"/>
    <s v="AMNT Townsite 2 A20"/>
    <s v="ODP-MLK-FAG/31"/>
    <s v="WO065464015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30:00"/>
    <s v="AO"/>
    <m/>
    <m/>
    <m/>
    <e v="#NUM!"/>
    <e v="#NUM!"/>
    <x v="0"/>
    <x v="3"/>
  </r>
  <r>
    <n v="43"/>
    <n v="1002617153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43:59"/>
    <d v="2026-10-01T09:47:39"/>
    <n v="69402099"/>
    <m/>
    <n v="172608206613"/>
    <s v="AMNT Townsite 2 A22"/>
    <s v="ODP-MLK-FAG/31"/>
    <s v="WO065465247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55:47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00:00"/>
    <s v="AO"/>
    <m/>
    <m/>
    <m/>
    <e v="#NUM!"/>
    <e v="#NUM!"/>
    <x v="0"/>
    <x v="3"/>
  </r>
  <r>
    <n v="44"/>
    <n v="1002617207"/>
    <n v="3"/>
    <x v="0"/>
    <n v="5"/>
    <s v="MATARAM"/>
    <s v="SUMBAWA"/>
    <s v="MLK"/>
    <s v="DPS"/>
    <s v="AO"/>
    <s v="NEW SALES"/>
    <m/>
    <s v="7 | OSS - PROVISIONING ISSUED"/>
    <s v="DPS-Property &amp; Resources"/>
    <d v="2026-10-01T09:55:06"/>
    <d v="2026-10-01T10:00:00"/>
    <n v="69402119"/>
    <m/>
    <n v="172608206615"/>
    <s v="AMNT Townsite 2 A24"/>
    <s v="ODP-MLK-FAG/31"/>
    <s v="WO065466303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10:25:19"/>
    <m/>
    <m/>
    <s v="PI"/>
    <s v="SUMBAWA BARAT"/>
    <s v="NO ADDON"/>
    <m/>
    <s v="Provisioning Issu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1T12:00:00"/>
    <s v="AO"/>
    <m/>
    <m/>
    <m/>
    <e v="#NUM!"/>
    <e v="#NUM!"/>
    <x v="0"/>
    <x v="3"/>
  </r>
  <r>
    <n v="45"/>
    <n v="1002616958"/>
    <n v="3"/>
    <x v="0"/>
    <n v="5"/>
    <s v="MATARAM"/>
    <s v="SUMBAWA"/>
    <s v="MLK"/>
    <s v="DPS"/>
    <s v="AO"/>
    <s v="NEW SALES"/>
    <m/>
    <s v="Completed (PS)"/>
    <s v="DPS-Property &amp; Resources"/>
    <d v="2026-10-01T08:53:43"/>
    <d v="2026-10-01T14:52:10"/>
    <n v="69402054"/>
    <m/>
    <n v="172608206279"/>
    <s v="AMNT Townsite 2 A18"/>
    <s v="ODP-MLK-FAG/31"/>
    <s v="WO065461637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09:25:42"/>
    <m/>
    <m/>
    <s v="PS"/>
    <s v="SUMBAWA BARAT"/>
    <s v="NO ADDON"/>
    <n v="20261001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1T12:00:00"/>
    <s v="AO"/>
    <n v="2026"/>
    <n v="10"/>
    <n v="1"/>
    <d v="2026-10-01T00:00:00"/>
    <n v="-0.5"/>
    <x v="1"/>
    <x v="3"/>
  </r>
  <r>
    <n v="46"/>
    <n v="1002617767"/>
    <n v="3"/>
    <x v="0"/>
    <n v="5"/>
    <s v="MATARAM"/>
    <s v="SUMBAWA"/>
    <s v="MLK"/>
    <s v="DPS"/>
    <s v="AO"/>
    <s v="NEW SALES"/>
    <m/>
    <s v="Completed (PS)"/>
    <s v="DPS-Property &amp; Resources"/>
    <d v="2026-10-01T12:49:02"/>
    <d v="2026-10-01T15:20:34"/>
    <n v="69378495"/>
    <m/>
    <n v="172608206621"/>
    <s v="AMNT Townsite 2 D37"/>
    <s v="ODP-MLK-FAG/20"/>
    <s v="WO065487433"/>
    <m/>
    <m/>
    <m/>
    <n v="116.76269499999999"/>
    <n v="-8.9959889999999998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1-10T13:25:24"/>
    <m/>
    <m/>
    <s v="PS"/>
    <s v="SUMBAWA BARAT"/>
    <s v="NO ADDON"/>
    <n v="20261001"/>
    <s v="Completed"/>
    <s v="- 11_11450;Biaya PSB Reguler HSI EBIS ~ 11[500000]  - 11_70522;Biaya PSB Reguler IPTV EBIS ~ 11[100000]  - E23055;E23055 ~ ES23 - Paket HSI Bisnis Basic Bundling IPTV (USEE)[0]  - E23055~null~E23055_USEE_HD;USEE_HD ~ USEE HD ~ E23055[0]  - E23055~null~448"/>
    <s v="INDIBIZ"/>
    <m/>
    <m/>
    <d v="1970-01-01T07:00:00"/>
    <s v="AO"/>
    <n v="2026"/>
    <n v="10"/>
    <n v="1"/>
    <d v="2026-10-01T00:00:00"/>
    <n v="20726.708333333332"/>
    <x v="2"/>
    <x v="3"/>
  </r>
  <r>
    <n v="47"/>
    <n v="1002617248"/>
    <n v="3"/>
    <x v="0"/>
    <n v="5"/>
    <s v="MATARAM"/>
    <s v="SUMBAWA"/>
    <s v="MLK"/>
    <s v="DPS"/>
    <s v="AO"/>
    <s v="NEW SALES"/>
    <m/>
    <s v="Completed (PS)"/>
    <s v="DPS-Property &amp; Resources"/>
    <d v="2026-10-01T10:04:18"/>
    <d v="2026-10-02T18:59:59"/>
    <n v="69395639"/>
    <m/>
    <n v="172608206616"/>
    <s v="AMNT Townsite 2 A16"/>
    <s v="ODP-MLK-FAG/32"/>
    <s v="WO065467270"/>
    <m/>
    <m/>
    <m/>
    <n v="116.7583703"/>
    <n v="-8.9897934999999993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1-10T10:25:19"/>
    <m/>
    <m/>
    <s v="PS"/>
    <s v="SUMBAWA BARAT"/>
    <s v="NO ADDON"/>
    <n v="20261002"/>
    <s v="Completed"/>
    <s v="- 11_11450;Biaya PSB Reguler HSI EBIS ~ 11[500000]  - 11_70522;Biaya PSB Reguler IPTV EBIS ~ 11[100000]  - E24052;E24052 ~ ES24 - Perangkat STB Tsel[0]  - E24052~null~103738;E24052||11||Abodemen 0[0]  - E24052~null~E24052_SWSTBHYBRD;SWSTBHYBRD ~ Biaya Sew"/>
    <s v="INDIBIZ"/>
    <m/>
    <m/>
    <d v="1970-01-01T07:00:00"/>
    <s v="AO"/>
    <n v="2026"/>
    <n v="10"/>
    <n v="2"/>
    <d v="2026-10-02T00:00:00"/>
    <n v="20727.708333333332"/>
    <x v="2"/>
    <x v="3"/>
  </r>
  <r>
    <n v="48"/>
    <n v="1002617432"/>
    <n v="3"/>
    <x v="0"/>
    <n v="5"/>
    <s v="MATARAM"/>
    <s v="SUMBAWA"/>
    <s v="MLK"/>
    <s v="DPS"/>
    <s v="AO"/>
    <s v="NEW SALES"/>
    <m/>
    <s v="Completed (PS)"/>
    <s v="DPS-Property &amp; Resources"/>
    <d v="2026-10-01T10:45:21"/>
    <d v="2026-10-01T16:54:37"/>
    <n v="69378525"/>
    <m/>
    <n v="172608206619"/>
    <s v="AMNT Townsite 2 D39"/>
    <s v="ODP-MLK-FAG/20"/>
    <s v="WO065471910"/>
    <m/>
    <m/>
    <m/>
    <n v="116.76269499999999"/>
    <n v="-8.9959889999999998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1-10T11:40:20"/>
    <m/>
    <m/>
    <s v="PS"/>
    <s v="SUMBAWA BARAT"/>
    <s v="NO ADDON"/>
    <n v="20261001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1"/>
    <d v="2026-10-01T00:00:00"/>
    <n v="20726.708333333332"/>
    <x v="2"/>
    <x v="3"/>
  </r>
  <r>
    <n v="49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50"/>
    <n v="1002619460"/>
    <n v="3"/>
    <x v="0"/>
    <n v="5"/>
    <s v="MATARAM"/>
    <s v="SUMBAWA"/>
    <s v="MLK"/>
    <s v="DPS"/>
    <s v="AO"/>
    <s v="NEW SALES"/>
    <m/>
    <s v="Completed (PS)"/>
    <s v="DPS-Property &amp; Resources"/>
    <d v="2026-10-02T11:01:45"/>
    <d v="2026-10-02T18:17:07"/>
    <n v="69395644"/>
    <m/>
    <n v="172608206627"/>
    <s v="AMNT Townsite 2 A17"/>
    <s v="ODP-MLK-FAG/32"/>
    <s v="WO065559098"/>
    <m/>
    <m/>
    <m/>
    <n v="116.760835747421"/>
    <n v="-8.9905055807090104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1:11:07"/>
    <m/>
    <m/>
    <s v="PS"/>
    <s v="SUMBAWA BARAT"/>
    <s v="NO ADDON"/>
    <n v="20261002"/>
    <s v="Completed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n v="2026"/>
    <n v="10"/>
    <n v="2"/>
    <d v="2026-10-02T00:00:00"/>
    <n v="20727.708333333332"/>
    <x v="2"/>
    <x v="3"/>
  </r>
  <r>
    <n v="51"/>
    <n v="1002619176"/>
    <n v="3"/>
    <x v="0"/>
    <n v="5"/>
    <s v="MATARAM"/>
    <s v="SUMBAWA"/>
    <s v="MLK"/>
    <s v="DPS"/>
    <s v="AO"/>
    <s v="NEW SALES"/>
    <m/>
    <s v="Completed (PS)"/>
    <s v="DPS-Property &amp; Resources"/>
    <d v="2026-10-02T09:42:31"/>
    <d v="2026-10-02T18:29:36"/>
    <n v="69402793"/>
    <m/>
    <n v="172608206625"/>
    <s v="AMNT Townsite 2 D21"/>
    <s v="ODP-MLK-FAG/14"/>
    <s v="WO065549018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0:10:27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00:00"/>
    <s v="AO"/>
    <n v="2026"/>
    <n v="10"/>
    <n v="2"/>
    <d v="2026-10-02T00:00:00"/>
    <n v="-0.5"/>
    <x v="1"/>
    <x v="3"/>
  </r>
  <r>
    <n v="52"/>
    <n v="1002619196"/>
    <n v="3"/>
    <x v="0"/>
    <n v="5"/>
    <s v="MATARAM"/>
    <s v="SUMBAWA"/>
    <s v="MLK"/>
    <s v="DPS"/>
    <s v="AO"/>
    <s v="NEW SALES"/>
    <m/>
    <s v="Completed (PS)"/>
    <s v="DPS-Property &amp; Resources"/>
    <d v="2026-10-02T09:49:09"/>
    <d v="2026-10-02T18:34:07"/>
    <n v="69402820"/>
    <m/>
    <n v="172608206626"/>
    <s v="AMNT Townsite 2 D22"/>
    <s v="ODP-MLK-FAG/14"/>
    <s v="WO06554987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10:10:27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6018;E26018 ~ ES26 - Paket SBR H"/>
    <s v="INDIBIZ"/>
    <m/>
    <m/>
    <d v="2026-10-02T12:00:00"/>
    <s v="AO"/>
    <n v="2026"/>
    <n v="10"/>
    <n v="2"/>
    <d v="2026-10-02T00:00:00"/>
    <n v="-0.5"/>
    <x v="1"/>
    <x v="3"/>
  </r>
  <r>
    <n v="53"/>
    <n v="1002619125"/>
    <n v="3"/>
    <x v="0"/>
    <n v="5"/>
    <s v="MATARAM"/>
    <s v="SUMBAWA"/>
    <s v="MLK"/>
    <s v="DPS"/>
    <s v="AO"/>
    <s v="NEW SALES"/>
    <m/>
    <s v="Completed (PS)"/>
    <s v="DPS-Property &amp; Resources"/>
    <d v="2026-10-02T09:26:35"/>
    <d v="2026-10-02T18:06:34"/>
    <n v="69402775"/>
    <m/>
    <n v="172608206623"/>
    <s v="AMNT Townsite 2 D19"/>
    <s v="ODP-MLK-FAG/14"/>
    <s v="WO065547396"/>
    <m/>
    <m/>
    <m/>
    <n v="116.76269499999999"/>
    <n v="-8.9959889999999998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09:40:29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00:00"/>
    <s v="AO"/>
    <n v="2026"/>
    <n v="10"/>
    <n v="2"/>
    <d v="2026-10-02T00:00:00"/>
    <n v="-0.5"/>
    <x v="1"/>
    <x v="3"/>
  </r>
  <r>
    <n v="54"/>
    <n v="1002619151"/>
    <n v="3"/>
    <x v="0"/>
    <n v="5"/>
    <s v="MATARAM"/>
    <s v="SUMBAWA"/>
    <s v="MLK"/>
    <s v="DPS"/>
    <s v="AO"/>
    <s v="NEW SALES"/>
    <m/>
    <s v="Completed (PS)"/>
    <s v="DPS-Property &amp; Resources"/>
    <d v="2026-10-02T09:35:30"/>
    <d v="2026-10-02T18:32:17"/>
    <n v="69402805"/>
    <m/>
    <n v="172608206624"/>
    <s v="AMNT Townsite 2 D20"/>
    <s v="ODP-MLK-FAG/14"/>
    <s v="WO065548259"/>
    <m/>
    <m/>
    <m/>
    <n v="116.764054231421"/>
    <n v="-8.9956834331392805"/>
    <s v="DSS HSI | WILHELMI A IDRIS | 970167 | TREG 3 | AMNT Townsite |SYAHRUL ALQADRI| 081237399497 | PSB 2P INET TV 20MBPS"/>
    <s v="Account Manager"/>
    <m/>
    <m/>
    <m/>
    <m/>
    <m/>
    <m/>
    <m/>
    <m/>
    <s v="Management Janji"/>
    <s v="AO"/>
    <s v="FCC"/>
    <d v="2026-02-10T09:40:29"/>
    <m/>
    <m/>
    <s v="PS"/>
    <s v="SUMBAWA BARAT"/>
    <s v="NO ADDON"/>
    <n v="20261002"/>
    <s v="Completed"/>
    <s v="- 11_11450;Biaya PSB Reguler HSI EBIS ~ 11[500000]  - 11_70522;Biaya PSB Reguler IPTV EBIS ~ 11[100000]  - SP_NOSS;SP_NOSS ~ Internet NOSS Multispeed Network[0]  - SP_NOSS;SP_NOSS ~ Internet NOSS Multispeed Network[0]  - E23015;E23015 ~ ES23 - Perangkat O"/>
    <s v="INDIBIZ"/>
    <m/>
    <m/>
    <d v="2026-10-02T12:30:00"/>
    <s v="AO"/>
    <n v="2026"/>
    <n v="10"/>
    <n v="2"/>
    <d v="2026-10-02T00:00:00"/>
    <n v="-0.52083333333575865"/>
    <x v="1"/>
    <x v="3"/>
  </r>
  <r>
    <n v="55"/>
    <n v="1002619832"/>
    <n v="3"/>
    <x v="0"/>
    <n v="5"/>
    <s v="MATARAM"/>
    <s v="SUMBAWA"/>
    <s v="MLK"/>
    <s v="DPS"/>
    <s v="AO"/>
    <s v="NEW SALES"/>
    <m/>
    <s v="8 | OSS - PONR"/>
    <s v="DPS-Property &amp; Resources"/>
    <d v="2026-10-02T13:40:37"/>
    <d v="2026-10-02T15:25:46"/>
    <n v="69378432"/>
    <m/>
    <n v="172608206282"/>
    <s v="AMNT Townsite 2 D34"/>
    <s v="ODP-MLK-FAG/19"/>
    <s v="WO065575896"/>
    <m/>
    <m/>
    <m/>
    <n v="116.764054231421"/>
    <n v="-8.9956834331392805"/>
    <s v="DSS HSI | WILHELMI A IDRIS | 970167 | TREG 3 | AMNT TOWNSITE|SYAHRUL ALQADRI| 081237399497 | PSB 2P INET TV 20MBPS"/>
    <s v="Account Manager"/>
    <m/>
    <m/>
    <m/>
    <m/>
    <m/>
    <m/>
    <m/>
    <m/>
    <s v="Management Janji"/>
    <s v="AO"/>
    <s v="FCC"/>
    <d v="2026-02-10T13:55:23"/>
    <m/>
    <m/>
    <s v="ACT_COM"/>
    <s v="SUMBAWA BARAT"/>
    <s v="NO ADDON"/>
    <m/>
    <s v="PONR"/>
    <s v="- 11_11450;Biaya PSB Reguler HSI EBIS ~ 11[500000]  - 11_70522;Biaya PSB Reguler IPTV EBIS ~ 11[100000]  - E23015;E23015 ~ ES23 - Perangkat ONT[0]  - E23015~null~44292;E23015||11||Abodemen 0[0]  - E23015~null~E23015_SWONT;SWONT ~ Biaya Sewa ONT ~ E23015[3"/>
    <s v="INDIBIZ"/>
    <m/>
    <m/>
    <d v="1970-01-01T07:00:00"/>
    <s v="AO"/>
    <m/>
    <m/>
    <m/>
    <e v="#NUM!"/>
    <e v="#NUM!"/>
    <x v="0"/>
    <x v="3"/>
  </r>
  <r>
    <n v="56"/>
    <n v="1002617049"/>
    <n v="3"/>
    <x v="0"/>
    <n v="5"/>
    <s v="MATARAM"/>
    <s v="SUMBAWA"/>
    <s v="TLW"/>
    <s v="DGS"/>
    <s v="AO"/>
    <s v="NEW SALES"/>
    <m/>
    <s v="Completed (PS)"/>
    <s v="DGS-B2B TREG"/>
    <d v="2026-10-01T09:20:19"/>
    <d v="2026-10-01T17:33:12"/>
    <n v="69397628"/>
    <m/>
    <n v="172610203823"/>
    <s v="DPMPTSP SUMBAWA BARAT"/>
    <s v="ODP-TLW-FA/05"/>
    <s v="WO065463392"/>
    <m/>
    <m/>
    <m/>
    <n v="116.85493630000001"/>
    <n v="-8.7518650999999998"/>
    <s v="DGS HSI | ADI HERMANTO | 403209 | | TREG 3 |DPMPTSP SUMBAWA BARAT | Mujiburrahman| 81237165084|100Mbps  "/>
    <s v="Amex"/>
    <m/>
    <m/>
    <m/>
    <m/>
    <m/>
    <m/>
    <m/>
    <m/>
    <s v="Management Janji"/>
    <s v="AO"/>
    <s v="FCC"/>
    <d v="2026-01-10T09:25:42"/>
    <m/>
    <m/>
    <s v="PS"/>
    <s v="SUMBAWA BARAT"/>
    <s v="NO ADDON"/>
    <n v="20261001"/>
    <s v="Completed"/>
    <s v="- 11_11450;Biaya PSB Reguler HSI EBIS ~ 11[150000]  - E24057;E24057 ~ ES24 - Paket HSI Bisnis (HSIE) Khusus Winback[0]  - E24057~null~E24057_UNL;UNL ~ Internet-Link Unlimited Internet Usage ~ E24057[0]  - E24057~null~103818;E24057||11||Abodemen 0[0]  - E2"/>
    <s v="INDIBIZ"/>
    <m/>
    <m/>
    <d v="1970-01-01T07:00:00"/>
    <s v="AO"/>
    <n v="2026"/>
    <n v="10"/>
    <n v="1"/>
    <d v="2026-10-01T00:00:00"/>
    <n v="20726.708333333332"/>
    <x v="2"/>
    <x v="3"/>
  </r>
  <r>
    <n v="57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58"/>
    <n v="1002618893"/>
    <n v="3"/>
    <x v="1"/>
    <n v="5"/>
    <s v="MALANG"/>
    <s v="KEPANJEN"/>
    <s v="DPT"/>
    <s v="REG"/>
    <s v="AO"/>
    <s v="NEW SALES"/>
    <s v="1P INET"/>
    <s v="MIA - INVALID SURVEY"/>
    <s v="RBS-Regional 3"/>
    <d v="2026-10-02T08:04:40"/>
    <d v="2026-10-03T05:22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SURVEY_NEW_MANJA"/>
    <s v="TUREN"/>
    <s v="NO ADDON"/>
    <m/>
    <s v="MIE - INVALID SURVEY - Kendala Jalur/Rute Tarikan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59"/>
    <n v="1002621409"/>
    <n v="3"/>
    <x v="1"/>
    <n v="5"/>
    <s v="MALANG"/>
    <s v="KEPANJEN"/>
    <s v="GDI"/>
    <s v="REG"/>
    <s v="AO"/>
    <s v="NEW SALES"/>
    <s v="1P INET"/>
    <s v="MIA - INVALID SURVEY"/>
    <s v="RBS-Regional 3"/>
    <d v="2026-10-04T14:01:36"/>
    <d v="2026-10-05T05:24:46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SURVEY_NEW_MANJA"/>
    <s v="TUREN"/>
    <s v="NO ADDON"/>
    <m/>
    <s v="MIE - INVALID SURVEY - Kendala Jalur/Rute Tarikan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m/>
    <m/>
    <m/>
    <e v="#NUM!"/>
    <e v="#NUM!"/>
    <x v="0"/>
    <x v="4"/>
  </r>
  <r>
    <n v="60"/>
    <n v="1002619454"/>
    <n v="3"/>
    <x v="1"/>
    <n v="5"/>
    <s v="MALANG"/>
    <s v="KEPANJEN"/>
    <s v="TUR"/>
    <s v="REG"/>
    <s v="AO"/>
    <s v="NEW SALES"/>
    <m/>
    <s v="MIA - INVALID SURVEY"/>
    <s v="RBS-Regional 3"/>
    <d v="2026-10-02T11:02:20"/>
    <d v="2026-10-05T05:22:52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SURVEY_NEW_MANJA"/>
    <s v="TURE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m/>
    <m/>
    <m/>
    <e v="#NUM!"/>
    <e v="#NUM!"/>
    <x v="0"/>
    <x v="4"/>
  </r>
  <r>
    <n v="61"/>
    <n v="1002621501"/>
    <n v="3"/>
    <x v="1"/>
    <n v="5"/>
    <s v="MALANG"/>
    <s v="KEPANJEN"/>
    <s v="GDG"/>
    <s v="REG"/>
    <s v="AO"/>
    <s v="NEW SALES"/>
    <s v="1P INET"/>
    <s v="MIE - SEND SURVEY"/>
    <s v="RBS-Regional 3"/>
    <d v="2026-10-04T17:50:50"/>
    <d v="2026-10-04T17:52:06"/>
    <n v="69403990"/>
    <m/>
    <n v="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SURVEY_NEW_MANJA"/>
    <s v="KLOJEN"/>
    <s v="NO ADDON"/>
    <m/>
    <s v="MIE - SEND SURVEY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m/>
    <m/>
    <m/>
    <e v="#NUM!"/>
    <e v="#NUM!"/>
    <x v="0"/>
    <x v="4"/>
  </r>
  <r>
    <n v="62"/>
    <n v="1002620164"/>
    <n v="3"/>
    <x v="1"/>
    <n v="5"/>
    <s v="MALANG"/>
    <s v="KEPANJEN"/>
    <s v="KEP"/>
    <s v="REG"/>
    <s v="AO"/>
    <s v="NEW SALES"/>
    <m/>
    <s v="MYDITA RBS - HD1A - FAILED"/>
    <s v="RBS-Regional 3"/>
    <d v="2026-10-02T15:07:44"/>
    <d v="2026-10-04T10:17:01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0:00:00"/>
    <m/>
    <m/>
    <s v="KEPANJEN"/>
    <s v="NO ADDON"/>
    <m/>
    <s v="MYDITA RBS - HD1A - FAIL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63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64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65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66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67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68"/>
    <n v="1002620453"/>
    <n v="3"/>
    <x v="1"/>
    <n v="5"/>
    <s v="MALANG"/>
    <s v="BATU"/>
    <s v="KPO"/>
    <s v="REG"/>
    <s v="AO"/>
    <s v="NEW SALES"/>
    <m/>
    <s v="MIA - INVALID SURVEY"/>
    <s v="RBS-Regional 3"/>
    <d v="2026-10-02T16:34:53"/>
    <d v="2026-10-05T05:23:2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m/>
    <s v="SURVEY_NEW_MANJA"/>
    <s v="KARANGPL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69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70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71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72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73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74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75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76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77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78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79"/>
    <n v="1002621375"/>
    <n v="3"/>
    <x v="1"/>
    <n v="5"/>
    <s v="KEDIRI"/>
    <s v="TULUNGAGUNG"/>
    <s v="TUL"/>
    <s v="REG"/>
    <s v="AO"/>
    <s v="NEW SALES"/>
    <s v="1P INET"/>
    <s v="MIA - INVALID SURVEY"/>
    <s v="RBS-Regional 3"/>
    <d v="2026-10-04T12:58:40"/>
    <d v="2026-10-05T05:24:19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SURVEY_NEW_MANJA"/>
    <s v="TULUNGAGUNG"/>
    <s v="NO ADDON"/>
    <m/>
    <s v="MIE - INVALID SURVEY - Kendala Jalur/Rute Tarikan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m/>
    <m/>
    <m/>
    <e v="#NUM!"/>
    <e v="#NUM!"/>
    <x v="0"/>
    <x v="6"/>
  </r>
  <r>
    <n v="80"/>
    <n v="1002620919"/>
    <n v="3"/>
    <x v="1"/>
    <n v="5"/>
    <s v="KEDIRI"/>
    <s v="TULUNGAGUNG"/>
    <s v="TUL"/>
    <s v="REG"/>
    <s v="AO"/>
    <s v="NEW SALES"/>
    <m/>
    <s v="QC MIA - INVALID QUALITY CONTROL MIA"/>
    <s v="RBS-Regional 3"/>
    <d v="2026-10-03T12:12:24"/>
    <d v="2026-10-04T16:04:59"/>
    <n v="69403543"/>
    <m/>
    <n v="152606246690"/>
    <s v="EDO GAMMING"/>
    <s v="ODP-TUL-FV/10"/>
    <m/>
    <m/>
    <m/>
    <m/>
    <n v="111.892297493252"/>
    <n v="-8.0674503695408593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QC1"/>
    <s v="TULUNGAGUNG"/>
    <s v="NO ADDON"/>
    <m/>
    <s v="QC MIA - INVALID QUALITY CONTROL MIA - Tidak Ada Lampiran Penunjang - ingin konfirmasi loksai pemasangan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6"/>
  </r>
  <r>
    <n v="81"/>
    <n v="1002621302"/>
    <n v="3"/>
    <x v="1"/>
    <n v="5"/>
    <s v="KEDIRI"/>
    <s v="TULUNGAGUNG"/>
    <s v="TUL"/>
    <s v="REG"/>
    <s v="AO"/>
    <s v="NEW SALES"/>
    <m/>
    <s v="CC - HD1A - INPROGRESS UNCONTACTED"/>
    <s v="RBS-Regional 3"/>
    <d v="2026-10-04T10:42:40"/>
    <d v="2026-10-05T08:49:10"/>
    <n v="69403845"/>
    <m/>
    <n v="152606246697"/>
    <s v="EDO RENTAL PS3"/>
    <s v="ODP-TUL-FN/42"/>
    <m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m/>
    <m/>
    <m/>
    <d v="2026-04-10T10:54:49"/>
    <m/>
    <m/>
    <s v="FCC"/>
    <s v="TULUNGAGUNG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6"/>
  </r>
  <r>
    <n v="82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83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84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85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86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87"/>
    <n v="1002619545"/>
    <n v="3"/>
    <x v="2"/>
    <n v="4"/>
    <s v="MAGELANG"/>
    <s v="MAGELANG"/>
    <s v="MGE"/>
    <s v="REG"/>
    <s v="AO"/>
    <s v="NEW SALES"/>
    <s v="1P INET"/>
    <s v="8 | OSS - PONR"/>
    <s v="RBS-Regional 3"/>
    <d v="2026-10-02T11:25:34"/>
    <d v="2026-10-04T15:27:23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ACT_COM"/>
    <s v="X"/>
    <s v="NO ADDON"/>
    <m/>
    <s v="PONR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m/>
    <m/>
    <m/>
    <e v="#NUM!"/>
    <e v="#NUM!"/>
    <x v="0"/>
    <x v="7"/>
  </r>
  <r>
    <n v="88"/>
    <n v="1002620316"/>
    <n v="3"/>
    <x v="2"/>
    <n v="4"/>
    <s v="MAGELANG"/>
    <s v="MAGELANG"/>
    <s v="MGE"/>
    <s v="REG"/>
    <s v="AO"/>
    <s v="NEW SALES"/>
    <s v="1P INET"/>
    <s v="MIE - SEND SURVEY"/>
    <s v="RBS-Regional 3"/>
    <d v="2026-10-02T15:43:39"/>
    <d v="2026-10-02T15:46:01"/>
    <n v="69403267"/>
    <m/>
    <n v="146137148332"/>
    <s v="Kantor Pemerintah Desa Sukorejo"/>
    <s v="ODP-MGE-FBL/02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SURVEY_NEW_MANJA"/>
    <s v="X"/>
    <s v="NO ADDON"/>
    <m/>
    <s v="MIE - SEND SURVEY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m/>
    <m/>
    <m/>
    <e v="#NUM!"/>
    <e v="#NUM!"/>
    <x v="0"/>
    <x v="7"/>
  </r>
  <r>
    <n v="89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90"/>
    <n v="1002619511"/>
    <n v="3"/>
    <x v="1"/>
    <n v="5"/>
    <s v="KEDIRI"/>
    <s v="KEDIRI"/>
    <s v="PAE"/>
    <s v="REG"/>
    <s v="AO"/>
    <s v="NEW SALES"/>
    <m/>
    <s v="MYCX - SEND OPEN PAPERLESS"/>
    <s v="RBS-Regional 2"/>
    <d v="2026-10-02T11:20:55"/>
    <d v="2026-10-02T11:22:06"/>
    <n v="66525052"/>
    <m/>
    <n v="152639219543"/>
    <s v="PT. BANGUN INFORMASI TEKNOLOGI"/>
    <s v="ODP-PAE-FF/21"/>
    <m/>
    <m/>
    <m/>
    <m/>
    <n v="112.185352589544"/>
    <n v="-7.7645908191612403"/>
    <s v="AMRBS;950223;ALDHIAZ;JKT OUTER;HSI Bisnis PSB 70% - 150 Mbps - (819000);CP SANDY 087778113956;billing@bnteknologi.com  "/>
    <s v="Account Manager"/>
    <m/>
    <m/>
    <m/>
    <m/>
    <m/>
    <m/>
    <m/>
    <m/>
    <m/>
    <m/>
    <m/>
    <d v="2026-02-10T11:25:24"/>
    <m/>
    <m/>
    <s v="INPROGRESS_SC"/>
    <s v="PARE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8"/>
  </r>
  <r>
    <n v="91"/>
    <n v="1002621267"/>
    <n v="3"/>
    <x v="1"/>
    <n v="5"/>
    <s v="KEDIRI"/>
    <s v="KEDIRI"/>
    <s v="WAT"/>
    <s v="REG"/>
    <s v="AO"/>
    <s v="NEW SALES"/>
    <s v="1P INET"/>
    <s v="7 | OSS - PROVISIONING ISSUED"/>
    <s v="RBS-Regional 3"/>
    <d v="2026-10-04T09:32:40"/>
    <d v="2026-10-05T08:14:45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I"/>
    <s v="PARE"/>
    <s v="NO ADDON"/>
    <m/>
    <s v="Provisioning Issu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m/>
    <m/>
    <m/>
    <e v="#NUM!"/>
    <e v="#NUM!"/>
    <x v="0"/>
    <x v="8"/>
  </r>
  <r>
    <n v="92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93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94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95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96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97"/>
    <n v="1002619175"/>
    <n v="3"/>
    <x v="1"/>
    <n v="5"/>
    <s v="KEDIRI"/>
    <s v="NGANJUK"/>
    <s v="WRJ"/>
    <s v="REG"/>
    <s v="AO"/>
    <s v="NEW SALES"/>
    <s v="1P INET"/>
    <s v="OSS - PROVISIONING START"/>
    <s v="RBS-Regional 3"/>
    <d v="2026-10-02T09:41:40"/>
    <d v="2026-10-03T08:05:08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m/>
    <s v="PRE_PI"/>
    <s v="KERTOSONO"/>
    <s v="NO ADDON"/>
    <m/>
    <s v="Provisioning Start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98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99"/>
    <n v="1002620565"/>
    <n v="3"/>
    <x v="1"/>
    <n v="5"/>
    <s v="KEDIRI"/>
    <s v="KEDIRI"/>
    <s v="KDI"/>
    <s v="REG"/>
    <s v="AO"/>
    <s v="NEW SALES"/>
    <s v="1P INET"/>
    <s v="7 | OSS - PROVISIONING ISSUED"/>
    <s v="RBS-Regional 3"/>
    <d v="2026-10-02T17:20:35"/>
    <d v="2026-10-03T15:24:15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I"/>
    <s v="X"/>
    <s v="OCA"/>
    <m/>
    <s v="Provisioning Issu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m/>
    <m/>
    <m/>
    <e v="#NUM!"/>
    <e v="#NUM!"/>
    <x v="0"/>
    <x v="8"/>
  </r>
  <r>
    <n v="100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101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102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103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104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105"/>
    <n v="1002620437"/>
    <n v="3"/>
    <x v="1"/>
    <n v="5"/>
    <s v="MADIUN"/>
    <s v="MADIUN"/>
    <s v="CRB"/>
    <s v="REG"/>
    <s v="AO"/>
    <s v="NEW SALES"/>
    <s v="1P INET"/>
    <s v="MIA - INVALID SURVEY"/>
    <s v="RBS-Regional 3"/>
    <d v="2026-10-02T16:26:41"/>
    <d v="2026-10-03T14:29:11"/>
    <n v="69403313"/>
    <m/>
    <n v="152632207563"/>
    <s v="CV. SUKSES JAYA ABADI"/>
    <s v="ODP-CRB-FK/01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s v="SURVEY_NEW_MANJA"/>
    <s v="CARUBAN"/>
    <s v="NO ADDON"/>
    <m/>
    <s v="MIE - INVALID SURVEY - Bangunan/Perangkat Pelanggan Belum Siap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106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107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108"/>
    <n v="1002620305"/>
    <n v="3"/>
    <x v="1"/>
    <n v="5"/>
    <s v="MADIUN"/>
    <s v="NGAWI"/>
    <s v="WKU"/>
    <s v="DGS"/>
    <s v="AO"/>
    <s v="NEW SALES"/>
    <m/>
    <s v="Completed (PS)"/>
    <s v="DGS-B2B TREG"/>
    <d v="2026-10-02T15:41:00"/>
    <d v="2026-10-03T18:48:46"/>
    <n v="69403241"/>
    <m/>
    <n v="152634205899"/>
    <s v="Polsek Sambungmacan"/>
    <s v="ODP-WKU-FD/49"/>
    <s v="WO065593789"/>
    <m/>
    <m/>
    <m/>
    <n v="111.13331530000001"/>
    <n v="-7.3642681000000003"/>
    <s v="DGS HSI | YASINTA DN | 896703| TREG 3 |Polsek Sambungmacan| DHONY | 085725551706 | PSB 1S  INET 50 MBPS WINBACK"/>
    <s v="Amex"/>
    <m/>
    <m/>
    <m/>
    <m/>
    <m/>
    <m/>
    <m/>
    <m/>
    <s v="Management Janji"/>
    <n v="85725551706"/>
    <s v="FCC"/>
    <d v="2026-02-10T15:55:26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3"/>
    <d v="2026-10-03T00:00:00"/>
    <n v="0.5"/>
    <x v="1"/>
    <x v="10"/>
  </r>
  <r>
    <n v="109"/>
    <n v="1002620259"/>
    <n v="3"/>
    <x v="1"/>
    <n v="5"/>
    <s v="MADIUN"/>
    <s v="PONOROGO"/>
    <s v="PON"/>
    <s v="REG"/>
    <s v="AO"/>
    <s v="NEW SALES"/>
    <s v="1P INET"/>
    <s v="OSS - PROVISIONING START"/>
    <s v="RBS-Regional 3"/>
    <d v="2026-10-02T15:26:39"/>
    <d v="2026-10-05T08:05:10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m/>
    <s v="PRE_PI"/>
    <s v="SAMBIT SUMOROTO"/>
    <s v="NO ADDON"/>
    <m/>
    <s v="Provisioning Start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110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111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112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113"/>
    <n v="1002617032"/>
    <n v="3"/>
    <x v="1"/>
    <n v="5"/>
    <s v="MADIUN"/>
    <s v="PONOROGO"/>
    <s v="PON"/>
    <s v="DGS"/>
    <s v="AO"/>
    <s v="NEW SALES"/>
    <m/>
    <s v="SIBEL - CREATE ORDER FAIL"/>
    <s v="DGS-B2B TREG"/>
    <d v="2026-10-01T09:14:02"/>
    <d v="2026-10-01T09:16:26"/>
    <n v="69402065"/>
    <m/>
    <n v="152604231176"/>
    <s v="DISBUDPARPORA PONOROGO"/>
    <s v="ODP-PON-FAE/73"/>
    <s v="WO065462992"/>
    <m/>
    <m/>
    <m/>
    <n v="111.47605009999999"/>
    <n v="-7.8642630000000002"/>
    <s v="DGS///PSB/[75MB] HSI BISNIS/Bima Hernanda 081615163775/-7.864263, 111.478625"/>
    <s v="Account Manager"/>
    <m/>
    <m/>
    <m/>
    <m/>
    <m/>
    <m/>
    <m/>
    <m/>
    <s v="Management Janji"/>
    <s v="A"/>
    <s v="FCC"/>
    <d v="2026-01-10T09:25:42"/>
    <m/>
    <m/>
    <s v="INPROGRESS_SC"/>
    <s v="SAMBIT SUMOROTO"/>
    <s v="NO ADDON"/>
    <m/>
    <s v="Error invoking service 'EAI Siebel Adapter', method 'Upsert' at step 'Upsert CA BA SA'.(SBL-BPR-00162) -- Method 'WriteRecor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20:00:00"/>
    <s v="A"/>
    <m/>
    <m/>
    <m/>
    <e v="#NUM!"/>
    <e v="#NUM!"/>
    <x v="0"/>
    <x v="11"/>
  </r>
  <r>
    <n v="114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115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116"/>
    <n v="1002619854"/>
    <n v="3"/>
    <x v="2"/>
    <n v="4"/>
    <s v="YOGYAKARTA"/>
    <s v="BANTUL"/>
    <s v="WTS"/>
    <s v="REG"/>
    <s v="AO"/>
    <s v="NEW SALES"/>
    <m/>
    <s v="MYCX - SEND OPEN PAPERLESS"/>
    <s v="RBS-Regional 2"/>
    <d v="2026-10-02T13:52:35"/>
    <d v="2026-10-02T13:54:11"/>
    <n v="66525052"/>
    <m/>
    <n v="146143118636"/>
    <s v="PT. BANGUN INFORMASI TEKNOLOGI"/>
    <s v="ODP-WTS-FBC/003"/>
    <m/>
    <m/>
    <m/>
    <m/>
    <n v="110.16062068784299"/>
    <n v="-7.86656911562498"/>
    <s v="AMRBS;950223;ALDHIAZ;JKT OUTER;HSI Bisnis PSB 70% - 150 Mbps - (819000);CP LOKASI FARHAN 0877-7819-1985  ALT SANDY 087778113956;billing@bnteknologi.com  "/>
    <s v="Account Manager"/>
    <m/>
    <m/>
    <m/>
    <m/>
    <m/>
    <m/>
    <m/>
    <m/>
    <m/>
    <m/>
    <m/>
    <d v="2026-02-10T13:55:23"/>
    <m/>
    <m/>
    <s v="INPROGRESS_SC"/>
    <s v="WATES"/>
    <s v="NO ADDON"/>
    <m/>
    <s v="SEND PAPERLESS OPEN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7"/>
  </r>
  <r>
    <n v="117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118"/>
    <n v="1002621285"/>
    <n v="3"/>
    <x v="2"/>
    <n v="4"/>
    <s v="YOGYAKARTA"/>
    <s v="GUNUNG KIDUL"/>
    <s v="WNS"/>
    <s v="REG"/>
    <s v="AO"/>
    <s v="NEW SALES"/>
    <m/>
    <s v="MIE - SEND SURVEY"/>
    <s v="RBS-Regional 3"/>
    <d v="2026-10-04T10:07:23"/>
    <d v="2026-10-05T08:16:06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SURVEY_NEW_MANJA"/>
    <s v="WON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m/>
    <m/>
    <m/>
    <e v="#NUM!"/>
    <e v="#NUM!"/>
    <x v="0"/>
    <x v="7"/>
  </r>
  <r>
    <n v="119"/>
    <n v="1002620785"/>
    <n v="3"/>
    <x v="2"/>
    <n v="4"/>
    <s v="YOGYAKARTA"/>
    <s v="SLEMAN"/>
    <s v="SMN"/>
    <s v="DGS"/>
    <s v="AO"/>
    <s v="NEW SALES"/>
    <m/>
    <s v="OSS - PROVISIONING START"/>
    <s v="DGS-B2B TREG"/>
    <d v="2026-10-03T09:36:07"/>
    <d v="2026-10-03T09:38:35"/>
    <n v="69403487"/>
    <m/>
    <n v="146133133443"/>
    <s v="Balai Pengelola Transportasi Darat"/>
    <s v="ODP-SMN-FBP/009"/>
    <s v="WO065629223"/>
    <m/>
    <m/>
    <m/>
    <n v="110.324047180145"/>
    <n v="-7.6460405727276104"/>
    <s v="DGS HSI | RORI PRIHANTORO | NIK 40870570 | TREG 3 | Balai Pengelola Transportasi Darat PSB INDIBIZ 1S BISNIS 100MBPS | RIAN | 85270997061"/>
    <s v="Amex"/>
    <m/>
    <m/>
    <m/>
    <m/>
    <m/>
    <m/>
    <m/>
    <m/>
    <s v="Management Janji"/>
    <s v="PSB"/>
    <s v="FCC"/>
    <d v="2026-03-10T09:40:05"/>
    <m/>
    <m/>
    <s v="PRE_PI"/>
    <s v="X"/>
    <s v="NO ADDON"/>
    <m/>
    <s v="Provisioning Start"/>
    <s v="- 11_11450;Biaya PSB Reguler HSI EBIS ~ 11[150000]  - E23046;E23046 ~ ES23 - Paket HSI Bisnis[0]  - E23046~null~E23046_UNL;UNL ~ Internet-Link Unlimited Internet Usage ~ E23046[0]  - E23046~null~44877;E23046||11||Abodemen 0[0]  - E23046~null~E23046_HSIE10"/>
    <s v="INDIBIZ"/>
    <m/>
    <m/>
    <d v="2026-10-03T12:00:00"/>
    <s v="PSB"/>
    <m/>
    <m/>
    <m/>
    <e v="#NUM!"/>
    <e v="#NUM!"/>
    <x v="0"/>
    <x v="7"/>
  </r>
  <r>
    <n v="120"/>
    <n v="1002619607"/>
    <n v="3"/>
    <x v="2"/>
    <n v="4"/>
    <s v="YOGYAKARTA"/>
    <s v="INNER - YOGYA JATENG SELATAN"/>
    <s v="KEN"/>
    <s v="REG"/>
    <s v="AO"/>
    <s v="NEW SALES"/>
    <s v="1P INET"/>
    <s v="OSS - PROVISIONING START"/>
    <s v="RBS-Regional 3"/>
    <d v="2026-10-02T11:46:35"/>
    <d v="2026-10-03T11:12:29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m/>
    <s v="PRE_PI"/>
    <s v="KENTUNGAN"/>
    <s v="NO ADDON"/>
    <m/>
    <s v="Provisioning Start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121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122"/>
    <n v="1002619746"/>
    <n v="3"/>
    <x v="2"/>
    <n v="4"/>
    <s v="YOGYAKARTA"/>
    <s v="INNER - YOGYA JATENG SELATAN"/>
    <s v="KEN"/>
    <s v="REG"/>
    <s v="AO"/>
    <s v="NEW SALES"/>
    <m/>
    <s v="MYCX - SEND OPEN PAPERLESS"/>
    <s v="RBS-Regional 2"/>
    <d v="2026-10-02T13:17:44"/>
    <d v="2026-10-02T13:20:34"/>
    <n v="66525052"/>
    <m/>
    <n v="146130139224"/>
    <s v="PT. BANGUN INFORMASI TEKNOLOGI"/>
    <s v="ODP-KEN-FBB/08"/>
    <m/>
    <m/>
    <m/>
    <m/>
    <n v="110.376951320236"/>
    <n v="-7.73634158440895"/>
    <s v="AMRBS;950223;ALDHIAZ;JKT OUTER;HSI Bisnis PSB 70% - 150 Mbps - (819000);CP SANDY 087778113956;billing@bnteknologi.com  "/>
    <s v="Account Manager"/>
    <m/>
    <m/>
    <m/>
    <m/>
    <m/>
    <m/>
    <m/>
    <m/>
    <m/>
    <m/>
    <m/>
    <d v="2026-02-10T13:25:25"/>
    <m/>
    <m/>
    <s v="INPROGRESS_SC"/>
    <s v="KENTUNG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23"/>
    <n v="1002619144"/>
    <n v="3"/>
    <x v="2"/>
    <n v="4"/>
    <s v="YOGYAKARTA"/>
    <s v="INNER - YOGYA JATENG SELATAN"/>
    <s v="KBU"/>
    <s v="DSS"/>
    <s v="AO"/>
    <s v="NEW SALES"/>
    <m/>
    <s v="102 | FOLLOW UP COMPLETED"/>
    <s v="DSS-Fin &amp; Regional Banking"/>
    <d v="2026-10-02T09:33:21"/>
    <d v="2026-10-02T13:23:46"/>
    <n v="69402762"/>
    <m/>
    <n v="146113147707"/>
    <s v="Gedung MAP Fisipol 2 UGM"/>
    <s v="ODP-KBU-FDS/148"/>
    <s v="WO065548008"/>
    <m/>
    <m/>
    <m/>
    <n v="110.373025478535"/>
    <n v="-7.77618564562703"/>
    <s v="DSS HSI | AM ANNASTASIA KURNIAWATI SUKARNO | NIK 810113 | YOGYA JATENG SELATAN | TREG 3 | Gedung MAP Fisipol 2 UGM | PIC 82134201998 BPK TANTO "/>
    <s v="Account Manager"/>
    <m/>
    <m/>
    <m/>
    <m/>
    <m/>
    <m/>
    <m/>
    <m/>
    <s v="Management Janji"/>
    <s v="DSS HSI | AM ANNASTASIA KURNIAWATI SUKARNO | NIK 810113 | YOGYA JATENG SELATAN | TREG 3 | Gedung MAP Fisipol 2 UGM | PIC 82134201998 BPK TANTO "/>
    <s v="FCC"/>
    <d v="2026-02-10T09:40:29"/>
    <m/>
    <s v="Kendala Teknik"/>
    <s v="REVOKE"/>
    <s v="X"/>
    <s v="NO ADDON"/>
    <m/>
    <s v="Follow Up Revoke Completed, New Order ID : SC1002619773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02T12:00:00"/>
    <s v="DSS HSI | AM ANNASTASIA KURNIAWATI SUKARNO | NIK 810113 | YOGYA JATENG SELATAN | TREG 3 | Gedung MAP Fisipol 2 UGM | PIC 82134201998 BPK TANTO "/>
    <m/>
    <m/>
    <m/>
    <e v="#NUM!"/>
    <e v="#NUM!"/>
    <x v="0"/>
    <x v="7"/>
  </r>
  <r>
    <n v="124"/>
    <n v="1002621010"/>
    <n v="3"/>
    <x v="2"/>
    <n v="4"/>
    <s v="YOGYAKARTA"/>
    <s v="INNER - YOGYA JATENG SELATAN"/>
    <s v="KBU"/>
    <s v="REG"/>
    <s v="AO"/>
    <s v="NEW SALES"/>
    <s v="1P INET"/>
    <s v="7 | OSS - PROVISIONING ISSUED"/>
    <s v="RBS-Regional 3"/>
    <d v="2026-10-03T13:47:35"/>
    <d v="2026-10-04T11:09:53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PI"/>
    <s v="X"/>
    <s v="NO ADDON"/>
    <m/>
    <s v="Provisioning Issued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125"/>
    <n v="1002617387"/>
    <n v="3"/>
    <x v="2"/>
    <n v="4"/>
    <s v="YOGYAKARTA"/>
    <s v="INNER - YOGYA JATENG SELATAN"/>
    <s v="KBU"/>
    <s v="DSS"/>
    <s v="AO"/>
    <s v="NEW SALES"/>
    <m/>
    <s v="Completed (PS)"/>
    <s v="DSS-Fin &amp; Regional Banking"/>
    <d v="2026-10-01T10:36:43"/>
    <d v="2026-10-01T12:20:51"/>
    <n v="69402175"/>
    <m/>
    <n v="146113147692"/>
    <s v="Temporer Malioboro RUN BPD DIY 2026"/>
    <s v="ODP-KBU-FGA/060"/>
    <s v="WO065470689"/>
    <m/>
    <m/>
    <m/>
    <n v="110.366016"/>
    <n v="-7.790762"/>
    <s v="DSS HSI | AM ANNASTASIA KURNIAWATI SUKARNO | NIK 810113 | YOGYA JATENG SELATAN | TREG 3 | Temporer Malioboro RUN BPD DIY 2026 | PIC 81210670160 ANJAR | Lokasi Halte Malioboro 1"/>
    <s v="Account Manager"/>
    <m/>
    <m/>
    <m/>
    <m/>
    <m/>
    <m/>
    <m/>
    <m/>
    <s v="Management Janji"/>
    <s v="DSS HSI | AM ANNASTASIA KURNIAWATI SUKARNO | NIK 810113 | YOGYA JATENG SELATAN | TREG 3 | Temporer Malioboro RUN BPD DIY 2026 | PIC 81210670160 ANJAR | Lokasi Halte Malioboro 1"/>
    <s v="FCC"/>
    <d v="2026-01-10T10:40:21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DSS HSI | AM ANNASTASIA KURNIAWATI SUKARNO | NIK 810113 | YOGYA JATENG SELATAN | TREG 3 | Temporer Malioboro RUN BPD DIY 2026 | PIC 81210670160 ANJAR | Lokasi Halte Malioboro 1"/>
    <n v="2026"/>
    <n v="10"/>
    <n v="1"/>
    <d v="2026-10-01T00:00:00"/>
    <n v="-0.5"/>
    <x v="1"/>
    <x v="7"/>
  </r>
  <r>
    <n v="126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127"/>
    <n v="1002617650"/>
    <n v="3"/>
    <x v="2"/>
    <n v="4"/>
    <s v="YOGYAKARTA"/>
    <s v="INNER - YOGYA JATENG SELATAN"/>
    <s v="KBU"/>
    <s v="DSS"/>
    <s v="AO"/>
    <s v="NEW SALES"/>
    <m/>
    <s v="Completed (PS)"/>
    <s v="DSS-Fin &amp; Regional Banking"/>
    <d v="2026-10-01T11:44:09"/>
    <d v="2026-10-01T15:53:20"/>
    <n v="69402277"/>
    <m/>
    <n v="146113147695"/>
    <s v="Temporer Malioboro RUN BPD DIY 2026"/>
    <s v="ODP-KBU-FCQ/107"/>
    <s v="WO065479936"/>
    <m/>
    <m/>
    <m/>
    <n v="110.365504"/>
    <n v="-7.7953679999999999"/>
    <s v="DSS HSI | AM ANNASTASIA KURNIAWATI SUKARNO | NIK 810113 | YOGYA JATENG SELATAN | TREG 3 | Temporer Malioboro RUN BPD DIY 2026 | PIC 81210670160 ANJAR | Lokasi Halte Malioboro 2"/>
    <s v="Account Manager"/>
    <m/>
    <m/>
    <m/>
    <m/>
    <m/>
    <m/>
    <m/>
    <m/>
    <s v="Management Janji"/>
    <s v="DSS HSI | AM ANNASTASIA KURNIAWATI SUKARNO | NIK 810113 | YOGYA JATENG SELATAN | TREG 3 | Temporer Malioboro RUN BPD DIY 2026 | PIC 81210670160 ANJAR | Lokasi Halte Malioboro 2"/>
    <s v="FCC"/>
    <d v="2026-01-10T12:25:17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DSS HSI | AM ANNASTASIA KURNIAWATI SUKARNO | NIK 810113 | YOGYA JATENG SELATAN | TREG 3 | Temporer Malioboro RUN BPD DIY 2026 | PIC 81210670160 ANJAR | Lokasi Halte Malioboro 2"/>
    <n v="2026"/>
    <n v="10"/>
    <n v="1"/>
    <d v="2026-10-01T00:00:00"/>
    <n v="-0.5"/>
    <x v="1"/>
    <x v="7"/>
  </r>
  <r>
    <n v="128"/>
    <n v="1002619773"/>
    <n v="3"/>
    <x v="2"/>
    <n v="4"/>
    <s v="YOGYAKARTA"/>
    <s v="INNER - YOGYA JATENG SELATAN"/>
    <s v="KBU"/>
    <s v="DSS"/>
    <s v="AO"/>
    <s v="NEW SALES"/>
    <m/>
    <s v="Completed (PS)"/>
    <s v="DSS-Fin &amp; Regional Banking"/>
    <d v="2026-10-02T13:23:47"/>
    <d v="2026-10-02T19:01:32"/>
    <n v="69402762"/>
    <m/>
    <n v="146113146875"/>
    <s v="Gedung MAP Fisipol 2 UGM"/>
    <s v="ODP-KBU-FDV/28"/>
    <s v="WO065573709"/>
    <m/>
    <m/>
    <m/>
    <n v="110.3729"/>
    <n v="-7.7767999999999997"/>
    <s v="DSS HSI | AM ANNASTASIA KURNIAWATI SUKARNO | NIK 810113 | YOGYA JATENG SELATAN | TREG 3 | Gedung MAP Fisipol 2 UGM | PIC 82134201998 BPK TANTO "/>
    <s v="Account Manager"/>
    <m/>
    <m/>
    <m/>
    <m/>
    <m/>
    <m/>
    <m/>
    <m/>
    <s v="Management Janji"/>
    <s v="DSS HSI | AM ANNASTASIA KURNIAWATI SUKARNO | NIK 810113 | YOGYA JATENG SELATAN | TREG 3 | Gedung MAP Fisipol 2 UGM | PIC 82134201998 BPK TANTO "/>
    <s v="FCC"/>
    <d v="2026-02-10T13:25:25"/>
    <m/>
    <m/>
    <s v="PS"/>
    <s v="X"/>
    <s v="NO ADDON"/>
    <n v="20261002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DSS HSI | AM ANNASTASIA KURNIAWATI SUKARNO | NIK 810113 | YOGYA JATENG SELATAN | TREG 3 | Gedung MAP Fisipol 2 UGM | PIC 82134201998 BPK TANTO "/>
    <n v="2026"/>
    <n v="10"/>
    <n v="2"/>
    <d v="2026-10-02T00:00:00"/>
    <n v="20727.708333333332"/>
    <x v="2"/>
    <x v="7"/>
  </r>
  <r>
    <n v="129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130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131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132"/>
    <n v="1002621359"/>
    <n v="3"/>
    <x v="2"/>
    <n v="4"/>
    <s v="YOGYAKARTA"/>
    <s v="SLEMAN"/>
    <s v="GOD"/>
    <s v="REG"/>
    <s v="AO"/>
    <s v="NEW SALES"/>
    <s v="1P INET"/>
    <s v="MIE - SEND SURVEY"/>
    <s v="RBS-Regional 3"/>
    <d v="2026-10-04T12:29:40"/>
    <d v="2026-10-04T12:33:21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SURVEY_NEW_MANJA"/>
    <s v="X"/>
    <s v="NO ADDON"/>
    <m/>
    <s v="MIE - SEND SURVEY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m/>
    <m/>
    <m/>
    <e v="#NUM!"/>
    <e v="#NUM!"/>
    <x v="0"/>
    <x v="7"/>
  </r>
  <r>
    <n v="133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134"/>
    <n v="1002619040"/>
    <n v="3"/>
    <x v="2"/>
    <n v="4"/>
    <s v="YOGYAKARTA"/>
    <s v="INNER - YOGYA JATENG SELATAN"/>
    <s v="PGR"/>
    <s v="DPS"/>
    <s v="AO"/>
    <s v="NEW SALES"/>
    <m/>
    <s v="7 | OSS - PROVISIONING ISSUED"/>
    <s v="DPS-Financial &amp; Welfare"/>
    <d v="2026-10-02T08:59:00"/>
    <d v="2026-10-02T09:05:50"/>
    <n v="69402737"/>
    <m/>
    <n v="141114228710"/>
    <s v="PT GADAI SAKTI INDONESIA"/>
    <s v="ODP-PGR-FAY/040"/>
    <s v="WO065544856"/>
    <m/>
    <m/>
    <m/>
    <n v="110.355652942856"/>
    <n v="-7.8172348760280501"/>
    <s v="DPS HSI | AM.ANDRE | 406108 | TREG 3 | PT GADAI SAKTI INDONESIA | FARID | 087719295493 | HSIBISNIS50MBPS"/>
    <s v="Account Manager"/>
    <m/>
    <m/>
    <m/>
    <m/>
    <m/>
    <m/>
    <m/>
    <m/>
    <s v="Management Janji"/>
    <s v="KONFIRMASI UP"/>
    <s v="FCC"/>
    <d v="2026-02-10T09:26:25"/>
    <m/>
    <m/>
    <s v="PI"/>
    <s v="X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KONFIRMASI UP"/>
    <m/>
    <m/>
    <m/>
    <e v="#NUM!"/>
    <e v="#NUM!"/>
    <x v="0"/>
    <x v="7"/>
  </r>
  <r>
    <n v="135"/>
    <n v="1002618870"/>
    <n v="3"/>
    <x v="2"/>
    <n v="4"/>
    <s v="YOGYAKARTA"/>
    <s v="INNER - YOGYA JATENG SELATAN"/>
    <s v="PGR"/>
    <s v="REG"/>
    <s v="AO"/>
    <s v="NEW SALES"/>
    <s v="1P INET"/>
    <s v="7 | OSS - PROVISIONING ISSUED"/>
    <s v="RBS-Regional 3"/>
    <d v="2026-10-02T07:14:40"/>
    <d v="2026-10-05T08:06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m/>
    <s v="PI"/>
    <s v="X"/>
    <s v="NO ADDON"/>
    <m/>
    <s v="Provisioning Issu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136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137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138"/>
    <n v="1002619759"/>
    <n v="3"/>
    <x v="2"/>
    <n v="4"/>
    <s v="YOGYAKARTA"/>
    <s v="INNER - YOGYA JATENG SELATAN"/>
    <s v="PGR"/>
    <s v="REG"/>
    <s v="AO"/>
    <s v="NEW SALES"/>
    <m/>
    <s v="MYCX - SEND OPEN PAPERLESS"/>
    <s v="RBS-Regional 2"/>
    <d v="2026-10-02T13:23:08"/>
    <d v="2026-10-02T13:26:27"/>
    <n v="66525052"/>
    <m/>
    <n v="141114228716"/>
    <s v="PT. BANGUN INFORMASI TEKNOLOGI"/>
    <s v="ODP-PGR-FDX/095"/>
    <m/>
    <m/>
    <m/>
    <m/>
    <n v="110.359005829857"/>
    <n v="-7.8499108474109196"/>
    <s v="AMRBS;950223;ALDHIAZ;JKT OUTER;HSI Bisnis PSB 70% - 150 Mbps - (819000);CP LOKASI RIZKY 0877-8573-3820  ALT SANDY 087778113956;billing@bnteknologi.com  "/>
    <s v="Account Manager"/>
    <m/>
    <m/>
    <m/>
    <m/>
    <m/>
    <m/>
    <m/>
    <m/>
    <m/>
    <m/>
    <m/>
    <d v="2026-02-10T13:25:25"/>
    <m/>
    <m/>
    <s v="INPROGRESS_SC"/>
    <s v="X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7"/>
  </r>
  <r>
    <n v="139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140"/>
    <n v="1002621239"/>
    <n v="3"/>
    <x v="3"/>
    <n v="5"/>
    <s v="MADURA"/>
    <s v="BANGKALAN"/>
    <s v="BEA"/>
    <s v="REG"/>
    <s v="AO"/>
    <s v="NEW SALES"/>
    <s v="1P INET"/>
    <s v="7 | OSS - PROVISIONING ISSUED"/>
    <s v="RBS-Regional 3"/>
    <d v="2026-10-04T08:28:35"/>
    <d v="2026-10-05T08:09:54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m/>
    <s v="PI"/>
    <s v="X"/>
    <s v="NETMONK"/>
    <m/>
    <s v="Provisioning Issued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141"/>
    <n v="1002620451"/>
    <n v="3"/>
    <x v="3"/>
    <n v="5"/>
    <s v="MADURA"/>
    <s v="BANGKALAN"/>
    <s v="KML"/>
    <s v="REG"/>
    <s v="AO"/>
    <s v="NEW SALES"/>
    <m/>
    <s v="OSS - FALLOUT"/>
    <s v="RBS-Regional 3"/>
    <d v="2026-10-02T16:34:24"/>
    <d v="2026-10-05T08:50:5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FO_ASAP"/>
    <s v="X"/>
    <s v="NO ADDON"/>
    <m/>
    <s v="Provisioning Failed|ACTIVATION|INF009658590|U31_PORT_NOT_FOUND:ServicePort Not Found / ONT Connectivity is Missi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m/>
    <m/>
    <m/>
    <e v="#NUM!"/>
    <e v="#NUM!"/>
    <x v="0"/>
    <x v="12"/>
  </r>
  <r>
    <n v="142"/>
    <n v="1002620621"/>
    <n v="3"/>
    <x v="3"/>
    <n v="5"/>
    <s v="MADURA"/>
    <s v="BANGKALAN"/>
    <s v="KML"/>
    <s v="REG"/>
    <s v="AO"/>
    <s v="NEW SALES"/>
    <m/>
    <s v="MIA - INVALID SURVEY"/>
    <s v="RBS-Regional 3"/>
    <d v="2026-10-02T18:07:03"/>
    <d v="2026-10-03T23:53:41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SURVEY_NEW_MANJA"/>
    <s v="X"/>
    <s v="NETMONK"/>
    <m/>
    <s v="MIE - INVALID SURVEY - Kendala Jalur/Rute Tarika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143"/>
    <n v="1002619289"/>
    <n v="3"/>
    <x v="3"/>
    <n v="5"/>
    <s v="MADURA"/>
    <s v="BANGKALAN"/>
    <s v="SPG"/>
    <s v="DPS"/>
    <s v="AO"/>
    <s v="NEW SALES"/>
    <m/>
    <s v="Completed (PS)"/>
    <s v="DPS-Logistic &amp; Manufacturing"/>
    <d v="2026-10-02T10:18:38"/>
    <d v="2026-10-03T16:12:53"/>
    <n v="69402848"/>
    <m/>
    <n v="152434914520"/>
    <s v="PT Nusantara Ekspres Kilat Hub Camplong"/>
    <s v="ODP-SPG-FK/16"/>
    <s v="WO065553554"/>
    <m/>
    <m/>
    <m/>
    <n v="113.27666618223201"/>
    <n v="-7.2145977391677301"/>
    <s v="P26-205585  PSB HSI Bisnis 7 Lokasi PT Nusantara Ekspres Kilat Shopee Express - 21 Agustus 2026  "/>
    <s v="TAM"/>
    <m/>
    <m/>
    <m/>
    <m/>
    <m/>
    <m/>
    <m/>
    <m/>
    <s v="Management Janji"/>
    <s v="P26-205585  PSB HSI Bisnis 7 Lokasi PT Nusantara Ekspres Kilat Shopee Express - 21 Agustus 2026  "/>
    <s v="FCC"/>
    <d v="2026-02-10T10:39:55"/>
    <m/>
    <s v="Kendala Pelanggan"/>
    <s v="PS"/>
    <s v="SAMPANG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5  PSB HSI Bisnis 7 Lokasi PT Nusantara Ekspres Kilat Shopee Express - 21 Agustus 2026  "/>
    <n v="2026"/>
    <n v="10"/>
    <n v="3"/>
    <d v="2026-10-03T00:00:00"/>
    <n v="0.125"/>
    <x v="1"/>
    <x v="12"/>
  </r>
  <r>
    <n v="144"/>
    <n v="1002621257"/>
    <n v="3"/>
    <x v="3"/>
    <n v="5"/>
    <s v="MADURA"/>
    <s v="PAMEKASAN"/>
    <s v="PME"/>
    <s v="REG"/>
    <s v="AO"/>
    <s v="NEW SALES"/>
    <s v="1P INET"/>
    <s v="7 | OSS - PROVISIONING ISSUED"/>
    <s v="RBS-Regional 3"/>
    <d v="2026-10-04T09:19:35"/>
    <d v="2026-10-05T08:14:08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m/>
    <s v="PI"/>
    <s v="PAMEKASAN"/>
    <s v="NETMONK"/>
    <m/>
    <s v="Provisioning Issu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145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146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147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148"/>
    <n v="1002619611"/>
    <n v="3"/>
    <x v="3"/>
    <n v="5"/>
    <s v="MADURA"/>
    <s v="PAMEKASAN"/>
    <s v="PME"/>
    <s v="REG"/>
    <s v="AO"/>
    <s v="NEW SALES"/>
    <s v="1P INET"/>
    <s v="MIA - INVALID SURVEY"/>
    <s v="RBS-Regional 3"/>
    <d v="2026-10-02T11:47:39"/>
    <d v="2026-10-02T21:57:07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SURVEY_NEW_MANJA"/>
    <s v="PAMEKASAN"/>
    <s v="NETMONK"/>
    <m/>
    <s v="MIE - INVALID SURVEY - Kendala Jalur/Rute Tarikan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149"/>
    <n v="1002619236"/>
    <n v="3"/>
    <x v="3"/>
    <n v="5"/>
    <s v="MADURA"/>
    <s v="PAMEKASAN"/>
    <s v="PME"/>
    <s v="REG"/>
    <s v="AO"/>
    <s v="NEW SALES"/>
    <s v="1P INET"/>
    <s v="MIA - INVALID SURVEY"/>
    <s v="RBS-Regional 3"/>
    <d v="2026-10-02T10:01:40"/>
    <d v="2026-10-02T21:54:56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m/>
    <s v="SURVEY_NEW_MANJA"/>
    <s v="PAMEKASAN"/>
    <s v="NO ADDON"/>
    <m/>
    <s v="MIE - INVALID SURVEY - Kendala Jalur/Rute Tarikan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150"/>
    <n v="1002620828"/>
    <n v="3"/>
    <x v="3"/>
    <n v="5"/>
    <s v="MADURA"/>
    <s v="PAMEKASAN"/>
    <s v="PME"/>
    <s v="REG"/>
    <s v="AO"/>
    <s v="NEW SALES"/>
    <s v="1P INET"/>
    <s v="MIA - INVALID SURVEY"/>
    <s v="RBS-Regional 3"/>
    <d v="2026-10-03T10:31:42"/>
    <d v="2026-10-03T23:52:24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SURVEY_NEW_MANJA"/>
    <s v="PAMEKASAN"/>
    <s v="NETMONK"/>
    <m/>
    <s v="MIE - INVALID SURVEY - Kendala Jalur/Rute Tarikan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151"/>
    <n v="1002617619"/>
    <n v="3"/>
    <x v="3"/>
    <n v="5"/>
    <s v="MADURA"/>
    <s v="PAMEKASAN"/>
    <s v="AJA"/>
    <s v="REG"/>
    <s v="AO"/>
    <s v="NEW SALES"/>
    <m/>
    <s v="OSS - PROVISIONING START"/>
    <s v="RBS-Regional 3"/>
    <d v="2026-10-01T11:36:55"/>
    <d v="2026-10-04T18:10:3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m/>
    <s v="PRE_PI"/>
    <s v="X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152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153"/>
    <n v="1002617733"/>
    <n v="3"/>
    <x v="3"/>
    <n v="5"/>
    <s v="SBY UTARA"/>
    <s v="KENJERAN"/>
    <s v="KBL"/>
    <s v="REG"/>
    <s v="AO"/>
    <s v="NEW SALES"/>
    <s v="1P INET"/>
    <s v="OSS - FALLOUT"/>
    <s v="RBS-Regional 3"/>
    <d v="2026-10-01T12:31:39"/>
    <d v="2026-10-03T15:42:03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FO_WFM"/>
    <s v="KEBALEN"/>
    <s v="NO ADDON"/>
    <m/>
    <s v="Provisioning Failed|WFM|INF009636679|TOF_-7.2114415,112.65197450000001_-7.229388, 112.702373, ODP SATU SATUNYA FULL ODP-KBL-F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154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155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156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157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158"/>
    <n v="1002619450"/>
    <n v="3"/>
    <x v="3"/>
    <n v="5"/>
    <s v="SBY UTARA"/>
    <s v="KENJERAN"/>
    <s v="KPS"/>
    <s v="DPS"/>
    <s v="AO"/>
    <s v="NEW SALES"/>
    <m/>
    <s v="OSS - FALLOUT"/>
    <s v="DPS-Logistic &amp; Manufacturing"/>
    <d v="2026-10-02T10:59:07"/>
    <d v="2026-10-03T23:54:12"/>
    <n v="69402912"/>
    <m/>
    <n v="152404215689"/>
    <s v="PT Nusantara Ekspres Kilat FM Hub + Hub Semampir"/>
    <s v="ODP-KBL-FBU/04"/>
    <s v="WO065558802"/>
    <m/>
    <m/>
    <m/>
    <n v="112.75882627836"/>
    <n v="-7.2229637213760496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1:11:07"/>
    <m/>
    <s v="Kendala Pelanggan"/>
    <s v="FO_WFM"/>
    <s v="KAPASAN"/>
    <s v="NO ADDON"/>
    <m/>
    <s v="Provisioning Failed|WFM|INF009642895|Pemasangan masih nunggu konfirmasi BOSnya dikarenakan masih proses renovasi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7  PSB HSI Bisnis 13 Lokasi PT Nusantara Ekspres Kilat Shopee Express - 01 September 2026  "/>
    <m/>
    <m/>
    <m/>
    <e v="#NUM!"/>
    <e v="#NUM!"/>
    <x v="0"/>
    <x v="13"/>
  </r>
  <r>
    <n v="159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160"/>
    <n v="1002620760"/>
    <n v="3"/>
    <x v="3"/>
    <n v="5"/>
    <s v="SBY UTARA"/>
    <s v="KENJERAN"/>
    <s v="KPS"/>
    <s v="REG"/>
    <s v="AO"/>
    <s v="NEW SALES"/>
    <s v="1P INET"/>
    <s v="MIA - INVALID SURVEY"/>
    <s v="RBS-Regional 3"/>
    <d v="2026-10-03T09:17:37"/>
    <d v="2026-10-03T23:53:00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m/>
    <s v="SURVEY_NEW_MANJA"/>
    <s v="KAPASAN"/>
    <s v="NO ADDON"/>
    <m/>
    <s v="MIE - INVALID SURVEY - Kendala Jalur/Rute Tarikan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161"/>
    <n v="1002621336"/>
    <n v="3"/>
    <x v="3"/>
    <n v="5"/>
    <s v="SBY UTARA"/>
    <s v="KENJERAN"/>
    <s v="KPS"/>
    <s v="REG"/>
    <s v="AO"/>
    <s v="NEW SALES"/>
    <s v="1P INET"/>
    <s v="MIE - SEND SURVEY"/>
    <s v="RBS-Regional 3"/>
    <d v="2026-10-04T11:38:35"/>
    <d v="2026-10-04T11:40:01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SURVEY_NEW_MANJA"/>
    <s v="KAPASAN"/>
    <s v="NO ADDON"/>
    <m/>
    <s v="MIE - SEND SURVEY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m/>
    <m/>
    <m/>
    <e v="#NUM!"/>
    <e v="#NUM!"/>
    <x v="0"/>
    <x v="13"/>
  </r>
  <r>
    <n v="162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163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164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165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166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167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168"/>
    <n v="1002619480"/>
    <n v="3"/>
    <x v="3"/>
    <n v="5"/>
    <s v="SBY UTARA"/>
    <s v="TANDES"/>
    <s v="LKI"/>
    <s v="REG"/>
    <s v="AO"/>
    <s v="NEW SALES"/>
    <s v="1P INET"/>
    <s v="MIA - INVALID SURVEY"/>
    <s v="RBS-Regional 3"/>
    <d v="2026-10-02T11:08:35"/>
    <d v="2026-10-02T12:57:26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m/>
    <s v="SURVEY_NEW_MANJA"/>
    <s v="TANDES"/>
    <s v="OCA"/>
    <m/>
    <s v="MIE - INVALID SURVEY - Kendala Jalur/Rute Tarikan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169"/>
    <n v="1002621074"/>
    <n v="3"/>
    <x v="3"/>
    <n v="5"/>
    <s v="SBY UTARA"/>
    <s v="TANDES"/>
    <s v="TNS"/>
    <s v="REG"/>
    <s v="AO"/>
    <s v="NEW SALES"/>
    <s v="1P INET"/>
    <s v="7 | OSS - PROVISIONING ISSUED"/>
    <s v="RBS-Regional 3"/>
    <d v="2026-10-03T15:13:39"/>
    <d v="2026-10-04T15:24:04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PI"/>
    <s v="TANDES"/>
    <s v="NO ADDON"/>
    <m/>
    <s v="Provisioning Issued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170"/>
    <n v="1002620926"/>
    <n v="3"/>
    <x v="3"/>
    <n v="5"/>
    <s v="SBY UTARA"/>
    <s v="TANDES"/>
    <s v="TNS"/>
    <s v="DPS"/>
    <s v="AO"/>
    <s v="NEW SALES"/>
    <m/>
    <s v="Completed (PS)"/>
    <s v="DPS-Property &amp; Resources"/>
    <d v="2026-10-03T12:18:21"/>
    <d v="2026-10-03T18:53:36"/>
    <n v="15673151"/>
    <m/>
    <n v="152409278783"/>
    <s v="PAKUWON JATI"/>
    <s v="ODP-TDS-FHQ/12"/>
    <s v="WO065645596"/>
    <m/>
    <m/>
    <m/>
    <n v="112.67560779999999"/>
    <n v="-7.2890600000000001"/>
    <s v="dpshsi/amnovi/reg 3/896661/inet only 100mbps/pictopia pakuwon mall/pic salman +62 85714911725"/>
    <s v="Account Manager"/>
    <m/>
    <m/>
    <m/>
    <m/>
    <m/>
    <m/>
    <m/>
    <m/>
    <s v="Management Janji"/>
    <s v="dpshsi/amnovi/reg 3/896661/inet only 100mbps/pictopia pakuwon mall/pic salman +62 85714911725"/>
    <s v="FCC"/>
    <d v="2026-03-10T12:25:43"/>
    <m/>
    <s v="Kendala Pelanggan"/>
    <s v="PS"/>
    <s v="TANDES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17:00:00"/>
    <s v="dpshsi/amnovi/reg 3/896661/inet only 100mbps/pictopia pakuwon mall/pic salman +62 85714911725"/>
    <n v="2026"/>
    <n v="10"/>
    <n v="3"/>
    <d v="2026-10-03T00:00:00"/>
    <n v="-0.70833333333575865"/>
    <x v="1"/>
    <x v="13"/>
  </r>
  <r>
    <n v="171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172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173"/>
    <n v="1002620446"/>
    <n v="3"/>
    <x v="3"/>
    <n v="5"/>
    <s v="SBY UTARA"/>
    <s v="TANDES"/>
    <s v="KLN"/>
    <s v="DGS"/>
    <s v="AO"/>
    <s v="NEW SALES"/>
    <m/>
    <s v="SEGMEN BUD - WAITING AKTIVASI IHLD"/>
    <s v="DGS-B2B TREG"/>
    <d v="2026-10-02T16:30:16"/>
    <d v="2026-10-03T13:12:19"/>
    <n v="68982466"/>
    <m/>
    <m/>
    <s v="INTERNET PELAYANAN MASYARAKAT - 2025"/>
    <m/>
    <s v="WO065597657"/>
    <m/>
    <m/>
    <m/>
    <n v="112.654269"/>
    <n v="-7.2171779999999996"/>
    <s v="GS SURAMADU/ AM HANIF/ PSB INET ONLY 50MBPS/ LOKET PARKIR TERMINAL TAMBAK OSO WILANGUN /  PIC DAVIP 082245657000 /Pak Gunawan ( +62 851-0505-0477) "/>
    <s v="Account Manager"/>
    <m/>
    <m/>
    <m/>
    <m/>
    <m/>
    <m/>
    <m/>
    <m/>
    <s v="Management Janji"/>
    <s v="GS SURAMADU/ AM HANIF/ PSB INET ONLY 50MBPS/ LOKET PARKIR TERMINAL TAMBAK OSO WILANGUN /  PIC DAVIP 082245657000 /Pak Gunawan ( +62 851-0505-0477) "/>
    <s v="FCC"/>
    <d v="2026-02-10T16:40:22"/>
    <m/>
    <m/>
    <s v="UNSC"/>
    <s v="KEBALEN"/>
    <s v="NO ADDON"/>
    <m/>
    <s v="SEGMEN BUD - WAITING AKTIVASI IHL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2T18:00:00"/>
    <s v="GS SURAMADU/ AM HANIF/ PSB INET ONLY 50MBPS/ LOKET PARKIR TERMINAL TAMBAK OSO WILANGUN /  PIC DAVIP 082245657000 /Pak Gunawan ( +62 851-0505-0477) "/>
    <m/>
    <m/>
    <m/>
    <e v="#NUM!"/>
    <e v="#NUM!"/>
    <x v="0"/>
    <x v="13"/>
  </r>
  <r>
    <n v="174"/>
    <n v="1002620402"/>
    <n v="3"/>
    <x v="3"/>
    <n v="5"/>
    <s v="SBY UTARA"/>
    <s v="TANDES"/>
    <s v="KLN"/>
    <s v="DGS"/>
    <s v="AO"/>
    <s v="NEW SALES"/>
    <m/>
    <s v="98 | OSS - CANCEL COMPLETE"/>
    <s v="DGS-B2B TREG"/>
    <d v="2026-10-02T16:10:54"/>
    <d v="2026-10-02T16:33:32"/>
    <n v="68982466"/>
    <m/>
    <n v="152418251092"/>
    <s v="INTERNET PELAYANAN MASYARAKAT - 2025"/>
    <s v="ODP-KLN-FAT/15"/>
    <s v="WO065597657"/>
    <m/>
    <m/>
    <m/>
    <n v="112.65452084079401"/>
    <n v="-7.21792514331253"/>
    <s v="GS SURAMADU/ AM HANIF/ PSB INET ONLY 50MBPS/ LOKET PARKIR TERMINAL TAMBAK OSO WILANGUN /  PIC DAVIP 082245657000 /Pak Gunawan ( +62 851-0505-0477) "/>
    <s v="Account Manager"/>
    <m/>
    <m/>
    <m/>
    <m/>
    <m/>
    <m/>
    <m/>
    <m/>
    <s v="Management Janji"/>
    <s v="GS SURAMADU/ AM HANIF/ PSB INET ONLY 50MBPS/ LOKET PARKIR TERMINAL TAMBAK OSO WILANGUN /  PIC DAVIP 082245657000 /Pak Gunawan ( +62 851-0505-0477) "/>
    <s v="FCC"/>
    <d v="2026-02-10T16:25:45"/>
    <m/>
    <s v="Kendala Teknik"/>
    <s v="CANCEL"/>
    <s v="KEBALEN"/>
    <s v="NO ADDON"/>
    <m/>
    <s v="Cancel Completed"/>
    <s v="- 11_11450;Biaya PSB Reguler HSI EBIS ~ 11[150000]  - E23015;E23015 ~ ES23 - Perangkat ONT[0]  - E23015~null~44292;E23015||11||Abodemen 0[0]  - E23015~null~E23015_SWONT;SWONT ~ Biaya Sewa ONT ~ E23015[30000]  - E23046;E23046 ~ ES23 - Paket HSI Bisnis[0]  "/>
    <s v="INDIBIZ"/>
    <m/>
    <m/>
    <d v="2026-10-02T18:00:00"/>
    <s v="GS SURAMADU/ AM HANIF/ PSB INET ONLY 50MBPS/ LOKET PARKIR TERMINAL TAMBAK OSO WILANGUN /  PIC DAVIP 082245657000 /Pak Gunawan ( +62 851-0505-0477) "/>
    <m/>
    <m/>
    <m/>
    <e v="#NUM!"/>
    <e v="#NUM!"/>
    <x v="0"/>
    <x v="13"/>
  </r>
  <r>
    <n v="175"/>
    <n v="1002617822"/>
    <n v="3"/>
    <x v="3"/>
    <n v="5"/>
    <s v="SBY UTARA"/>
    <s v="MANYAR"/>
    <s v="MGO"/>
    <s v="DPS"/>
    <s v="AO"/>
    <s v="NEW SALES"/>
    <m/>
    <s v="OSS - PROVISIONING START"/>
    <s v="DPS-Property &amp; Resources"/>
    <d v="2026-10-01T13:16:36"/>
    <d v="2026-10-01T13:18:33"/>
    <n v="15673151"/>
    <m/>
    <n v="152413168358"/>
    <s v="PAKUWON JATI"/>
    <s v="ODP-DMO-FES/26"/>
    <s v="WO065490627"/>
    <m/>
    <m/>
    <m/>
    <n v="112.739006"/>
    <n v="-7.2623867999999998"/>
    <s v="dpshsi/amnovi/896661/reg 3/OT22-19 : PT ASDP INDONESIA FERRY/inet 50 mbps/pic Fajar +62 853-6873-6260"/>
    <s v="Account Manager"/>
    <m/>
    <m/>
    <m/>
    <m/>
    <m/>
    <m/>
    <m/>
    <m/>
    <s v="Management Janji"/>
    <s v="dpshsi/amnovi/896661/reg 3/OT22-19 : PT ASDP INDONESIA FERRY/inet 50 mbps/pic Fajar +62 853-6873-6260"/>
    <s v="FCC"/>
    <d v="2026-01-10T13:25:24"/>
    <m/>
    <m/>
    <s v="PRE_PI"/>
    <s v="MERGOYOSO"/>
    <s v="NO ADDON"/>
    <m/>
    <s v="Provisioning Start"/>
    <s v="- 11_11450;Biaya PSB Reguler HSI EBIS ~ 11[150000]  - SP_NOSS;SP_NOSS ~ Internet NOSS Multispeed Network[0]  - E23015;E23015 ~ ES23 - Perangkat ONT[0]  - E23015~null~44292;E23015||11||Abodemen 0[0]  - E23015~null~E23015_SWONT;SWONT ~ Biaya Sewa ONT ~ E230"/>
    <s v="INDIBIZ"/>
    <m/>
    <m/>
    <d v="2026-10-01T20:00:00"/>
    <s v="dpshsi/amnovi/896661/reg 3/OT22-19 : PT ASDP INDONESIA FERRY/inet 50 mbps/pic Fajar +62 853-6873-6260"/>
    <m/>
    <m/>
    <m/>
    <e v="#NUM!"/>
    <e v="#NUM!"/>
    <x v="0"/>
    <x v="14"/>
  </r>
  <r>
    <n v="176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177"/>
    <n v="1002617803"/>
    <n v="3"/>
    <x v="3"/>
    <n v="5"/>
    <s v="SBY UTARA"/>
    <s v="MANYAR"/>
    <s v="MGO"/>
    <s v="DPS"/>
    <s v="AO"/>
    <s v="NEW SALES"/>
    <m/>
    <s v="Completed (PS)"/>
    <s v="DPS-Property &amp; Resources"/>
    <d v="2026-10-01T13:10:01"/>
    <d v="2026-10-01T19:27:32"/>
    <n v="15673151"/>
    <m/>
    <n v="152413168357"/>
    <s v="PAKUWON JATI"/>
    <s v="ODP-DMO-FES/20"/>
    <s v="WO065489685"/>
    <m/>
    <m/>
    <m/>
    <n v="112.739006"/>
    <n v="-7.2623867999999998"/>
    <s v="DPSHSI/AMNOVI/896661/OT22-19 : PT ASDP INDONESIA FERRY/INET ONLY 300 MBPS/PIC Fajar +62 853-6873-6260"/>
    <s v="Account Manager"/>
    <m/>
    <m/>
    <m/>
    <m/>
    <m/>
    <m/>
    <m/>
    <m/>
    <s v="Management Janji"/>
    <s v="DPSHSI/AMNOVI/896661/OT22-19 : PT ASDP INDONESIA FERRY/INET ONLY 300 MBPS/PIC Fajar +62 853-6873-6260"/>
    <s v="FCC"/>
    <d v="2026-01-10T13:25:24"/>
    <m/>
    <m/>
    <s v="PS"/>
    <s v="MERGOYOSO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20:30:00"/>
    <s v="DPSHSI/AMNOVI/896661/OT22-19 : PT ASDP INDONESIA FERRY/INET ONLY 300 MBPS/PIC Fajar +62 853-6873-6260"/>
    <n v="2026"/>
    <n v="10"/>
    <n v="1"/>
    <d v="2026-10-01T00:00:00"/>
    <n v="-0.85416666666424135"/>
    <x v="1"/>
    <x v="14"/>
  </r>
  <r>
    <n v="178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179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180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181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182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183"/>
    <n v="1002621509"/>
    <n v="3"/>
    <x v="3"/>
    <n v="5"/>
    <s v="SBY UTARA"/>
    <s v="MANYAR"/>
    <s v="MGO"/>
    <s v="REG"/>
    <s v="AO"/>
    <s v="NEW SALES"/>
    <s v="1P INET"/>
    <s v="MIE - SEND SURVEY"/>
    <s v="RBS-Regional 3"/>
    <d v="2026-10-04T18:46:40"/>
    <d v="2026-10-04T18:48:01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SURVEY_NEW_MANJA"/>
    <s v="MERGOYOSO"/>
    <s v="NO ADDON"/>
    <m/>
    <s v="MIE - SEND SURVEY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m/>
    <m/>
    <m/>
    <e v="#NUM!"/>
    <e v="#NUM!"/>
    <x v="0"/>
    <x v="14"/>
  </r>
  <r>
    <n v="184"/>
    <n v="1002621155"/>
    <n v="3"/>
    <x v="3"/>
    <n v="5"/>
    <s v="SBY SELATAN"/>
    <s v="MANYAR"/>
    <s v="JGR"/>
    <s v="REG"/>
    <s v="AO"/>
    <s v="NEW SALES"/>
    <s v="1P INET"/>
    <s v="OSS - PROVISIONING START"/>
    <s v="RBS-Regional 3"/>
    <d v="2026-10-03T17:19:47"/>
    <d v="2026-10-05T08:16:31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m/>
    <s v="PRE_PI"/>
    <s v="JAGIR"/>
    <s v="NO ADDON"/>
    <m/>
    <s v="Provisioning Start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185"/>
    <n v="1002621157"/>
    <n v="3"/>
    <x v="3"/>
    <n v="5"/>
    <s v="SBY SELATAN"/>
    <s v="MANYAR"/>
    <s v="JGR"/>
    <s v="REG"/>
    <s v="AO"/>
    <s v="NEW SALES"/>
    <s v="1P INET"/>
    <s v="7 | OSS - PROVISIONING ISSUED"/>
    <s v="RBS-Regional 3"/>
    <d v="2026-10-03T17:19:39"/>
    <d v="2026-10-05T08:18:05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m/>
    <s v="PI"/>
    <s v="JAGIR"/>
    <s v="NO ADDON"/>
    <m/>
    <s v="Provisioning Issu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186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187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188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189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190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191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192"/>
    <n v="1002621494"/>
    <n v="3"/>
    <x v="3"/>
    <n v="5"/>
    <s v="SBY SELATAN"/>
    <s v="KETINTANG"/>
    <s v="RKT"/>
    <s v="REG"/>
    <s v="AO"/>
    <s v="NEW SALES"/>
    <m/>
    <s v="MIE - SEND SURVEY"/>
    <s v="RBS-Regional 3"/>
    <d v="2026-10-04T16:59:56"/>
    <d v="2026-10-04T19:02:01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SURVEY_NEW_MANJA"/>
    <s v="RUNGKUT"/>
    <s v="ANTAREZ"/>
    <m/>
    <s v="MIE - SEND SURVEY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193"/>
    <n v="1002620934"/>
    <n v="3"/>
    <x v="4"/>
    <n v="4"/>
    <s v="SOLO"/>
    <s v="KLATEN"/>
    <s v="DLG"/>
    <s v="REG"/>
    <s v="AO"/>
    <s v="NEW SALES"/>
    <s v="1P INET"/>
    <s v="7 | OSS - PROVISIONING ISSUED"/>
    <s v="RBS-Regional 3"/>
    <d v="2026-10-03T12:29:34"/>
    <d v="2026-10-04T11:20:10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I"/>
    <s v="DELANGGU"/>
    <s v="NO ADDON"/>
    <m/>
    <s v="Provisioning Issu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m/>
    <m/>
    <m/>
    <e v="#NUM!"/>
    <e v="#NUM!"/>
    <x v="0"/>
    <x v="7"/>
  </r>
  <r>
    <n v="194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195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196"/>
    <n v="1002621472"/>
    <n v="3"/>
    <x v="4"/>
    <n v="4"/>
    <s v="KUDUS"/>
    <s v="BLORA"/>
    <s v="BLO"/>
    <s v="REG"/>
    <s v="AO"/>
    <s v="NEW SALES"/>
    <s v="1P INET"/>
    <s v="MIE - SEND SURVEY"/>
    <s v="RBS-Regional 3"/>
    <d v="2026-10-04T15:58:35"/>
    <d v="2026-10-04T16:01:04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m/>
    <s v="SURVEY_NEW_MANJA"/>
    <s v="X"/>
    <s v="NO ADDON"/>
    <m/>
    <s v="MIE - SEND SURVEY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197"/>
    <n v="1002620263"/>
    <n v="3"/>
    <x v="4"/>
    <n v="4"/>
    <s v="KUDUS"/>
    <s v="BLORA"/>
    <s v="CEP"/>
    <s v="REG"/>
    <s v="AO"/>
    <s v="NEW SALES"/>
    <m/>
    <s v="7 | OSS - PROVISIONING ISSUED"/>
    <s v="RBS-Regional 3"/>
    <d v="2026-10-02T15:29:12"/>
    <d v="2026-10-04T11:13:38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m/>
    <s v="PI"/>
    <s v="CEPU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198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99"/>
    <n v="1002620740"/>
    <n v="3"/>
    <x v="4"/>
    <n v="4"/>
    <s v="KUDUS"/>
    <s v="PURWODADI"/>
    <s v="GDO"/>
    <s v="REG"/>
    <s v="AO"/>
    <s v="NEW SALES"/>
    <s v="1P INET"/>
    <s v="7 | OSS - PROVISIONING ISSUED"/>
    <s v="RBS-Regional 3"/>
    <d v="2026-10-03T08:35:35"/>
    <d v="2026-10-04T08:05:27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m/>
    <s v="PI"/>
    <s v="GUBUG"/>
    <s v="NO ADDON"/>
    <m/>
    <s v="Provisioning Issu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200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201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202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203"/>
    <n v="1002620286"/>
    <n v="3"/>
    <x v="4"/>
    <n v="4"/>
    <s v="SOLO"/>
    <s v="SRAGEN"/>
    <s v="SRG"/>
    <s v="DGS"/>
    <s v="AO"/>
    <s v="NEW SALES"/>
    <m/>
    <s v="OSS - PROVISIONING START"/>
    <s v="DGS-B2B TREG"/>
    <d v="2026-10-02T15:35:21"/>
    <d v="2026-10-02T15:38:42"/>
    <n v="69403240"/>
    <m/>
    <n v="142565402380"/>
    <s v="Polsek Gesi"/>
    <s v="ODP-SRG-FAN/044"/>
    <s v="WO065593077"/>
    <m/>
    <m/>
    <m/>
    <n v="111.00710391801699"/>
    <n v="-7.3352639112318503"/>
    <s v="DGS HSI | YASINTA DN | 896703| TREG 3 |Polsek Gesi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RE_PI"/>
    <s v="X"/>
    <s v="NO ADDON"/>
    <m/>
    <s v="Provisioning Star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0"/>
    <x v="7"/>
  </r>
  <r>
    <n v="204"/>
    <n v="1002620272"/>
    <n v="3"/>
    <x v="4"/>
    <n v="4"/>
    <s v="SOLO"/>
    <s v="SRAGEN"/>
    <s v="SRG"/>
    <s v="DGS"/>
    <s v="AO"/>
    <s v="NEW SALES"/>
    <m/>
    <s v="OSS - PROVISIONING START"/>
    <s v="DGS-B2B TREG"/>
    <d v="2026-10-02T15:30:41"/>
    <d v="2026-10-02T15:32:39"/>
    <n v="69403236"/>
    <m/>
    <n v="142565402379"/>
    <s v="Polsek Plupuh"/>
    <s v="ODP-SRG-FAP/005"/>
    <s v="WO065592461"/>
    <m/>
    <m/>
    <m/>
    <n v="110.88831070000001"/>
    <n v="-7.4279023000000004"/>
    <s v="DGS HSI | YASINTA DN | 896703| TREG 3 |Polsek Plupuh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RE_PI"/>
    <s v="X"/>
    <s v="NO ADDON"/>
    <m/>
    <s v="Provisioning Start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0"/>
    <x v="7"/>
  </r>
  <r>
    <n v="205"/>
    <n v="1002620418"/>
    <n v="3"/>
    <x v="4"/>
    <n v="4"/>
    <s v="SOLO"/>
    <s v="SRAGEN"/>
    <s v="SRG"/>
    <s v="DGS"/>
    <s v="AO"/>
    <s v="NEW SALES"/>
    <m/>
    <s v="7 | OSS - PROVISIONING ISSUED"/>
    <s v="DGS-B2B TREG"/>
    <d v="2026-10-02T16:17:18"/>
    <d v="2026-10-02T16:22:35"/>
    <n v="69403294"/>
    <m/>
    <n v="142565402385"/>
    <s v="Polsek Sragen"/>
    <s v="ODP-SRG-FH/086"/>
    <s v="WO065598423"/>
    <m/>
    <m/>
    <m/>
    <n v="111.01986816322599"/>
    <n v="-7.4176956752355103"/>
    <s v="DGS HSI | YASINTA DN | 896703| TREG 3 |Polsek Sragen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I"/>
    <s v="X"/>
    <s v="NO ADDON"/>
    <m/>
    <s v="Provisioning Issu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m/>
    <m/>
    <m/>
    <e v="#NUM!"/>
    <e v="#NUM!"/>
    <x v="0"/>
    <x v="7"/>
  </r>
  <r>
    <n v="206"/>
    <n v="1002620407"/>
    <n v="3"/>
    <x v="4"/>
    <n v="4"/>
    <s v="SOLO"/>
    <s v="SRAGEN"/>
    <s v="SRG"/>
    <s v="DGS"/>
    <s v="AO"/>
    <s v="NEW SALES"/>
    <m/>
    <s v="7 | OSS - PROVISIONING ISSUED"/>
    <s v="DGS-B2B TREG"/>
    <d v="2026-10-02T16:12:22"/>
    <d v="2026-10-02T16:15:15"/>
    <n v="69403293"/>
    <m/>
    <n v="142565402384"/>
    <s v="Polsek Mondokan"/>
    <s v="ODP-SRG-FAN/093"/>
    <s v="WO065597916"/>
    <m/>
    <m/>
    <m/>
    <n v="110.941775376718"/>
    <n v="-7.3175452466090602"/>
    <s v="DGS HSI | YASINTA DN | 896703| TREG 3 |Polsek Mondokan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I"/>
    <s v="X"/>
    <s v="NO ADDON"/>
    <m/>
    <s v="Provisioning Issu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m/>
    <m/>
    <m/>
    <e v="#NUM!"/>
    <e v="#NUM!"/>
    <x v="0"/>
    <x v="7"/>
  </r>
  <r>
    <n v="207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208"/>
    <n v="1002620389"/>
    <n v="3"/>
    <x v="4"/>
    <n v="4"/>
    <s v="SOLO"/>
    <s v="SRAGEN"/>
    <s v="SRG"/>
    <s v="DGS"/>
    <s v="AO"/>
    <s v="NEW SALES"/>
    <m/>
    <s v="Completed (PS)"/>
    <s v="DGS-B2B TREG"/>
    <d v="2026-10-02T16:06:19"/>
    <d v="2026-10-04T15:59:32"/>
    <n v="69403283"/>
    <m/>
    <n v="142565402383"/>
    <s v="Polsek Jenar"/>
    <s v="ODP-SRG-FAM/055"/>
    <s v="WO065597033"/>
    <m/>
    <m/>
    <m/>
    <n v="111.113912610783"/>
    <n v="-7.3389244719846802"/>
    <s v="DGS HSI | YASINTA DN | 896703| TREG 3 |Polsek Jenar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4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4"/>
    <d v="2026-10-04T00:00:00"/>
    <n v="1.5"/>
    <x v="2"/>
    <x v="7"/>
  </r>
  <r>
    <n v="209"/>
    <n v="1002620376"/>
    <n v="3"/>
    <x v="4"/>
    <n v="4"/>
    <s v="SOLO"/>
    <s v="SRAGEN"/>
    <s v="SRG"/>
    <s v="DGS"/>
    <s v="AO"/>
    <s v="NEW SALES"/>
    <m/>
    <s v="Completed (PS)"/>
    <s v="DGS-B2B TREG"/>
    <d v="2026-10-02T16:01:11"/>
    <d v="2026-10-03T14:54:04"/>
    <n v="69403279"/>
    <m/>
    <n v="142565402382"/>
    <s v="Polsek Sidoharjo"/>
    <s v="ODP-SRG-FAL/006"/>
    <s v="WO065596449"/>
    <m/>
    <m/>
    <m/>
    <n v="110.9869765"/>
    <n v="-7.4362572"/>
    <s v="DGS HSI | YASINTA DN | 896703| TREG 3 |Polsek Sidoharjo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5725551706"/>
    <n v="2026"/>
    <n v="10"/>
    <n v="3"/>
    <d v="2026-10-03T00:00:00"/>
    <n v="0.5"/>
    <x v="1"/>
    <x v="7"/>
  </r>
  <r>
    <n v="210"/>
    <n v="1002620354"/>
    <n v="3"/>
    <x v="4"/>
    <n v="4"/>
    <s v="SOLO"/>
    <s v="SRAGEN"/>
    <s v="SRG"/>
    <s v="DGS"/>
    <s v="AO"/>
    <s v="NEW SALES"/>
    <m/>
    <s v="Completed (PS)"/>
    <s v="DGS-B2B TREG"/>
    <d v="2026-10-02T15:55:59"/>
    <d v="2026-10-03T17:04:36"/>
    <n v="69403290"/>
    <m/>
    <n v="142565402381"/>
    <s v="Polsek Karangmalang"/>
    <s v="ODP-SRG-FP/024"/>
    <s v="WO065595706"/>
    <m/>
    <m/>
    <m/>
    <n v="111.028575"/>
    <n v="-7.4458995000000003"/>
    <s v="DGS HSI | YASINTA DN | 896703| TREG 3 |Polsek Karangmalang| DHONY | 085725551706 | PSB 1S  INET 50 MBPS WINBACK"/>
    <s v="Amex"/>
    <m/>
    <m/>
    <m/>
    <m/>
    <m/>
    <m/>
    <m/>
    <m/>
    <s v="Management Janji"/>
    <n v="85725551706"/>
    <s v="FCC"/>
    <d v="2026-02-10T16:10:13"/>
    <m/>
    <m/>
    <s v="PS"/>
    <s v="X"/>
    <s v="NO ADDON"/>
    <n v="20261003"/>
    <s v="Complet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5725551706"/>
    <n v="2026"/>
    <n v="10"/>
    <n v="3"/>
    <d v="2026-10-03T00:00:00"/>
    <n v="0.5"/>
    <x v="1"/>
    <x v="7"/>
  </r>
  <r>
    <n v="211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212"/>
    <n v="1002620325"/>
    <n v="3"/>
    <x v="4"/>
    <n v="4"/>
    <s v="SOLO"/>
    <s v="INNER - SOLO JATENG TIMUR"/>
    <s v="GLD"/>
    <s v="DGS"/>
    <s v="AO"/>
    <s v="NEW SALES"/>
    <m/>
    <s v="7 | OSS - PROVISIONING ISSUED"/>
    <s v="DGS-B2B TREG"/>
    <d v="2026-10-02T15:46:35"/>
    <d v="2026-10-02T15:49:56"/>
    <n v="69403269"/>
    <m/>
    <n v="146514602889"/>
    <s v="KPP MADYA SURAKARTA"/>
    <s v="ODP-GLD-FAH/056"/>
    <s v="WO065594405"/>
    <m/>
    <m/>
    <m/>
    <n v="110.849343"/>
    <n v="-7.5699100000000001"/>
    <s v="DGS HSI | NUR RAHMAWATI | 920163 | TREG 3 |KPP MADYA SURAKARTA |IIrvan Syahrusyam |  082313231387 | PSB HSI Bisnis Internet Only 1:1 300mbps Rp 1.130.000"/>
    <s v="Amex"/>
    <m/>
    <m/>
    <m/>
    <m/>
    <m/>
    <m/>
    <m/>
    <m/>
    <s v="Management Janji"/>
    <n v="82313231387"/>
    <s v="FCC"/>
    <d v="2026-02-10T15:55:26"/>
    <m/>
    <m/>
    <s v="PI"/>
    <s v="X"/>
    <s v="NO ADDON"/>
    <m/>
    <s v="Provisioning Issu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2T12:00:00"/>
    <n v="82313231387"/>
    <m/>
    <m/>
    <m/>
    <e v="#NUM!"/>
    <e v="#NUM!"/>
    <x v="0"/>
    <x v="7"/>
  </r>
  <r>
    <n v="213"/>
    <n v="1002620340"/>
    <n v="3"/>
    <x v="4"/>
    <n v="4"/>
    <s v="SOLO"/>
    <s v="INNER - SOLO JATENG TIMUR"/>
    <s v="GLD"/>
    <s v="DGS"/>
    <s v="AO"/>
    <s v="NEW SALES"/>
    <m/>
    <s v="7 | OSS - PROVISIONING ISSUED"/>
    <s v="DGS-B2B TREG"/>
    <d v="2026-10-02T15:50:36"/>
    <d v="2026-10-02T15:54:03"/>
    <n v="69403288"/>
    <m/>
    <n v="146514602890"/>
    <s v="KPP MADYA SURAKARTA"/>
    <s v="ODP-GLD-FAH/042"/>
    <s v="WO065594895"/>
    <m/>
    <m/>
    <m/>
    <n v="110.849343"/>
    <n v="-7.5699100000000001"/>
    <s v="DGS HSI | NUR RAHMAWATI | 920163 | TREG 3 |KPP MADYA SURAKARTA |IIrvan Syahrusyam |  082313231387 | PSB HSI Bisnis Internet Only 1:1 300mbps Rp 1.130.000"/>
    <s v="Amex"/>
    <m/>
    <m/>
    <m/>
    <m/>
    <m/>
    <m/>
    <m/>
    <m/>
    <s v="Management Janji"/>
    <n v="82313231387"/>
    <s v="FCC"/>
    <d v="2026-02-10T15:55:26"/>
    <m/>
    <m/>
    <s v="PI"/>
    <s v="X"/>
    <s v="NO ADDON"/>
    <m/>
    <s v="Provisioning Issued"/>
    <s v="- 11_11450;Biaya PSB Reguler HSI EBIS ~ 11[500000]  - SP_NOSS;SP_NOSS ~ Internet NOSS Multispeed Network[0]  - SP_NOSS;SP_NOSS ~ Internet NOSS Multispeed Network[0]  - E25060;E25060 ~ ES25 - Paket HSI Bisnis (HSIE) Khusus Winback 2.0[0]  - E25060~null~E25"/>
    <s v="INDIBIZ"/>
    <m/>
    <m/>
    <d v="2026-10-02T12:00:00"/>
    <n v="82313231387"/>
    <m/>
    <m/>
    <m/>
    <e v="#NUM!"/>
    <e v="#NUM!"/>
    <x v="0"/>
    <x v="7"/>
  </r>
  <r>
    <n v="214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215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216"/>
    <n v="1002617638"/>
    <n v="3"/>
    <x v="4"/>
    <n v="4"/>
    <s v="SOLO"/>
    <s v="INNER - SOLO JATENG TIMUR"/>
    <s v="KRT"/>
    <s v="REG"/>
    <s v="AO"/>
    <s v="NEW SALES"/>
    <s v="2P INET + VOICE"/>
    <s v="7 | OSS - PROVISIONING ISSUED"/>
    <s v="RBS-Regional 3"/>
    <d v="2026-10-01T11:40:40"/>
    <d v="2026-10-04T22:34:24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m/>
    <s v="PI"/>
    <s v="X"/>
    <s v="NO ADDON"/>
    <m/>
    <s v="Provisioning Issu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217"/>
    <n v="1002618198"/>
    <n v="3"/>
    <x v="4"/>
    <n v="4"/>
    <s v="SOLO"/>
    <s v="INNER - SOLO JATENG TIMUR"/>
    <s v="KRT"/>
    <s v="DPS"/>
    <s v="AO"/>
    <s v="NEW SALES"/>
    <m/>
    <s v="7 | OSS - PROVISIONING ISSUED"/>
    <s v="DPS-Logistic &amp; Manufacturing"/>
    <d v="2026-10-01T14:55:34"/>
    <d v="2026-10-01T16:39:39"/>
    <n v="69402490"/>
    <m/>
    <n v="142505404702"/>
    <s v="PT Arta Boga Cemerlang"/>
    <s v="ODP-KRT-FAE/029"/>
    <s v="WO065503095"/>
    <m/>
    <m/>
    <m/>
    <n v="110.766363"/>
    <n v="-7.5643750000000001"/>
    <s v="P26-205460  ARTHABOGA CEMERLANG HSI 100 MBPS PREMIUM SUKOHARJO JAWA TENGAH"/>
    <s v="TAM"/>
    <m/>
    <m/>
    <m/>
    <m/>
    <m/>
    <m/>
    <m/>
    <m/>
    <s v="Management Janji"/>
    <s v="P26-205460  ARTHABOGA CEMERLANG HSI 100 MBPS PREMIUM SUKOHARJO JAWA TENGAH"/>
    <s v="FCC"/>
    <d v="2026-01-10T15:10:59"/>
    <m/>
    <m/>
    <s v="PI"/>
    <s v="X"/>
    <s v="NO ADDON"/>
    <m/>
    <s v="Provisioning Issued"/>
    <s v="- 11_11450;Biaya PSB Reguler HSI EBIS ~ 11[500000]  - E23046;E23046 ~ ES23 - Paket HSI Bisnis[0]  - E23046~null~E23046_UNL;UNL ~ Internet-Link Unlimited Internet Usage ~ E23046[0]  - E23046~null~44877;E23046||11||Abodemen 0[0]  - E23046~null~E23046_HSIE10"/>
    <s v="INDIBIZ"/>
    <m/>
    <m/>
    <d v="2026-10-01T21:00:00"/>
    <s v="P26-205460  ARTHABOGA CEMERLANG HSI 100 MBPS PREMIUM SUKOHARJO JAWA TENGAH"/>
    <m/>
    <m/>
    <m/>
    <e v="#NUM!"/>
    <e v="#NUM!"/>
    <x v="0"/>
    <x v="7"/>
  </r>
  <r>
    <n v="218"/>
    <n v="1002621260"/>
    <n v="3"/>
    <x v="4"/>
    <n v="4"/>
    <s v="SOLO"/>
    <s v="INNER - SOLO JATENG TIMUR"/>
    <s v="KRT"/>
    <s v="REG"/>
    <s v="AO"/>
    <s v="NEW SALES"/>
    <s v="1P INET"/>
    <s v="7 | OSS - PROVISIONING ISSUED"/>
    <s v="RBS-Regional 3"/>
    <d v="2026-10-04T09:20:35"/>
    <d v="2026-10-05T08:13:30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I"/>
    <s v="X"/>
    <s v="NO ADDON"/>
    <m/>
    <s v="Provisioning Issu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m/>
    <m/>
    <m/>
    <e v="#NUM!"/>
    <e v="#NUM!"/>
    <x v="0"/>
    <x v="7"/>
  </r>
  <r>
    <n v="219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220"/>
    <n v="1002619200"/>
    <n v="3"/>
    <x v="4"/>
    <n v="4"/>
    <s v="SOLO"/>
    <s v="INNER - SOLO JATENG TIMUR"/>
    <s v="KRT"/>
    <s v="DSS"/>
    <s v="AO"/>
    <s v="NEW SALES"/>
    <m/>
    <s v="Completed (PS)"/>
    <s v="DSS-Fin &amp; Regional Banking"/>
    <d v="2026-10-02T09:51:31"/>
    <d v="2026-10-03T17:07:39"/>
    <n v="69402819"/>
    <n v="2716011747"/>
    <n v="142505404833"/>
    <s v="BANK JATENG KF RS UMS"/>
    <s v="ODP-KRT-FU/015"/>
    <s v="WO065550201"/>
    <m/>
    <m/>
    <m/>
    <n v="110.771718767461"/>
    <n v="-7.5576117213448599"/>
    <s v="DSS RACE | FELIA | 990053 | TREG 3 | BANK JATENG | ASEF | 085728554429 | 2SHSIBISNIS50MBPSPHONE"/>
    <s v="Account Manager"/>
    <m/>
    <m/>
    <m/>
    <m/>
    <m/>
    <m/>
    <m/>
    <m/>
    <s v="Management Janji"/>
    <s v="KONFIRMASI UP"/>
    <s v="FCC"/>
    <d v="2026-02-10T10:10:27"/>
    <m/>
    <m/>
    <s v="PS"/>
    <s v="X"/>
    <s v="NO ADDON"/>
    <n v="20261003"/>
    <s v="Completed"/>
    <s v="- 11_11450;Biaya PSB Reguler HSI EBIS ~ 11[250000]  - BWY DL;BWY DL ~ Saluran Dua Arah(BothWay)[0]  - E23053;E23053 ~ ES23 - Paket HSI Bisnis  Phone (PHONE)[0]  - E23053~null~44864;E23053||11||Abodemen 0[0]  - E23053~null~E23053_IN800;IN800 ~ Free Lokal d"/>
    <s v="INDIBIZ"/>
    <m/>
    <m/>
    <d v="2026-10-02T13:00:00"/>
    <s v="KONFIRMASI UP"/>
    <n v="2026"/>
    <n v="10"/>
    <n v="3"/>
    <d v="2026-10-03T00:00:00"/>
    <n v="0.45833333333575865"/>
    <x v="1"/>
    <x v="7"/>
  </r>
  <r>
    <n v="221"/>
    <n v="1002620244"/>
    <n v="3"/>
    <x v="4"/>
    <n v="4"/>
    <s v="SOLO"/>
    <s v="INNER - SOLO JATENG TIMUR"/>
    <s v="MSO"/>
    <s v="DGS"/>
    <s v="AO"/>
    <s v="NEW SALES"/>
    <m/>
    <s v="OSS - PROVISIONING START"/>
    <s v="DGS-B2B TREG"/>
    <d v="2026-10-02T15:23:38"/>
    <d v="2026-10-02T15:26:44"/>
    <n v="69403256"/>
    <m/>
    <n v="142566102842"/>
    <s v="Polsek Kalijambe"/>
    <s v="ODP-MSO-FCC/059"/>
    <s v="WO065591592"/>
    <m/>
    <m/>
    <m/>
    <n v="110.807023"/>
    <n v="-7.4436349999999996"/>
    <s v="DGS HSI | YASINTA DN | 896703| TREG 3 |Polsek Kalijambe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RE_PI"/>
    <s v="SOLO PALUR"/>
    <s v="NO ADDON"/>
    <m/>
    <s v="Provisioning Start"/>
    <s v="- 11_11450;Biaya PSB Reguler HSI EBIS ~ 11[500000]  - SP_NOSS;SP_NOSS ~ Internet NOSS Multispeed Network[0]  - E23015;E23015 ~ ES23 - Perangkat ONT[0]  - E23015~null~44292;E23015||11||Abodemen 0[0]  - E23015~null~E23015_SWONT;SWONT ~ Biaya Sewa ONT ~ E230"/>
    <s v="INDIBIZ"/>
    <m/>
    <m/>
    <d v="2026-10-02T12:00:00"/>
    <n v="85725551706"/>
    <m/>
    <m/>
    <m/>
    <e v="#NUM!"/>
    <e v="#NUM!"/>
    <x v="0"/>
    <x v="7"/>
  </r>
  <r>
    <n v="222"/>
    <n v="1002620424"/>
    <n v="3"/>
    <x v="4"/>
    <n v="4"/>
    <s v="SOLO"/>
    <s v="INNER - SOLO JATENG TIMUR"/>
    <s v="MSO"/>
    <s v="DGS"/>
    <s v="AO"/>
    <s v="NEW SALES"/>
    <m/>
    <s v="Completed (PS)"/>
    <s v="DGS-B2B TREG"/>
    <d v="2026-10-02T16:21:05"/>
    <d v="2026-10-04T21:33:21"/>
    <n v="69403299"/>
    <m/>
    <n v="142566102845"/>
    <s v="Polsek Gemolong"/>
    <s v="ODP-MSO-FCD/039"/>
    <s v="WO065598820"/>
    <m/>
    <m/>
    <m/>
    <n v="110.82771003253799"/>
    <n v="-7.3967957134839599"/>
    <s v="DGS HSI | YASINTA DN | 896703| TREG 3 |Polsek Gemolong| DHONY | 085725551706 | PSB 1S  INET 50 MBPS WINBACK"/>
    <s v="Amex"/>
    <m/>
    <m/>
    <m/>
    <m/>
    <m/>
    <m/>
    <m/>
    <m/>
    <s v="Management Janji"/>
    <n v="85725551706"/>
    <s v="FCC"/>
    <d v="2026-02-10T16:25:45"/>
    <m/>
    <m/>
    <s v="PS"/>
    <s v="SOLO PALUR"/>
    <s v="NO ADDON"/>
    <n v="20261004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2026-10-02T12:00:00"/>
    <n v="85725551706"/>
    <n v="2026"/>
    <n v="10"/>
    <n v="4"/>
    <d v="2026-10-04T00:00:00"/>
    <n v="1.5"/>
    <x v="2"/>
    <x v="7"/>
  </r>
  <r>
    <n v="223"/>
    <n v="1002620161"/>
    <n v="3"/>
    <x v="4"/>
    <n v="4"/>
    <s v="SOLO"/>
    <s v="INNER - SOLO JATENG TIMUR"/>
    <s v="MSO"/>
    <s v="DGS"/>
    <s v="AO"/>
    <s v="NEW SALES"/>
    <m/>
    <s v="Completed (PS)"/>
    <s v="DGS-B2B TREG"/>
    <d v="2026-10-02T15:06:21"/>
    <d v="2026-10-04T10:39:17"/>
    <n v="69403220"/>
    <m/>
    <n v="142566102838"/>
    <s v="Reskrim Polsek Sumberlawang"/>
    <s v="ODP-MSO-FQ/021"/>
    <s v="WO065587659"/>
    <m/>
    <m/>
    <m/>
    <n v="110.8581588"/>
    <n v="-7.3316076999999904"/>
    <s v="DGS HSI | YASINTA DN | 896703| TREG 3 |POLRES SRAGEN| DHONY | 085725551706 | PSB 1S  INET 50 MBPS WINBACK"/>
    <s v="Amex"/>
    <m/>
    <m/>
    <m/>
    <m/>
    <m/>
    <m/>
    <m/>
    <m/>
    <s v="Management Janji"/>
    <n v="85725551706"/>
    <s v="FCC"/>
    <d v="2026-02-10T15:40:15"/>
    <m/>
    <m/>
    <s v="PS"/>
    <s v="SOLO PALUR"/>
    <s v="NO ADDON"/>
    <n v="20261004"/>
    <s v="Completed"/>
    <s v="- 11_11450;Biaya PSB Reguler HSI EBIS ~ 11[500000]  - E23015;E23015 ~ ES23 - Perangkat ONT[0]  - E23015~null~44292;E23015||11||Abodemen 0[0]  - E23015~null~E23015_SWONT;SWONT ~ Biaya Sewa ONT ~ E23015[30000]  - SP_NOSS;SP_NOSS ~ Internet NOSS Multispeed N"/>
    <s v="INDIBIZ"/>
    <m/>
    <m/>
    <d v="2026-10-02T12:00:00"/>
    <n v="85725551706"/>
    <n v="2026"/>
    <n v="10"/>
    <n v="4"/>
    <d v="2026-10-04T00:00:00"/>
    <n v="1.5"/>
    <x v="2"/>
    <x v="7"/>
  </r>
  <r>
    <n v="224"/>
    <n v="1002619389"/>
    <n v="3"/>
    <x v="4"/>
    <n v="4"/>
    <s v="SOLO"/>
    <s v="WONOGIRI"/>
    <s v="BRN"/>
    <s v="DPS"/>
    <s v="AO"/>
    <s v="NEW SALES"/>
    <m/>
    <s v="FCC - HD1A - OPEN"/>
    <s v="DPS-Logistic &amp; Manufacturing"/>
    <d v="2026-10-02T10:43:11"/>
    <d v="2026-10-02T10:44:04"/>
    <n v="69402891"/>
    <m/>
    <n v="146517100139"/>
    <s v="PT Nusantara Ekspres Kilat FM Hub + Hub Baturetno (Replacement)"/>
    <m/>
    <m/>
    <m/>
    <m/>
    <m/>
    <n v="110.964220209087"/>
    <n v="-7.9424445837153401"/>
    <s v="P26-205585  PSB HSI Bisnis 7 Lokasi PT Nusantara Ekspres Kilat Shopee Express - 21 Agustus 2026  "/>
    <s v="TAM"/>
    <m/>
    <m/>
    <m/>
    <m/>
    <m/>
    <m/>
    <m/>
    <m/>
    <s v="Management Janji"/>
    <d v="1970-01-01T00:00:00"/>
    <s v="FCC"/>
    <d v="2026-02-10T10:55:19"/>
    <m/>
    <m/>
    <s v="FCC"/>
    <s v="X"/>
    <s v="NO ADDON"/>
    <m/>
    <s v="MYDITA DPS-Logistic &amp; Manufacturing - HD1A - OPEN, Order tidak perlu di caring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1970-01-01T00:00:00"/>
    <d v="1970-01-01T00:00:00"/>
    <m/>
    <m/>
    <m/>
    <e v="#NUM!"/>
    <e v="#NUM!"/>
    <x v="0"/>
    <x v="7"/>
  </r>
  <r>
    <n v="225"/>
    <n v="1002619578"/>
    <n v="3"/>
    <x v="4"/>
    <n v="4"/>
    <s v="SOLO"/>
    <s v="WONOGIRI"/>
    <s v="JSO"/>
    <s v="REG"/>
    <s v="AO"/>
    <s v="NEW SALES"/>
    <s v="1P INET"/>
    <s v="OSS - PROVISIONING START"/>
    <s v="RBS-Regional 3"/>
    <d v="2026-10-02T11:35:34"/>
    <d v="2026-10-05T08:05:12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m/>
    <s v="PRE_PI"/>
    <s v="X"/>
    <s v="NO ADDON"/>
    <m/>
    <s v="Provisioning Start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226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227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228"/>
    <n v="1002621082"/>
    <n v="3"/>
    <x v="4"/>
    <n v="4"/>
    <s v="SOLO"/>
    <s v="WONOGIRI"/>
    <s v="WNG"/>
    <s v="REG"/>
    <s v="AO"/>
    <s v="NEW SALES"/>
    <s v="1P INET"/>
    <s v="7 | OSS - PROVISIONING ISSUED"/>
    <s v="RBS-Regional 3"/>
    <d v="2026-10-03T15:23:35"/>
    <d v="2026-10-04T15:24:11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I"/>
    <s v="X"/>
    <s v="NO ADDON"/>
    <m/>
    <s v="Provisioning Issu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7"/>
  </r>
  <r>
    <n v="229"/>
    <n v="1002621515"/>
    <n v="3"/>
    <x v="4"/>
    <n v="4"/>
    <s v="SOLO"/>
    <s v="WONOGIRI"/>
    <s v="WNG"/>
    <s v="REG"/>
    <s v="AO"/>
    <s v="NEW SALES"/>
    <s v="1P INET"/>
    <s v="MIE - SEND SURVEY"/>
    <s v="RBS-Regional 3"/>
    <d v="2026-10-04T19:20:35"/>
    <d v="2026-10-04T19:22:44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SURVEY_NEW_MANJA"/>
    <s v="X"/>
    <s v="NO ADDON"/>
    <m/>
    <s v="MIE - SEND SURVEY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m/>
    <m/>
    <m/>
    <e v="#NUM!"/>
    <e v="#NUM!"/>
    <x v="0"/>
    <x v="7"/>
  </r>
  <r>
    <n v="230"/>
    <n v="1002620284"/>
    <n v="3"/>
    <x v="5"/>
    <n v="5"/>
    <s v="SIDOARJO"/>
    <s v="JOMBANG"/>
    <s v="JOM"/>
    <s v="DPS"/>
    <s v="AO"/>
    <s v="NEW SALES"/>
    <m/>
    <s v="MYCX - SEND OPEN PAPERLESS"/>
    <s v="DPS-Logistic &amp; Manufacturing"/>
    <d v="2026-10-02T15:35:49"/>
    <d v="2026-10-02T15:38:09"/>
    <n v="69403260"/>
    <m/>
    <n v="152318242565"/>
    <s v="PT Nusantara Ekspres Kilat Hub Perak"/>
    <s v="ODP-JOM-FAC/029"/>
    <s v="WO065593145"/>
    <m/>
    <m/>
    <m/>
    <n v="112.163609271163"/>
    <n v="-7.56384831774103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40:15"/>
    <m/>
    <m/>
    <s v="INPROGRESS_SC"/>
    <s v="JOMBANG"/>
    <s v="NO ADDON"/>
    <m/>
    <s v="SEND PAPERLESS OPEN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00:00"/>
    <s v="P26-205589  PSB HSI Bisnis 8 Lokasi PT Nusantara Ekspres Kilat Shopee Express - 08 September 2026  "/>
    <m/>
    <m/>
    <m/>
    <e v="#NUM!"/>
    <e v="#NUM!"/>
    <x v="0"/>
    <x v="15"/>
  </r>
  <r>
    <n v="231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5"/>
  </r>
  <r>
    <n v="232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5"/>
  </r>
  <r>
    <n v="233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5"/>
  </r>
  <r>
    <n v="234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5"/>
  </r>
  <r>
    <n v="235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5"/>
  </r>
  <r>
    <n v="236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5"/>
  </r>
  <r>
    <n v="237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5"/>
  </r>
  <r>
    <n v="238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5"/>
  </r>
  <r>
    <n v="239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5"/>
  </r>
  <r>
    <n v="240"/>
    <n v="1002621142"/>
    <n v="3"/>
    <x v="5"/>
    <n v="5"/>
    <s v="SIDOARJO"/>
    <s v="MOJOKERTO"/>
    <s v="MRT"/>
    <s v="REG"/>
    <s v="AO"/>
    <s v="NEW SALES"/>
    <m/>
    <s v="QC MIA - SEND QUALITY CONTROL MIA"/>
    <s v="RBS-Regional 3"/>
    <d v="2026-10-03T16:42:18"/>
    <d v="2026-10-03T16:46:01"/>
    <n v="69403723"/>
    <m/>
    <n v="152312243367"/>
    <s v="BIENSI FES YENINDO"/>
    <s v="ODP-MRT-FAJ/20"/>
    <m/>
    <m/>
    <m/>
    <m/>
    <n v="112.443244659539"/>
    <n v="-7.471261750679589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m/>
    <m/>
    <m/>
    <d v="2026-03-10T17:25:31"/>
    <m/>
    <m/>
    <s v="QC1"/>
    <s v="MOJOKERTO"/>
    <s v="NETMONK"/>
    <m/>
    <s v="QC MIA - SEND QUALITY CONTROL MI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5"/>
  </r>
  <r>
    <n v="241"/>
    <n v="1002617823"/>
    <n v="3"/>
    <x v="5"/>
    <n v="5"/>
    <s v="SIDOARJO"/>
    <s v="INNER - JATIM TIMUR"/>
    <s v="KRN"/>
    <s v="REG"/>
    <s v="AO"/>
    <s v="NEW SALES"/>
    <s v="1P INET"/>
    <s v="OSS - PROVISIONING START"/>
    <s v="RBS-Regional 3"/>
    <d v="2026-10-01T13:16:35"/>
    <d v="2026-10-01T16:20:30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m/>
    <s v="PRE_PI"/>
    <s v="KRIAN"/>
    <s v="NO ADDON"/>
    <m/>
    <s v="Provisioning Start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6"/>
  </r>
  <r>
    <n v="242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6"/>
  </r>
  <r>
    <n v="243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6"/>
  </r>
  <r>
    <n v="244"/>
    <n v="1002617423"/>
    <n v="3"/>
    <x v="5"/>
    <n v="5"/>
    <s v="SIDOARJO"/>
    <s v="INNER - JATIM TIMUR"/>
    <s v="SDA"/>
    <s v="REG"/>
    <s v="AO"/>
    <s v="NEW SALES"/>
    <s v="1P INET"/>
    <s v="OSS - FALLOUT"/>
    <s v="RBS-Regional 3"/>
    <d v="2026-10-01T10:43:39"/>
    <d v="2026-10-03T11:45:4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FO_WFM"/>
    <s v="SIDOARJO"/>
    <s v="OCA"/>
    <m/>
    <s v="Provisioning Failed|WFM|INF009633097|Pelanggan meminta pending/resechedule pemasangan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6"/>
  </r>
  <r>
    <n v="245"/>
    <n v="1002621524"/>
    <n v="3"/>
    <x v="5"/>
    <n v="5"/>
    <s v="SIDOARJO"/>
    <s v="INNER - JATIM TIMUR"/>
    <s v="SDA"/>
    <s v="DGS"/>
    <s v="AO"/>
    <s v="NEW SALES"/>
    <m/>
    <s v="7 | OSS - PROVISIONING ISSUED"/>
    <s v="DGS-B2B TREG"/>
    <d v="2026-10-04T22:25:52"/>
    <d v="2026-10-04T22:31:12"/>
    <n v="69308751"/>
    <m/>
    <n v="152316233288"/>
    <s v="DSKMNF SDA 2026"/>
    <s v="ODP-SDA-FBK/11"/>
    <s v="WO065731529"/>
    <m/>
    <m/>
    <m/>
    <n v="112.73811000000001"/>
    <n v="-7.4529569999999996"/>
    <s v="AM | KOKO | 403637 | GS  | PSB  |TREG 3 |DISKOMINFO SIDOARJO|85184657451"/>
    <s v="Amex"/>
    <m/>
    <m/>
    <m/>
    <m/>
    <m/>
    <m/>
    <m/>
    <m/>
    <s v="Management Janji"/>
    <s v="PSB"/>
    <s v="FCC"/>
    <d v="2026-04-10T22:40:26"/>
    <m/>
    <m/>
    <s v="PI"/>
    <s v="SIDOARJO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5T13:30:00"/>
    <s v="PSB"/>
    <m/>
    <m/>
    <m/>
    <e v="#NUM!"/>
    <e v="#NUM!"/>
    <x v="0"/>
    <x v="16"/>
  </r>
  <r>
    <n v="246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6"/>
  </r>
  <r>
    <n v="247"/>
    <n v="1002617448"/>
    <n v="3"/>
    <x v="5"/>
    <n v="5"/>
    <s v="SIDOARJO"/>
    <s v="INNER - JATIM TIMUR"/>
    <s v="SDA"/>
    <s v="DPS"/>
    <s v="AO"/>
    <s v="NEW SALES"/>
    <m/>
    <s v="Completed (PS)"/>
    <s v="DPS-Private Conglomeration"/>
    <d v="2026-10-01T10:48:43"/>
    <d v="2026-10-02T15:29:54"/>
    <n v="69402182"/>
    <m/>
    <n v="152316233174"/>
    <s v="PT. Andalira Cipta Abadi"/>
    <s v="ODP-SDA-FT/42"/>
    <s v="WO065472322"/>
    <m/>
    <m/>
    <m/>
    <n v="112.692944"/>
    <n v="-7.4326939999999997"/>
    <s v="DES HSI | RIZKY ANDAWASATYA | 916315 | TREG3 | PT. Andalira Cipta Abadi  | 081808489107"/>
    <s v="Account Manager"/>
    <m/>
    <m/>
    <m/>
    <m/>
    <m/>
    <m/>
    <m/>
    <m/>
    <s v="Management Janji"/>
    <s v="PT. Andalira Cipta Abadi Site Surabaya  Ruko Monroe,Ã‚Â Jl. Kahuripan Nirwana no. 32, Sumput, Sidoarjo   "/>
    <s v="FCC"/>
    <d v="2026-01-10T11:40:20"/>
    <m/>
    <s v="Kendala Pelanggan"/>
    <s v="PS"/>
    <s v="SIDOARJO"/>
    <s v="NO ADDON"/>
    <n v="20261002"/>
    <s v="Completed"/>
    <s v="- 11_11450;Biaya PSB Reguler HSI EBIS ~ 11[150000]  - SP_NOSS;SP_NOSS ~ Internet NOSS Multispeed Network[0]  - E23046;E23046 ~ ES23 - Paket HSI Bisnis[0]  - E23046~null~E23046_UNL;UNL ~ Internet-Link Unlimited Internet Usage ~ E23046[0]  - E23046~null~448"/>
    <s v="INDIBIZ"/>
    <m/>
    <m/>
    <d v="2026-10-08T12:00:00"/>
    <s v="PT. Andalira Cipta Abadi Site Surabaya  Ruko Monroe,Ã‚Â Jl. Kahuripan Nirwana no. 32, Sumput, Sidoarjo   "/>
    <n v="2026"/>
    <n v="10"/>
    <n v="2"/>
    <d v="2026-10-02T00:00:00"/>
    <n v="-6.5"/>
    <x v="1"/>
    <x v="16"/>
  </r>
  <r>
    <n v="248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6"/>
  </r>
  <r>
    <n v="249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7"/>
  </r>
  <r>
    <n v="250"/>
    <n v="1002621479"/>
    <n v="3"/>
    <x v="5"/>
    <n v="5"/>
    <s v="SIDOARJO"/>
    <s v="PASURUAN"/>
    <s v="PDA"/>
    <s v="REG"/>
    <s v="AO"/>
    <s v="NEW SALES"/>
    <s v="1P INET"/>
    <s v="MIE - SEND SURVEY"/>
    <s v="RBS-Regional 3"/>
    <d v="2026-10-04T16:13:48"/>
    <d v="2026-10-04T16:16:02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m/>
    <s v="SURVEY_NEW_MANJA"/>
    <s v="PANDAAN"/>
    <s v="NO ADDON"/>
    <m/>
    <s v="MIE - SEND SURVEY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7"/>
  </r>
  <r>
    <n v="251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7"/>
  </r>
  <r>
    <n v="252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6"/>
  </r>
  <r>
    <n v="253"/>
    <n v="1002620404"/>
    <n v="3"/>
    <x v="3"/>
    <n v="5"/>
    <s v="SBY SELATAN"/>
    <s v="KETINTANG"/>
    <s v="WRU"/>
    <s v="REG"/>
    <s v="AO"/>
    <s v="NEW SALES"/>
    <m/>
    <s v="OSS - FALLOUT"/>
    <s v="RBS-Regional 3"/>
    <d v="2026-10-02T16:14:34"/>
    <d v="2026-10-04T09:00:35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FO_WFM"/>
    <s v="WARU INJOKO"/>
    <s v="NO ADDON"/>
    <m/>
    <s v="Provisioning Failed|WFM|INF009645877|BELUM ADA JARINGAN DIDALAM PERGUDANGAN,TAGGING PELANGGAN -7.375428,112.727172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254"/>
    <n v="1002620339"/>
    <n v="3"/>
    <x v="3"/>
    <n v="5"/>
    <s v="SBY SELATAN"/>
    <s v="KETINTANG"/>
    <s v="WRU"/>
    <s v="REG"/>
    <s v="AO"/>
    <s v="NEW SALES"/>
    <m/>
    <s v="OSS - PROVISIONING START"/>
    <s v="RBS-Regional 3"/>
    <d v="2026-10-02T15:52:10"/>
    <d v="2026-10-04T08:04:53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m/>
    <s v="PRE_PI"/>
    <s v="WARU INJOKO"/>
    <s v="NO ADDON"/>
    <m/>
    <s v="Provisioning Start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255"/>
    <n v="1002617383"/>
    <n v="3"/>
    <x v="3"/>
    <n v="5"/>
    <s v="SBY SELATAN"/>
    <s v="KETINTANG"/>
    <s v="TPO"/>
    <s v="REG"/>
    <s v="AO"/>
    <s v="NEW SALES"/>
    <s v="1P INET"/>
    <s v="OSS - PROVISIONING START"/>
    <s v="RBS-Regional 3"/>
    <d v="2026-10-01T10:35:40"/>
    <d v="2026-10-02T08:14:43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m/>
    <s v="PRE_PI"/>
    <s v="TROPODO"/>
    <s v="NO ADDON"/>
    <m/>
    <s v="Provisioning Start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m/>
    <m/>
    <m/>
    <e v="#NUM!"/>
    <e v="#NUM!"/>
    <x v="0"/>
    <x v="14"/>
  </r>
  <r>
    <n v="256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257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258"/>
    <n v="1002618408"/>
    <n v="3"/>
    <x v="6"/>
    <n v="4"/>
    <s v="SEMARANG"/>
    <s v="SALATIGA"/>
    <s v="SLI"/>
    <s v="DPS"/>
    <s v="AO"/>
    <s v="NEW SALES"/>
    <m/>
    <s v="7 | OSS - PROVISIONING ISSUED"/>
    <s v="DPS-Logistic &amp; Manufacturing"/>
    <d v="2026-10-01T15:42:45"/>
    <d v="2026-10-01T17:48:24"/>
    <n v="69402553"/>
    <m/>
    <n v="142434111805"/>
    <s v="PT Nusantara Ekspres Kilat FM Hub + Hub Karanggede (Replacement)"/>
    <s v="ODP-SLI-FAQ/015"/>
    <s v="WO065510887"/>
    <m/>
    <m/>
    <m/>
    <n v="110.66051459819801"/>
    <n v="-7.3115769745066101"/>
    <s v="P26-205570  PSB HSI Bisnis 5 Site PT Nusantara Ekspres Kilat Shopee Express - 19 Agustus 2026  "/>
    <s v="TAM"/>
    <m/>
    <m/>
    <m/>
    <m/>
    <m/>
    <m/>
    <m/>
    <m/>
    <s v="Management Janji"/>
    <s v="P26-205570  PSB HSI Bisnis 5 Site PT Nusantara Ekspres Kilat Shopee Express - 19 Agustus 2026  "/>
    <s v="FCC"/>
    <d v="2026-01-10T16:39:58"/>
    <m/>
    <m/>
    <s v="PI"/>
    <s v="X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20:30:00"/>
    <s v="P26-205570  PSB HSI Bisnis 5 Site PT Nusantara Ekspres Kilat Shopee Express - 19 Agustus 2026  "/>
    <m/>
    <m/>
    <m/>
    <e v="#NUM!"/>
    <e v="#NUM!"/>
    <x v="0"/>
    <x v="7"/>
  </r>
  <r>
    <n v="259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260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261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262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263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264"/>
    <n v="1002617361"/>
    <n v="3"/>
    <x v="4"/>
    <n v="4"/>
    <s v="KUDUS"/>
    <s v="KUDUS"/>
    <s v="KUD"/>
    <s v="REG"/>
    <s v="AO"/>
    <s v="NEW SALES"/>
    <s v="1P INET"/>
    <s v="MIE - SEND SURVEY"/>
    <s v="RBS-Regional 3"/>
    <d v="2026-10-01T10:31:39"/>
    <d v="2026-10-01T10:34:0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m/>
    <s v="SURVEY_NEW_MANJA"/>
    <s v="X"/>
    <s v="NO ADDON"/>
    <m/>
    <s v="MIE - SEND SURVEY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265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266"/>
    <n v="1002620143"/>
    <n v="3"/>
    <x v="4"/>
    <n v="4"/>
    <s v="KUDUS"/>
    <s v="PATI"/>
    <s v="PAT"/>
    <s v="DPS"/>
    <s v="AO"/>
    <s v="NEW SALES"/>
    <m/>
    <s v="Completed (PS)"/>
    <s v="DPS-Logistic &amp; Manufacturing"/>
    <d v="2026-10-02T15:02:12"/>
    <d v="2026-10-03T17:27:00"/>
    <n v="69403193"/>
    <m/>
    <n v="142551119694"/>
    <s v="PT Nusantara Ekspres Kilat FM Hub + Hub Margorejo (Replacement)"/>
    <s v="ODP-PAT-FAL/050"/>
    <s v="WO065587052"/>
    <m/>
    <m/>
    <m/>
    <n v="111.00917031443601"/>
    <n v="-6.75342804400469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40:15"/>
    <m/>
    <m/>
    <s v="PS"/>
    <s v="X"/>
    <s v="NO ADDON"/>
    <n v="20261003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00:00"/>
    <s v="P26-205589  PSB HSI Bisnis 8 Lokasi PT Nusantara Ekspres Kilat Shopee Express - 08 September 2026  "/>
    <n v="2026"/>
    <n v="10"/>
    <n v="3"/>
    <d v="2026-10-03T00:00:00"/>
    <n v="-0.875"/>
    <x v="1"/>
    <x v="7"/>
  </r>
  <r>
    <n v="267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268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269"/>
    <n v="1002620989"/>
    <n v="3"/>
    <x v="6"/>
    <n v="4"/>
    <s v="SEMARANG"/>
    <s v="INNER - SEMARANG JATENG UTARA"/>
    <s v="SMT"/>
    <s v="REG"/>
    <s v="AO"/>
    <s v="NEW SALES"/>
    <s v="1P INET"/>
    <s v="7 | OSS - PROVISIONING ISSUED"/>
    <s v="RBS-Regional 3"/>
    <d v="2026-10-03T13:29:35"/>
    <d v="2026-10-05T08:07:46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I"/>
    <s v="SEMARANG TUGU"/>
    <s v="NO ADDON"/>
    <m/>
    <s v="Provisioning Issu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m/>
    <m/>
    <m/>
    <e v="#NUM!"/>
    <e v="#NUM!"/>
    <x v="0"/>
    <x v="7"/>
  </r>
  <r>
    <n v="270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271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272"/>
    <n v="1002619278"/>
    <n v="3"/>
    <x v="6"/>
    <n v="4"/>
    <s v="SEMARANG"/>
    <s v="INNER - SEMARANG JATENG UTARA"/>
    <s v="GNK"/>
    <s v="REG"/>
    <s v="AO"/>
    <s v="NEW SALES"/>
    <s v="1P INET"/>
    <s v="7 | OSS - PROVISIONING ISSUED"/>
    <s v="RBS-Regional 3"/>
    <d v="2026-10-02T10:14:40"/>
    <d v="2026-10-03T08:06:33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PI"/>
    <s v="JOHAR"/>
    <s v="NO ADDON"/>
    <m/>
    <s v="Provisioning Issued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273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274"/>
    <n v="1002619811"/>
    <n v="3"/>
    <x v="6"/>
    <n v="4"/>
    <s v="SEMARANG"/>
    <s v="INNER - SEMARANG JATENG UTARA"/>
    <s v="GNK"/>
    <s v="REG"/>
    <s v="AO"/>
    <s v="NEW SALES"/>
    <m/>
    <s v="MYCX - SEND OPEN PAPERLESS"/>
    <s v="RBS-Regional 2"/>
    <d v="2026-10-02T13:37:19"/>
    <d v="2026-10-02T13:40:14"/>
    <n v="66525052"/>
    <m/>
    <n v="143424112888"/>
    <s v="PT. BANGUN INFORMASI TEKNOLOGI"/>
    <s v="ODP-GNK-FA/105"/>
    <m/>
    <m/>
    <m/>
    <m/>
    <n v="110.47842855576999"/>
    <n v="-6.9632283011959801"/>
    <s v="AMRBS;950223;ALDHIAZ;JKT OUTER;HSI Bisnis PSB 70% - 150 Mbps - (819000);CP RIZIQ 0877-1577-1000  ALT SANDY 087778113956;billing@bnteknologi.com  "/>
    <s v="Account Manager"/>
    <m/>
    <m/>
    <m/>
    <m/>
    <m/>
    <m/>
    <m/>
    <m/>
    <m/>
    <m/>
    <m/>
    <d v="2026-02-10T13:39:53"/>
    <m/>
    <m/>
    <s v="INPROGRESS_SC"/>
    <s v="JOHAR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7"/>
  </r>
  <r>
    <n v="275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276"/>
    <n v="1002621435"/>
    <n v="3"/>
    <x v="6"/>
    <n v="4"/>
    <s v="SEMARANG"/>
    <s v="INNER - SEMARANG JATENG UTARA"/>
    <s v="JHR"/>
    <s v="REG"/>
    <s v="AO"/>
    <s v="NEW SALES"/>
    <s v="1P INET"/>
    <s v="MIE - SEND SURVEY"/>
    <s v="RBS-Regional 3"/>
    <d v="2026-10-04T14:34:40"/>
    <d v="2026-10-04T14:36:06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SURVEY_NEW_MANJA"/>
    <s v="JOHAR"/>
    <s v="NO ADDON"/>
    <m/>
    <s v="MIE - SEND SURVEY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m/>
    <m/>
    <m/>
    <e v="#NUM!"/>
    <e v="#NUM!"/>
    <x v="0"/>
    <x v="7"/>
  </r>
  <r>
    <n v="277"/>
    <n v="1002619079"/>
    <n v="3"/>
    <x v="6"/>
    <n v="4"/>
    <s v="SEMARANG"/>
    <s v="INNER - SEMARANG JATENG UTARA"/>
    <s v="MJP"/>
    <s v="DSS"/>
    <s v="AO"/>
    <s v="NEW SALES"/>
    <m/>
    <s v="7 | OSS - PROVISIONING ISSUED"/>
    <s v="DSS-Fin &amp; Regional Banking"/>
    <d v="2026-10-02T09:12:14"/>
    <d v="2026-10-02T09:16:21"/>
    <n v="69402751"/>
    <m/>
    <n v="142410346879"/>
    <s v="BPJS KETENAGAKERJAAN CABANG SEMARANG MAJAPAHIT "/>
    <s v="ODP-MJP-FCJ/028"/>
    <s v="WO065545939"/>
    <m/>
    <m/>
    <m/>
    <n v="110.48600869737101"/>
    <n v="-7.0169656294131002"/>
    <s v="DSS RACE | AM.ANDRE | 406108 | TREG 3 | BPJS KETENAGAKERJAAN | NOVIZAR | 085727214336 | HSIBISNIS200MBPS"/>
    <s v="Account Manager"/>
    <m/>
    <m/>
    <m/>
    <m/>
    <m/>
    <m/>
    <m/>
    <m/>
    <s v="Management Janji"/>
    <s v="KONFIRMASI UP"/>
    <s v="FCC"/>
    <d v="2026-02-10T09:26:25"/>
    <m/>
    <m/>
    <s v="PI"/>
    <s v="MAJAPAHIT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KONFIRMASI UP"/>
    <m/>
    <m/>
    <m/>
    <e v="#NUM!"/>
    <e v="#NUM!"/>
    <x v="0"/>
    <x v="7"/>
  </r>
  <r>
    <n v="278"/>
    <n v="1002620382"/>
    <n v="3"/>
    <x v="2"/>
    <n v="4"/>
    <s v="PURWOKERTO"/>
    <s v="PURWOKERTO"/>
    <s v="AJB"/>
    <s v="DPS"/>
    <s v="AO"/>
    <s v="NEW SALES"/>
    <m/>
    <s v="Completed (PS)"/>
    <s v="DPS-Financial &amp; Welfare"/>
    <d v="2026-10-02T16:03:31"/>
    <d v="2026-10-03T11:20:15"/>
    <n v="69401616"/>
    <m/>
    <n v="143387116577"/>
    <s v="Permodalan Nasional Madani"/>
    <s v="ODP-AJB-FQ/005"/>
    <s v="WO065596692"/>
    <m/>
    <m/>
    <m/>
    <n v="109.0855741"/>
    <n v="-7.3865591999999998"/>
    <s v="DSS RACE | astri | 403357 | Witel Yogya Jateng Selatan | TREG 3 | pak Yoga| +62 857-2944-3311"/>
    <s v="Amex"/>
    <m/>
    <m/>
    <m/>
    <m/>
    <m/>
    <m/>
    <m/>
    <m/>
    <s v="Management Janji"/>
    <s v="HSI 50 MBPS"/>
    <s v="FCC"/>
    <d v="2026-02-10T16:10:13"/>
    <m/>
    <m/>
    <s v="PS"/>
    <s v="AJIBARANG"/>
    <s v="NO ADDON"/>
    <n v="20261003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HSI 50 MBPS"/>
    <n v="2026"/>
    <n v="10"/>
    <n v="3"/>
    <d v="2026-10-03T00:00:00"/>
    <n v="20728.708333333332"/>
    <x v="2"/>
    <x v="7"/>
  </r>
  <r>
    <n v="279"/>
    <n v="1002621149"/>
    <n v="3"/>
    <x v="2"/>
    <n v="4"/>
    <s v="PURWOKERTO"/>
    <s v="PURWOKERTO"/>
    <s v="CLO"/>
    <s v="REG"/>
    <s v="AO"/>
    <s v="NEW SALES"/>
    <s v="1P INET"/>
    <s v="OSS - PROVISIONING START"/>
    <s v="RBS-Regional 3"/>
    <d v="2026-10-03T17:01:35"/>
    <d v="2026-10-05T08:14:33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m/>
    <s v="PRE_PI"/>
    <s v="AJIBARANG"/>
    <s v="NO ADDON"/>
    <m/>
    <s v="Provisioning Start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280"/>
    <n v="1002619536"/>
    <n v="3"/>
    <x v="2"/>
    <n v="4"/>
    <s v="PURWOKERTO"/>
    <s v="PURWOKERTO"/>
    <s v="PWT"/>
    <s v="DPS"/>
    <s v="AO"/>
    <s v="NEW SALES"/>
    <m/>
    <s v="OSS - FALLOUT"/>
    <s v="DPS-Retail &amp; Media"/>
    <d v="2026-10-02T11:23:29"/>
    <d v="2026-10-02T14:35:06"/>
    <n v="61866186"/>
    <m/>
    <n v="146303629362"/>
    <s v="AKUR PRATAMA"/>
    <s v="ODP-PWT-FAL/090"/>
    <s v="WO065562715"/>
    <m/>
    <m/>
    <m/>
    <n v="109.24125256008099"/>
    <n v="-7.4476682686611904"/>
    <s v="DPS HSI; AM RATU INTAN; PSB INDIBIZ 1S 50MBPS; PIC IMAM PURNAMA 081120057915"/>
    <s v="Account Manager"/>
    <m/>
    <m/>
    <m/>
    <m/>
    <m/>
    <m/>
    <m/>
    <m/>
    <s v="Management Janji"/>
    <s v="DPS HSI; AM RATU INTAN; PSB INDIBIZ 1S 50MBPS; PIC DANI AULIA 081809636768"/>
    <s v="FCC"/>
    <d v="2026-02-10T11:25:24"/>
    <m/>
    <s v="Kendala Teknik"/>
    <s v="FO_WFM"/>
    <s v="X"/>
    <s v="NO ADDON"/>
    <m/>
    <s v="Provisioning Failed|WFM|INF009619244|TKJ_-7.4475104000000005,109.2414503_ganti SC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2T13:00:00"/>
    <s v="DPS HSI; AM RATU INTAN; PSB INDIBIZ 1S 50MBPS; PIC DANI AULIA 081809636768"/>
    <m/>
    <m/>
    <m/>
    <e v="#NUM!"/>
    <e v="#NUM!"/>
    <x v="0"/>
    <x v="7"/>
  </r>
  <r>
    <n v="281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282"/>
    <n v="1002618750"/>
    <n v="3"/>
    <x v="2"/>
    <n v="4"/>
    <s v="PURWOKERTO"/>
    <s v="PURWOKERTO"/>
    <s v="PWT"/>
    <s v="REG"/>
    <s v="AO"/>
    <s v="NEW SALES"/>
    <s v="1P INET"/>
    <s v="7 | OSS - PROVISIONING ISSUED"/>
    <s v="RBS-Regional 3"/>
    <d v="2026-10-01T17:40:40"/>
    <d v="2026-10-02T15:13:48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m/>
    <s v="PI"/>
    <s v="X"/>
    <s v="NO ADDON"/>
    <m/>
    <s v="Provisioning Issued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283"/>
    <n v="1002620985"/>
    <n v="3"/>
    <x v="2"/>
    <n v="4"/>
    <s v="PURWOKERTO"/>
    <s v="PURWOKERTO"/>
    <s v="PWT"/>
    <s v="REG"/>
    <s v="AO"/>
    <s v="NEW SALES"/>
    <m/>
    <s v="7 | OSS - PROVISIONING ISSUED"/>
    <s v="RBS-Regional 3"/>
    <d v="2026-10-03T13:21:08"/>
    <d v="2026-10-03T13:59:24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284"/>
    <n v="1002620248"/>
    <n v="3"/>
    <x v="2"/>
    <n v="4"/>
    <s v="PURWOKERTO"/>
    <s v="PURWOKERTO"/>
    <s v="PWT"/>
    <s v="DPS"/>
    <s v="AO"/>
    <s v="NEW SALES"/>
    <m/>
    <s v="Completed (PS)"/>
    <s v="DPS-Retail &amp; Media"/>
    <d v="2026-10-02T15:24:30"/>
    <d v="2026-10-02T18:04:05"/>
    <n v="61866186"/>
    <m/>
    <n v="146303629373"/>
    <s v="AKUR PRATAMA"/>
    <s v="ODP-PWT-FAL/156"/>
    <s v="WO065591686"/>
    <m/>
    <m/>
    <m/>
    <n v="109.241611090218"/>
    <n v="-7.4478042956110899"/>
    <s v="DPS HSI; AM RATU INTAN; PSB INDIBIZ 1S 50MBPS; PIC IMAM PURNAMA 081120057915"/>
    <s v="Account Manager"/>
    <m/>
    <m/>
    <m/>
    <m/>
    <m/>
    <m/>
    <m/>
    <m/>
    <s v="Management Janji"/>
    <s v="DPS HSI; AM RATU INTAN; PSB INDIBIZ 1S 50MBPS; PIC IMAM PURNAMA 081120057915"/>
    <s v="FCC"/>
    <d v="2026-02-10T15:40:15"/>
    <m/>
    <m/>
    <s v="PS"/>
    <s v="X"/>
    <s v="NO ADDON"/>
    <n v="20261002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2026-10-02T12:00:00"/>
    <s v="DPS HSI; AM RATU INTAN; PSB INDIBIZ 1S 50MBPS; PIC IMAM PURNAMA 081120057915"/>
    <n v="2026"/>
    <n v="10"/>
    <n v="2"/>
    <d v="2026-10-02T00:00:00"/>
    <n v="-0.5"/>
    <x v="1"/>
    <x v="7"/>
  </r>
  <r>
    <n v="285"/>
    <n v="1002621493"/>
    <n v="3"/>
    <x v="2"/>
    <n v="4"/>
    <s v="PURWOKERTO"/>
    <s v="PURWOKERTO"/>
    <s v="PWT"/>
    <s v="REG"/>
    <s v="AO"/>
    <s v="NEW SALES"/>
    <s v="1P INET"/>
    <s v="MIE - SEND SURVEY"/>
    <s v="RBS-Regional 3"/>
    <d v="2026-10-04T16:52:34"/>
    <d v="2026-10-04T16:54:29"/>
    <n v="69403976"/>
    <m/>
    <n v="146303629038"/>
    <s v="SAFE BAKERY"/>
    <s v="ODP-PWT-FAX/114 FAX/D07/114.01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SURVEY_NEW_MANJA"/>
    <s v="X"/>
    <s v="NO ADDON"/>
    <m/>
    <s v="MIE - SEND SURVEY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m/>
    <m/>
    <m/>
    <e v="#NUM!"/>
    <e v="#NUM!"/>
    <x v="0"/>
    <x v="7"/>
  </r>
  <r>
    <n v="286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287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288"/>
    <n v="1002620365"/>
    <n v="3"/>
    <x v="2"/>
    <n v="4"/>
    <s v="PURWOKERTO"/>
    <s v="CILACAP"/>
    <s v="MAN"/>
    <s v="REG"/>
    <s v="AO"/>
    <s v="NEW SALES"/>
    <m/>
    <s v="MIE - SEND SURVEY"/>
    <s v="RBS-Regional 3"/>
    <d v="2026-10-02T15:59:15"/>
    <d v="2026-10-03T09:22:03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m/>
    <s v="SURVEY_NEW_MANJA"/>
    <s v="MAJENANG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289"/>
    <n v="1002619769"/>
    <n v="3"/>
    <x v="2"/>
    <n v="4"/>
    <s v="PURWOKERTO"/>
    <s v="BANJARNEGARA"/>
    <s v="BJR"/>
    <s v="REG"/>
    <s v="AO"/>
    <s v="NEW SALES"/>
    <s v="1P INET"/>
    <s v="7 | OSS - PROVISIONING ISSUED"/>
    <s v="RBS-Regional 3"/>
    <d v="2026-10-02T13:22:41"/>
    <d v="2026-10-04T08:05:26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I"/>
    <s v="X"/>
    <s v="NO ADDON"/>
    <m/>
    <s v="Provisioning Issu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m/>
    <m/>
    <m/>
    <e v="#NUM!"/>
    <e v="#NUM!"/>
    <x v="0"/>
    <x v="7"/>
  </r>
  <r>
    <n v="290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291"/>
    <n v="1002621300"/>
    <n v="3"/>
    <x v="2"/>
    <n v="4"/>
    <s v="PURWOKERTO"/>
    <s v="BANJARNEGARA"/>
    <s v="BJR"/>
    <s v="REG"/>
    <s v="AO"/>
    <s v="NEW SALES"/>
    <s v="1P INET"/>
    <s v="MIE - SEND SURVEY"/>
    <s v="RBS-Regional 3"/>
    <d v="2026-10-04T10:30:34"/>
    <d v="2026-10-04T10:32:01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m/>
    <s v="SURVEY_NEW_MANJA"/>
    <s v="X"/>
    <s v="NO ADDON"/>
    <m/>
    <s v="MIE - SEND SURVEY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292"/>
    <n v="1002621299"/>
    <n v="3"/>
    <x v="2"/>
    <n v="4"/>
    <s v="PURWOKERTO"/>
    <s v="BANJARNEGARA"/>
    <s v="BJR"/>
    <s v="REG"/>
    <s v="AO"/>
    <s v="NEW SALES"/>
    <s v="1P INET"/>
    <s v="MIE - SEND SURVEY"/>
    <s v="RBS-Regional 3"/>
    <d v="2026-10-04T10:29:51"/>
    <d v="2026-10-04T10:32:06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m/>
    <s v="SURVEY_NEW_MANJA"/>
    <s v="X"/>
    <s v="NO ADDON"/>
    <m/>
    <s v="MIE - SEND SURVEY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293"/>
    <n v="1002616994"/>
    <n v="3"/>
    <x v="2"/>
    <n v="4"/>
    <s v="PURWOKERTO"/>
    <s v="BANJARNEGARA"/>
    <s v="BJR"/>
    <s v="REG"/>
    <s v="AO"/>
    <s v="NEW SALES"/>
    <m/>
    <s v="CC - HD1A - INPROGRESS UNCONTACTED"/>
    <s v="RBS-Regional 3"/>
    <d v="2026-10-01T09:07:32"/>
    <d v="2026-10-04T19:14:41"/>
    <n v="69402039"/>
    <m/>
    <n v="146372102975"/>
    <s v="Kopi Jjb Ratamba"/>
    <s v="ODP-BJR-FAE/052"/>
    <m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m/>
    <m/>
    <m/>
    <d v="2026-01-10T09:25:42"/>
    <m/>
    <m/>
    <s v="FCC"/>
    <s v="X"/>
    <s v="NO ADDON"/>
    <m/>
    <s v="UNCONTACTED : Mail Box - Memo Ilham Budhi Prasetya 40000802|MYDITA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m/>
    <m/>
    <m/>
    <m/>
    <m/>
    <e v="#NUM!"/>
    <e v="#NUM!"/>
    <x v="0"/>
    <x v="7"/>
  </r>
  <r>
    <n v="294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295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296"/>
    <n v="1002620719"/>
    <n v="3"/>
    <x v="2"/>
    <n v="4"/>
    <s v="PURWOKERTO"/>
    <s v="BANJARNEGARA"/>
    <s v="KLP"/>
    <s v="REG"/>
    <s v="AO"/>
    <s v="NEW SALES"/>
    <m/>
    <s v="MIE - SEND SURVEY"/>
    <s v="RBS-Regional 2"/>
    <d v="2026-10-03T10:59:37"/>
    <d v="2026-10-03T14:47:46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SURVEY_NEW_MANJA"/>
    <s v="KLAMPOK"/>
    <s v="NO ADDON"/>
    <m/>
    <s v="MIE - SEND SURVEY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297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298"/>
    <n v="1002619644"/>
    <n v="3"/>
    <x v="6"/>
    <n v="4"/>
    <s v="PEKALONGAN"/>
    <s v="BATANG"/>
    <s v="BTG"/>
    <s v="DPS"/>
    <s v="AO"/>
    <s v="NEW SALES"/>
    <m/>
    <s v="7 | OSS - PROVISIONING ISSUED"/>
    <s v="DPS-Logistic &amp; Manufacturing"/>
    <d v="2026-10-02T12:14:05"/>
    <d v="2026-10-02T16:52:30"/>
    <n v="69402999"/>
    <m/>
    <n v="146279106157"/>
    <s v="PT Nusantara Ekspres Kilat FM Hub + Hub Tulis (Replacement)"/>
    <s v="ODP-BTG-FA/06"/>
    <s v="WO065567511"/>
    <m/>
    <m/>
    <m/>
    <n v="109.74981699999999"/>
    <n v="-6.9168570000000003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2:25:49"/>
    <m/>
    <m/>
    <s v="PI"/>
    <s v="X"/>
    <s v="NO ADDON"/>
    <m/>
    <s v="Provisioning Issu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14:00:00"/>
    <s v="P26-205587  PSB HSI Bisnis 13 Lokasi PT Nusantara Ekspres Kilat Shopee Express - 01 September 2026  "/>
    <m/>
    <m/>
    <m/>
    <e v="#NUM!"/>
    <e v="#NUM!"/>
    <x v="0"/>
    <x v="7"/>
  </r>
  <r>
    <n v="299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300"/>
    <n v="1002621460"/>
    <n v="3"/>
    <x v="6"/>
    <n v="4"/>
    <s v="PEKALONGAN"/>
    <s v="BATANG"/>
    <s v="BTG"/>
    <s v="REG"/>
    <s v="AO"/>
    <s v="NEW SALES"/>
    <s v="1P INET"/>
    <s v="MIE - SEND SURVEY"/>
    <s v="RBS-Regional 3"/>
    <d v="2026-10-04T15:28:39"/>
    <d v="2026-10-04T15:30:01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m/>
    <s v="SURVEY_NEW_MANJA"/>
    <s v="X"/>
    <s v="NO ADDON"/>
    <m/>
    <s v="MIE - SEND SURVEY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301"/>
    <n v="1002620906"/>
    <n v="3"/>
    <x v="6"/>
    <n v="4"/>
    <s v="PEKALONGAN"/>
    <s v="PEKALONGAN"/>
    <s v="PKL"/>
    <s v="REG"/>
    <s v="AO"/>
    <s v="NEW SALES"/>
    <s v="1P INET"/>
    <s v="7 | OSS - PROVISIONING ISSUED"/>
    <s v="RBS-Regional 3"/>
    <d v="2026-10-03T11:58:41"/>
    <d v="2026-10-04T08:06:24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PI"/>
    <s v="X"/>
    <s v="NO ADDON"/>
    <m/>
    <s v="Provisioning Issued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302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303"/>
    <n v="1002619655"/>
    <n v="3"/>
    <x v="6"/>
    <n v="4"/>
    <s v="PEKALONGAN"/>
    <s v="PEMALANG"/>
    <s v="PML"/>
    <s v="DPS"/>
    <s v="AO"/>
    <s v="NEW SALES"/>
    <m/>
    <s v="OSS - PROVISIONING START"/>
    <s v="DPS-Logistic &amp; Manufacturing"/>
    <d v="2026-10-02T12:27:16"/>
    <d v="2026-10-02T16:54:47"/>
    <n v="69403004"/>
    <m/>
    <n v="142278112917"/>
    <s v="PT Nusantara Ekspres Kilat FM Hub + Hub Petarukan (Replacement)"/>
    <s v="ODP-PML-FH/034"/>
    <s v="WO065568517"/>
    <m/>
    <m/>
    <m/>
    <n v="109.45214526688299"/>
    <n v="-6.8934250161883703"/>
    <s v="P26-205587  PSB HSI Bisnis 13 Lokasi PT Nusantara Ekspres Kilat Shopee Express - 01 September 2026  "/>
    <s v="TAM"/>
    <m/>
    <m/>
    <m/>
    <m/>
    <m/>
    <m/>
    <m/>
    <m/>
    <s v="Management Janji"/>
    <s v="P26-205587  PSB HSI Bisnis 13 Lokasi PT Nusantara Ekspres Kilat Shopee Express - 01 September 2026  "/>
    <s v="FCC"/>
    <d v="2026-02-10T12:55:31"/>
    <m/>
    <m/>
    <s v="PRE_PI"/>
    <s v="X"/>
    <s v="NO ADDON"/>
    <m/>
    <s v="Provisioning Start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2T21:00:00"/>
    <s v="P26-205587  PSB HSI Bisnis 13 Lokasi PT Nusantara Ekspres Kilat Shopee Express - 01 September 2026  "/>
    <m/>
    <m/>
    <m/>
    <e v="#NUM!"/>
    <e v="#NUM!"/>
    <x v="0"/>
    <x v="7"/>
  </r>
  <r>
    <n v="304"/>
    <n v="1002618034"/>
    <n v="3"/>
    <x v="6"/>
    <n v="4"/>
    <s v="PEKALONGAN"/>
    <s v="PEMALANG"/>
    <s v="PML"/>
    <s v="DGS"/>
    <s v="AO"/>
    <s v="NEW SALES"/>
    <m/>
    <s v="102 | FOLLOW UP COMPLETED"/>
    <s v="DGS-B2B TREG"/>
    <d v="2026-10-01T14:09:48"/>
    <d v="2026-10-02T11:37:44"/>
    <n v="69402418"/>
    <n v="2846130008"/>
    <n v="142278112913"/>
    <s v="SEKSI KSDA WILAYAH II"/>
    <s v="ODP-PML-FL/095"/>
    <s v="WO065497169"/>
    <m/>
    <m/>
    <m/>
    <n v="109.390857"/>
    <n v="-6.9057709000000003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SOON"/>
    <s v="FCC"/>
    <d v="2026-01-10T14:40:16"/>
    <m/>
    <m/>
    <s v="REVOKE"/>
    <s v="X"/>
    <s v="NO ADDON"/>
    <m/>
    <s v="Follow Up Revoke Completed, New Order ID : SC1002619586"/>
    <s v="- 11_11450;Biaya PSB Reguler HSI EBIS ~ 11[150000]  - BWY DL;BWY DL ~ Saluran Dua Arah(BothWay)[0]  - E23053;E23053 ~ ES23 - Paket HSI Bisnis  Phone (PHONE)[0]  - E23053~null~44864;E23053||11||Abodemen 0[0]  - E23053~null~E23053_IN800;IN800 ~ Free Lokal d"/>
    <s v="INDIBIZ"/>
    <m/>
    <m/>
    <d v="2026-10-01T12:00:00"/>
    <s v="SOON"/>
    <m/>
    <m/>
    <m/>
    <e v="#NUM!"/>
    <e v="#NUM!"/>
    <x v="0"/>
    <x v="7"/>
  </r>
  <r>
    <n v="305"/>
    <n v="1002619340"/>
    <n v="3"/>
    <x v="6"/>
    <n v="4"/>
    <s v="PEKALONGAN"/>
    <s v="PEMALANG"/>
    <s v="PML"/>
    <s v="DGS"/>
    <s v="AO"/>
    <s v="NEW SALES"/>
    <m/>
    <s v="100 | REVOKE COMPLETED"/>
    <s v="DGS-B2B TREG"/>
    <d v="2026-10-02T10:30:30"/>
    <d v="2026-10-02T11:30:15"/>
    <n v="69402418"/>
    <n v="2846130008"/>
    <n v="142278112915"/>
    <s v="SEKSI KSDA WILAYAH II"/>
    <s v="ODP-PML-FCL/26"/>
    <s v="WO065555150"/>
    <m/>
    <m/>
    <m/>
    <n v="109.393399"/>
    <n v="-6.9057659999999998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ok"/>
    <s v="FCC"/>
    <d v="2026-02-10T10:39:55"/>
    <m/>
    <m/>
    <s v="REVOKE"/>
    <s v="X"/>
    <s v="NO ADDON"/>
    <m/>
    <s v="Revoke Completed"/>
    <s v="- BWY DL;BWY DL ~ Saluran Dua Arah(BothWay)[0]  - E23053;E23053 ~ ES23 - Paket HSI Bisnis  Phone (PHONE)[0]  - E23053~null~44864;E23053||11||Abodemen 0[0]  - E23053~null~E23053_IN800;IN800 ~ Free Lokal dan SLJJ 800 Menit ~ E23053[40000]  - 11_11450;Biaya "/>
    <s v="INDIBIZ"/>
    <m/>
    <m/>
    <d v="1970-01-01T07:00:00"/>
    <s v="ok"/>
    <m/>
    <m/>
    <m/>
    <e v="#NUM!"/>
    <e v="#NUM!"/>
    <x v="0"/>
    <x v="7"/>
  </r>
  <r>
    <n v="306"/>
    <n v="1002619586"/>
    <n v="3"/>
    <x v="6"/>
    <n v="4"/>
    <s v="PEKALONGAN"/>
    <s v="PEMALANG"/>
    <s v="PML"/>
    <s v="DGS"/>
    <s v="AO"/>
    <s v="NEW SALES"/>
    <m/>
    <s v="Completed (PS)"/>
    <s v="DGS-B2B TREG"/>
    <d v="2026-10-02T11:37:45"/>
    <d v="2026-10-02T13:54:32"/>
    <n v="69402418"/>
    <n v="2846130008"/>
    <n v="142278112755"/>
    <s v="SEKSI KSDA WILAYAH II"/>
    <s v="ODP-PML-FCL/26"/>
    <s v="WO065564334"/>
    <m/>
    <m/>
    <m/>
    <n v="109.393399"/>
    <n v="-6.9057659999999998"/>
    <s v="DGS HSI | ATIK RAHMAWATI| HOTDA PEMALANG | TREG 3 |SEKSI KSDA WILAYAH II | SURIPTO | 081331429548 | 2S HSIE 50MB DAN TELEPON"/>
    <s v="Account Manager"/>
    <m/>
    <m/>
    <m/>
    <m/>
    <m/>
    <m/>
    <m/>
    <m/>
    <s v="Management Janji"/>
    <s v="ok"/>
    <s v="FCC"/>
    <d v="2026-02-10T11:39:58"/>
    <m/>
    <m/>
    <s v="PS"/>
    <s v="X"/>
    <s v="NO ADDON"/>
    <n v="20261002"/>
    <s v="Completed"/>
    <s v="- 11_11450;Biaya PSB Reguler HSI EBIS ~ 11[150000]  - BWY DL;BWY DL ~ Saluran Dua Arah(BothWay)[0]  - E23053;E23053 ~ ES23 - Paket HSI Bisnis  Phone (PHONE)[0]  - E23053~null~44864;E23053||11||Abodemen 0[0]  - E23053~null~E23053_IN800;IN800 ~ Free Lokal d"/>
    <s v="INDIBIZ"/>
    <m/>
    <m/>
    <d v="1970-01-01T07:00:00"/>
    <s v="ok"/>
    <n v="2026"/>
    <n v="10"/>
    <n v="2"/>
    <d v="2026-10-02T00:00:00"/>
    <n v="20727.708333333332"/>
    <x v="2"/>
    <x v="7"/>
  </r>
  <r>
    <n v="307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308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309"/>
    <n v="1002619139"/>
    <n v="3"/>
    <x v="2"/>
    <n v="4"/>
    <s v="PURWOKERTO"/>
    <s v="PURBALINGGA"/>
    <s v="PBG"/>
    <s v="DGS"/>
    <s v="AO"/>
    <s v="NEW SALES"/>
    <m/>
    <s v="102 | FOLLOW UP COMPLETED"/>
    <s v="DGS-B2B TREG"/>
    <d v="2026-10-02T09:30:42"/>
    <d v="2026-10-02T14:31:39"/>
    <n v="69402761"/>
    <m/>
    <n v="143363107190"/>
    <s v="RUPBASAN Kejaksaan Negeri Purbalingga"/>
    <s v="ODP-PBG-FG/087"/>
    <s v="WO065547757"/>
    <m/>
    <m/>
    <m/>
    <n v="109.36990533141601"/>
    <n v="-7.3902613457029398"/>
    <s v="AM|AZAM|950436|/RUPBASAN Kejaksaan Negeri Purbalingga/081310842088| keu_kejaripbg@yahoo.co.id/1S HSI BISNIS 1:1 PROMO 50 Mbps  "/>
    <s v="Amex"/>
    <m/>
    <m/>
    <m/>
    <m/>
    <m/>
    <m/>
    <m/>
    <m/>
    <s v="Management Janji"/>
    <s v="Internet 1S IndiBiz 50"/>
    <s v="FCC"/>
    <d v="2026-02-10T09:40:29"/>
    <m/>
    <m/>
    <s v="REVOKE"/>
    <s v="X"/>
    <s v="NO ADDON"/>
    <m/>
    <s v="Follow Up Revoke Completed, New Order ID : SC1002620022"/>
    <s v="- 11_11450;Biaya PSB Reguler HSI EBIS ~ 11[500000]  - E23015;E23015 ~ ES23 - Perangkat ONT[0]  - E23015~null~44292;E23015||11||Abodemen 0[0]  - E23015~null~E23015_SWONT;SWONT ~ Biaya Sewa ONT ~ E23015[30000]  - E25060;E25060 ~ ES25 - Paket HSI Bisnis (HSI"/>
    <s v="INDIBIZ"/>
    <m/>
    <m/>
    <d v="2026-10-02T21:30:00"/>
    <s v="Internet 1S IndiBiz 50"/>
    <m/>
    <m/>
    <m/>
    <e v="#NUM!"/>
    <e v="#NUM!"/>
    <x v="0"/>
    <x v="7"/>
  </r>
  <r>
    <n v="310"/>
    <n v="1002620022"/>
    <n v="3"/>
    <x v="2"/>
    <n v="4"/>
    <s v="PURWOKERTO"/>
    <s v="PURBALINGGA"/>
    <s v="PBG"/>
    <s v="DGS"/>
    <s v="AO"/>
    <s v="NEW SALES"/>
    <m/>
    <s v="Completed (PS)"/>
    <s v="DGS-B2B TREG"/>
    <d v="2026-10-02T14:31:40"/>
    <d v="2026-10-03T08:49:31"/>
    <n v="69402761"/>
    <m/>
    <n v="143363107462"/>
    <s v="RUPBASAN Kejaksaan Negeri Purbalingga"/>
    <s v="ODP-PBG-FG/176"/>
    <s v="WO065582896"/>
    <m/>
    <m/>
    <m/>
    <n v="109.38176900000001"/>
    <n v="-7.3945970000000001"/>
    <s v="AM|AZAM|950436|/RUPBASAN Kejaksaan Negeri Purbalingga/081310842088| keu_kejaripbg@yahoo.co.id/1S HSI BISNIS 1:1 PROMO 50 Mbps  "/>
    <s v="Amex"/>
    <m/>
    <m/>
    <m/>
    <m/>
    <m/>
    <m/>
    <m/>
    <m/>
    <s v="Management Janji"/>
    <s v="50 mbps"/>
    <s v="FCC"/>
    <d v="2026-02-10T14:39:55"/>
    <m/>
    <m/>
    <s v="PS"/>
    <s v="X"/>
    <s v="NO ADDON"/>
    <n v="20261003"/>
    <s v="Completed"/>
    <s v="- 11_11450;Biaya PSB Reguler HSI EBIS ~ 11[500000]  - E25060;E25060 ~ ES25 - Paket HSI Bisnis (HSIE) Khusus Winback 2.0[0]  - E25060~null~E25060_UNL;UNL ~ Internet-Link Unlimited Internet Usage ~ E25060[0]  - E25060~null~105343;E25060||11||Abodemen 0[0]  "/>
    <s v="INDIBIZ"/>
    <m/>
    <m/>
    <d v="1970-01-01T07:00:00"/>
    <s v="50 mbps"/>
    <n v="2026"/>
    <n v="10"/>
    <n v="3"/>
    <d v="2026-10-03T00:00:00"/>
    <n v="20728.708333333332"/>
    <x v="2"/>
    <x v="7"/>
  </r>
  <r>
    <n v="311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312"/>
    <n v="1002621485"/>
    <n v="3"/>
    <x v="2"/>
    <n v="4"/>
    <s v="PURWOKERTO"/>
    <s v="PURBALINGGA"/>
    <s v="PBG"/>
    <s v="REG"/>
    <s v="AO"/>
    <s v="NEW SALES"/>
    <s v="1P INET"/>
    <s v="MIE - SEND SURVEY"/>
    <s v="RBS-Regional 3"/>
    <d v="2026-10-04T16:21:35"/>
    <d v="2026-10-04T16:24:01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m/>
    <s v="SURVEY_NEW_MANJA"/>
    <s v="X"/>
    <s v="NO ADDON"/>
    <m/>
    <s v="MIE - SEND SURVEY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313"/>
    <n v="1002621483"/>
    <n v="3"/>
    <x v="2"/>
    <n v="4"/>
    <s v="PURWOKERTO"/>
    <s v="PURBALINGGA"/>
    <s v="PBG"/>
    <s v="REG"/>
    <s v="AO"/>
    <s v="NEW SALES"/>
    <s v="1P INET"/>
    <s v="MIE - SEND SURVEY"/>
    <s v="RBS-Regional 3"/>
    <d v="2026-10-04T16:22:10"/>
    <d v="2026-10-04T16:24:0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m/>
    <s v="SURVEY_NEW_MANJA"/>
    <s v="X"/>
    <s v="NO ADDON"/>
    <m/>
    <s v="MIE - SEND SURVEY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314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315"/>
    <n v="1002618417"/>
    <n v="3"/>
    <x v="6"/>
    <n v="4"/>
    <s v="PEKALONGAN"/>
    <s v="BREBES"/>
    <s v="BMU"/>
    <s v="REG"/>
    <s v="AO"/>
    <s v="NEW SALES"/>
    <m/>
    <s v="MIA - INVALID SURVEY"/>
    <s v="RBS-Regional 3"/>
    <d v="2026-10-01T15:44:25"/>
    <d v="2026-10-03T14:45:25"/>
    <n v="69402558"/>
    <m/>
    <n v="146281108645"/>
    <s v="SMK MUHAMMADIYAH 1 PAGUYANGAN"/>
    <s v="ODP-BMU-FG/013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: 03/10/2026 Jam pemasangan : pagi / siang Info Tambahan : Hubungi pelanggan dulu sebelum ke lokasi. terima kasih|40921089|MYDITA"/>
    <s v="FCC"/>
    <d v="2026-01-10T16:39:58"/>
    <d v="2026-10-03T15:00:00"/>
    <m/>
    <s v="SURVEY_NEW_MANJA"/>
    <s v="BUMIAYU"/>
    <s v="NO ADDON"/>
    <m/>
    <s v="MIE - INVALID SURVEY - Salah Taggi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: 03/10/2026 Jam pemasangan : pagi / siang Info Tambahan : Hubungi pelanggan dulu sebelum ke lokasi. terima kasih|40921089|MYDITA"/>
    <m/>
    <m/>
    <m/>
    <e v="#NUM!"/>
    <e v="#NUM!"/>
    <x v="0"/>
    <x v="7"/>
  </r>
  <r>
    <n v="316"/>
    <n v="1002618251"/>
    <n v="3"/>
    <x v="6"/>
    <n v="4"/>
    <s v="PEKALONGAN"/>
    <s v="BREBES"/>
    <s v="BMU"/>
    <s v="REG"/>
    <s v="AO"/>
    <s v="NEW SALES"/>
    <m/>
    <s v="MIA - INVALID SURVEY"/>
    <s v="RBS-Regional 3"/>
    <d v="2026-10-01T15:07:39"/>
    <d v="2026-10-03T14:47:35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s v="SURVEY_NEW_MANJA"/>
    <s v="BUMIAYU"/>
    <s v="NO ADDON"/>
    <m/>
    <s v="MIE - INVALID SURVEY - Salah Taggi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317"/>
    <n v="1002618002"/>
    <n v="3"/>
    <x v="6"/>
    <n v="4"/>
    <s v="PEKALONGAN"/>
    <s v="TEGAL"/>
    <s v="MGN"/>
    <s v="REG"/>
    <s v="AO"/>
    <s v="NEW SALES"/>
    <m/>
    <s v="OSS - FALLOUT"/>
    <s v="RBS-Regional 4"/>
    <d v="2026-10-01T14:04:27"/>
    <d v="2026-10-03T15:36:51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FO_WFM"/>
    <s v="X"/>
    <s v="NO ADDON"/>
    <m/>
    <s v="Provisioning Failed|WFM|INF009636602|TOJ_-6.870570000000001,109.112915_ODP inputan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318"/>
    <n v="1002617834"/>
    <n v="3"/>
    <x v="6"/>
    <n v="4"/>
    <s v="PEKALONGAN"/>
    <s v="TEGAL"/>
    <s v="MGN"/>
    <s v="REG"/>
    <s v="AO"/>
    <s v="NEW SALES"/>
    <m/>
    <s v="OSS - FALLOUT"/>
    <s v="RBS-Regional 4"/>
    <d v="2026-10-01T13:23:04"/>
    <d v="2026-10-03T15:36:05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FO_WFM"/>
    <s v="X"/>
    <s v="NO ADDON"/>
    <m/>
    <s v="Provisioning Failed|WFM|INF009636590|TOJ_-6.8704656,109.1127609_ODP-INPUTAN  JA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319"/>
    <n v="1002619976"/>
    <n v="3"/>
    <x v="6"/>
    <n v="4"/>
    <s v="PEKALONGAN"/>
    <s v="TEGAL"/>
    <s v="TEG"/>
    <s v="REG"/>
    <s v="AO"/>
    <s v="NEW SALES"/>
    <m/>
    <s v="OSS - PROVISIONING START"/>
    <s v="RBS-Regional 3"/>
    <d v="2026-10-02T14:22:47"/>
    <d v="2026-10-05T08:05:25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m/>
    <s v="PRE_PI"/>
    <s v="X"/>
    <s v="NO ADDON"/>
    <m/>
    <s v="Provisioning Start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320"/>
    <n v="1002617002"/>
    <n v="3"/>
    <x v="6"/>
    <n v="4"/>
    <s v="PEKALONGAN"/>
    <s v="TEGAL"/>
    <s v="TEG"/>
    <s v="DGS"/>
    <s v="AO"/>
    <s v="NEW SALES"/>
    <m/>
    <s v="Completed (PS)"/>
    <s v="DGS-B2B TREG"/>
    <d v="2026-10-01T09:06:46"/>
    <d v="2026-10-01T14:57:11"/>
    <n v="69402061"/>
    <m/>
    <n v="142212128226"/>
    <s v="Museum Semedo"/>
    <s v="ODP-TEG-FBZ/008"/>
    <s v="WO065462461"/>
    <m/>
    <m/>
    <m/>
    <n v="109.28596899999999"/>
    <n v="-6.957611"/>
    <s v="DGS HSI | BUDIYANTO ZHEZA ARDANA | NIK. 960209 | TREG 3 | PIC 087831250926 | HSI 200MB | 1.049.000 | semedomuseum@gmail.com"/>
    <s v="Account Manager"/>
    <m/>
    <m/>
    <m/>
    <m/>
    <m/>
    <m/>
    <m/>
    <m/>
    <s v="Management Janji"/>
    <s v="OK"/>
    <s v="FCC"/>
    <d v="2026-01-10T09:25:42"/>
    <m/>
    <m/>
    <s v="PS"/>
    <s v="X"/>
    <s v="NO ADDON"/>
    <n v="20261001"/>
    <s v="Completed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OK"/>
    <n v="2026"/>
    <n v="10"/>
    <n v="1"/>
    <d v="2026-10-01T00:00:00"/>
    <n v="-0.5"/>
    <x v="1"/>
    <x v="7"/>
  </r>
  <r>
    <n v="321"/>
    <n v="1002620302"/>
    <n v="3"/>
    <x v="6"/>
    <n v="4"/>
    <s v="PEKALONGAN"/>
    <s v="SLAWI"/>
    <s v="ADW"/>
    <s v="DPS"/>
    <s v="AO"/>
    <s v="NEW SALES"/>
    <m/>
    <s v="OSS - PROVISIONING START"/>
    <s v="DPS-Logistic &amp; Manufacturing"/>
    <d v="2026-10-02T15:41:26"/>
    <d v="2026-10-02T17:00:44"/>
    <n v="69403265"/>
    <m/>
    <n v="146282105638"/>
    <s v="PT Nusantara Ekspres Kilat FM Hub + Hub Pangkah (Replacement)"/>
    <s v="ODP-ADW-FS/001"/>
    <s v="WO065593871"/>
    <m/>
    <m/>
    <m/>
    <n v="109.18415782327099"/>
    <n v="-6.9465744428049101"/>
    <s v="P26-205589  PSB HSI Bisnis 8 Lokasi PT Nusantara Ekspres Kilat Shopee Express - 08 September 2026  "/>
    <s v="TAM"/>
    <m/>
    <m/>
    <m/>
    <m/>
    <m/>
    <m/>
    <m/>
    <m/>
    <s v="Management Janji"/>
    <s v="P26-205589  PSB HSI Bisnis 8 Lokasi PT Nusantara Ekspres Kilat Shopee Express - 08 September 2026  "/>
    <s v="FCC"/>
    <d v="2026-02-10T15:55:26"/>
    <m/>
    <m/>
    <s v="PRE_PI"/>
    <s v="ADIWERNA"/>
    <s v="NO ADDON"/>
    <m/>
    <s v="Provisioning Start"/>
    <s v="- 11_11450;Biaya PSB Reguler HSI EBIS ~ 11[150000]  - SP_NOSS;SP_NOSS ~ Internet NOSS Multispeed Network[0]  - SP_NOSS;SP_NOSS ~ Internet NOSS Multispeed Network[0]  - E23015;E23015 ~ ES23 - Perangkat ONT[0]  - E23015~null~44292;E23015||11||Abodemen 0[0] "/>
    <s v="INDIBIZ"/>
    <m/>
    <m/>
    <d v="2026-10-03T21:30:00"/>
    <s v="P26-205589  PSB HSI Bisnis 8 Lokasi PT Nusantara Ekspres Kilat Shopee Express - 08 September 2026  "/>
    <m/>
    <m/>
    <m/>
    <e v="#NUM!"/>
    <e v="#NUM!"/>
    <x v="0"/>
    <x v="7"/>
  </r>
  <r>
    <n v="322"/>
    <n v="1002618011"/>
    <n v="3"/>
    <x v="6"/>
    <n v="4"/>
    <s v="PEKALONGAN"/>
    <s v="SLAWI"/>
    <s v="BLU"/>
    <s v="REG"/>
    <s v="AO"/>
    <s v="NEW SALES"/>
    <s v="1P INET"/>
    <s v="7 | OSS - PROVISIONING ISSUED"/>
    <s v="RBS-Regional 3"/>
    <d v="2026-10-01T14:04:34"/>
    <d v="2026-10-02T11:13:21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PI"/>
    <s v="X"/>
    <s v="NO ADDON"/>
    <m/>
    <s v="Provisioning Issued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323"/>
    <n v="1002619152"/>
    <n v="3"/>
    <x v="6"/>
    <n v="4"/>
    <s v="PEKALONGAN"/>
    <s v="SLAWI"/>
    <s v="BLU"/>
    <s v="REG"/>
    <s v="AO"/>
    <s v="NEW SALES"/>
    <s v="1P INET"/>
    <s v="7 | OSS - PROVISIONING ISSUED"/>
    <s v="RBS-Regional 3"/>
    <d v="2026-10-02T09:35:35"/>
    <d v="2026-10-03T08:06:21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m/>
    <s v="PI"/>
    <s v="X"/>
    <s v="NO ADDON"/>
    <m/>
    <s v="Provisioning Issued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324"/>
    <n v="1002621459"/>
    <n v="3"/>
    <x v="6"/>
    <n v="4"/>
    <s v="PEKALONGAN"/>
    <s v="SLAWI"/>
    <s v="BLU"/>
    <s v="REG"/>
    <s v="AO"/>
    <s v="NEW SALES"/>
    <s v="1P INET"/>
    <s v="MIE - SEND SURVEY"/>
    <s v="RBS-Regional 3"/>
    <d v="2026-10-04T15:28:34"/>
    <d v="2026-10-04T15:30:29"/>
    <n v="69403954"/>
    <m/>
    <n v="142206131458"/>
    <s v="TOKO EMAS H AMINAH DJAMALI"/>
    <s v="ODP-BLU-FA/023 FA/D01/023.01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SURVEY_NEW_MANJA"/>
    <s v="X"/>
    <s v="NO ADDON"/>
    <m/>
    <s v="MIE - SEND SURVEY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m/>
    <m/>
    <m/>
    <e v="#NUM!"/>
    <e v="#NUM!"/>
    <x v="0"/>
    <x v="7"/>
  </r>
  <r>
    <n v="325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8"/>
  </r>
  <r>
    <n v="326"/>
    <n v="1002620964"/>
    <n v="3"/>
    <x v="3"/>
    <n v="5"/>
    <s v="SBY UTARA"/>
    <s v="GRESIK"/>
    <s v="GSK"/>
    <s v="REG"/>
    <s v="AO"/>
    <s v="NEW SALES"/>
    <s v="1P INET"/>
    <s v="OSS - FALLOUT"/>
    <s v="RBS-Regional 3"/>
    <d v="2026-10-03T13:04:40"/>
    <d v="2026-10-04T17:13:14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FO_WFM"/>
    <s v="GRESIK"/>
    <s v="NO ADDON"/>
    <m/>
    <s v="Provisioning Failed|WFM|INF009652283|PP_-7.160940500000001,112.64708970000001_MANJA TGL 5 OKTOBER 2026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8"/>
  </r>
  <r>
    <n v="327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8"/>
  </r>
  <r>
    <n v="328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8"/>
  </r>
  <r>
    <n v="329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8"/>
  </r>
  <r>
    <n v="330"/>
    <n v="1002619716"/>
    <n v="3"/>
    <x v="3"/>
    <n v="5"/>
    <s v="SBY UTARA"/>
    <s v="GRESIK"/>
    <s v="SDY"/>
    <s v="REG"/>
    <s v="AO"/>
    <s v="NEW SALES"/>
    <s v="1P INET"/>
    <s v="OSS - FALLOUT"/>
    <s v="RBS-Regional 3"/>
    <d v="2026-10-02T13:04:40"/>
    <d v="2026-10-03T13:43:5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FO_WFM"/>
    <s v="GRESIK"/>
    <s v="NO ADDON"/>
    <m/>
    <s v="Provisioning Failed|WFM|INF009634941|PCL Pelanggan Batal pemasangan, pelanggan minta batal sudah konfirmasi ke tim salesnya.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8"/>
  </r>
  <r>
    <n v="331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8"/>
  </r>
  <r>
    <n v="332"/>
    <n v="1002618083"/>
    <n v="3"/>
    <x v="3"/>
    <n v="5"/>
    <s v="SBY UTARA"/>
    <s v="LAMONGAN"/>
    <s v="BBA"/>
    <s v="REG"/>
    <s v="AO"/>
    <s v="NEW SALES"/>
    <m/>
    <s v="OSS - FALLOUT"/>
    <s v="RBS-Regional 3"/>
    <d v="2026-10-01T14:22:50"/>
    <d v="2026-10-02T16:45:32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FO_WFM"/>
    <s v="X"/>
    <s v="NO ADDON"/>
    <m/>
    <s v="Provisioning Failed|WFM|INF009622310|TOR_-7.2308433,112.17575360000001_ODP-BBA-FAD sekitar calang redaman tinggi, order tim m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8"/>
  </r>
  <r>
    <n v="333"/>
    <n v="1002617657"/>
    <n v="3"/>
    <x v="3"/>
    <n v="5"/>
    <s v="SBY UTARA"/>
    <s v="LAMONGAN"/>
    <s v="BDG"/>
    <s v="REG"/>
    <s v="AO"/>
    <s v="NEW SALES"/>
    <s v="1P INET"/>
    <s v="OSS - FALLOUT"/>
    <s v="RBS-Regional 3"/>
    <d v="2026-10-01T11:47:34"/>
    <d v="2026-10-02T12:13:5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FO_WFM"/>
    <s v="X"/>
    <s v="NO ADDON"/>
    <m/>
    <s v="Provisioning Failed|WFM|INF009616724|TOF_-6.869492500000001,112.3479201_kendala otb penuh, perlu tambah jaringan karena dilok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8"/>
  </r>
  <r>
    <n v="334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8"/>
  </r>
  <r>
    <n v="335"/>
    <n v="1002621212"/>
    <n v="3"/>
    <x v="3"/>
    <n v="5"/>
    <s v="SBY UTARA"/>
    <s v="LAMONGAN"/>
    <s v="BDG"/>
    <s v="REG"/>
    <s v="AO"/>
    <s v="NEW SALES"/>
    <s v="1P INET"/>
    <s v="MIE - SEND SURVEY"/>
    <s v="RBS-Regional 3"/>
    <d v="2026-10-03T19:37:40"/>
    <d v="2026-10-03T19:40:30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SURVEY_NEW_MANJA"/>
    <s v="X"/>
    <s v="NO ADDON"/>
    <m/>
    <s v="MIE - SEND SURVEY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m/>
    <m/>
    <m/>
    <e v="#NUM!"/>
    <e v="#NUM!"/>
    <x v="0"/>
    <x v="18"/>
  </r>
  <r>
    <n v="336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8"/>
  </r>
  <r>
    <n v="337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8"/>
  </r>
  <r>
    <n v="338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8"/>
  </r>
  <r>
    <n v="339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340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341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342"/>
    <n v="1002618689"/>
    <n v="3"/>
    <x v="1"/>
    <n v="5"/>
    <s v="MADIUN"/>
    <s v="BOJONEGORO"/>
    <s v="SMJ"/>
    <s v="REG"/>
    <s v="AO"/>
    <s v="NEW SALES"/>
    <s v="1P INET"/>
    <s v="100 | REVOKE COMPLETED"/>
    <s v="RBS-Regional 3"/>
    <d v="2026-10-01T17:05:34"/>
    <d v="2026-10-03T12:31:29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Revoke Completed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343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344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345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346"/>
    <n v="1002617098"/>
    <n v="3"/>
    <x v="1"/>
    <n v="5"/>
    <s v="MADIUN"/>
    <s v="TUBAN"/>
    <s v="JTR"/>
    <s v="REG"/>
    <s v="AO"/>
    <s v="NEW SALES"/>
    <s v="1P INET"/>
    <s v="OSS - PROVISIONING START"/>
    <s v="RBS-Regional 3"/>
    <d v="2026-10-01T09:31:42"/>
    <d v="2026-10-02T08:14:47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m/>
    <s v="PRE_PI"/>
    <s v="JATIROGO BANCAR"/>
    <s v="NO ADDON"/>
    <m/>
    <s v="Provisioning Start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347"/>
    <n v="1002621096"/>
    <n v="3"/>
    <x v="1"/>
    <n v="5"/>
    <s v="MADIUN"/>
    <s v="TUBAN"/>
    <s v="RGL"/>
    <s v="REG"/>
    <s v="AO"/>
    <s v="NEW SALES"/>
    <s v="1P INET"/>
    <s v="7 | OSS - PROVISIONING ISSUED"/>
    <s v="RBS-Regional 3"/>
    <d v="2026-10-03T15:47:40"/>
    <d v="2026-10-04T15:24:30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I"/>
    <s v="JATIROGO BANCAR"/>
    <s v="NO ADDON"/>
    <m/>
    <s v="Provisioning Issu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m/>
    <m/>
    <m/>
    <e v="#NUM!"/>
    <e v="#NUM!"/>
    <x v="0"/>
    <x v="19"/>
  </r>
  <r>
    <n v="348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349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350"/>
    <n v="1002617177"/>
    <n v="3"/>
    <x v="0"/>
    <n v="5"/>
    <s v="KUPANG"/>
    <s v="KUPANG"/>
    <s v="OSP"/>
    <s v="REG"/>
    <s v="AO"/>
    <s v="NEW SALES"/>
    <m/>
    <s v="OSS - PROVISIONING START"/>
    <s v="RBS-Regional 4"/>
    <d v="2026-10-01T09:49:48"/>
    <d v="2026-10-02T11:12:38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m/>
    <s v="PRE_PI"/>
    <s v="KUPANG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351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352"/>
    <n v="1002619312"/>
    <n v="3"/>
    <x v="0"/>
    <n v="5"/>
    <s v="KUPANG"/>
    <s v="KUPANG"/>
    <s v="KPN"/>
    <s v="REG"/>
    <s v="AO"/>
    <s v="NEW SALES"/>
    <s v="1P INET"/>
    <s v="OSS - PROVISIONING START"/>
    <s v="RBS-Regional 3"/>
    <d v="2026-10-02T10:22:39"/>
    <d v="2026-10-03T08:04:35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RE_PI"/>
    <s v="KUPANG"/>
    <s v="NO ADDON"/>
    <m/>
    <s v="Provisioning Start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m/>
    <m/>
    <m/>
    <e v="#NUM!"/>
    <e v="#NUM!"/>
    <x v="0"/>
    <x v="21"/>
  </r>
  <r>
    <n v="353"/>
    <n v="1002618763"/>
    <n v="3"/>
    <x v="0"/>
    <n v="5"/>
    <s v="KUPANG"/>
    <s v="KUPANG"/>
    <s v="KPN"/>
    <s v="REG"/>
    <s v="AO"/>
    <s v="NEW SALES"/>
    <s v="1P INET"/>
    <s v="7 | OSS - PROVISIONING ISSUED"/>
    <s v="RBS-Regional 3"/>
    <d v="2026-10-01T17:50:39"/>
    <d v="2026-10-02T09:33:35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I"/>
    <s v="KUPANG"/>
    <s v="NO ADDON"/>
    <m/>
    <s v="Provisioning Issu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m/>
    <m/>
    <m/>
    <e v="#NUM!"/>
    <e v="#NUM!"/>
    <x v="0"/>
    <x v="21"/>
  </r>
  <r>
    <n v="354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355"/>
    <n v="1002620236"/>
    <n v="3"/>
    <x v="0"/>
    <n v="5"/>
    <s v="KUPANG"/>
    <s v="KUPANG"/>
    <s v="KPN"/>
    <s v="REG"/>
    <s v="AO"/>
    <s v="NEW SALES"/>
    <s v="1P INET"/>
    <s v="8 | OSS - PONR"/>
    <s v="RBS-Regional 3"/>
    <d v="2026-10-02T15:22:40"/>
    <d v="2026-10-03T17:40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ACT_COM"/>
    <s v="KUPANG"/>
    <s v="NO ADDON"/>
    <m/>
    <s v="PONR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m/>
    <m/>
    <m/>
    <e v="#NUM!"/>
    <e v="#NUM!"/>
    <x v="0"/>
    <x v="21"/>
  </r>
  <r>
    <n v="356"/>
    <n v="1002620326"/>
    <n v="3"/>
    <x v="0"/>
    <n v="5"/>
    <s v="KUPANG"/>
    <s v="KUPANG"/>
    <s v="KPN"/>
    <s v="REG"/>
    <s v="AO"/>
    <s v="NEW SALES"/>
    <s v="1P INET"/>
    <s v="8 | OSS - PONR"/>
    <s v="RBS-Regional 3"/>
    <d v="2026-10-02T15:46:34"/>
    <d v="2026-10-04T16:35:31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ACT_COM"/>
    <s v="KUPANG"/>
    <s v="NO ADDON"/>
    <m/>
    <s v="PONR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m/>
    <m/>
    <m/>
    <e v="#NUM!"/>
    <e v="#NUM!"/>
    <x v="0"/>
    <x v="21"/>
  </r>
  <r>
    <n v="357"/>
    <n v="1002621034"/>
    <n v="3"/>
    <x v="0"/>
    <n v="5"/>
    <s v="KUPANG"/>
    <s v="KUPANG"/>
    <s v="KPN"/>
    <s v="REG"/>
    <s v="AO"/>
    <s v="NEW SALES"/>
    <s v="1P INET"/>
    <s v="MIE - SEND SURVEY"/>
    <s v="RBS-Regional 3"/>
    <d v="2026-10-03T14:14:39"/>
    <d v="2026-10-03T14:17:0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0:00:00"/>
    <m/>
    <s v="SURVEY_NEW_MANJA"/>
    <s v="KUPANG"/>
    <s v="NO ADDON"/>
    <m/>
    <s v="MIE - SEND SURVEY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m/>
    <m/>
    <m/>
    <e v="#NUM!"/>
    <e v="#NUM!"/>
    <x v="0"/>
    <x v="21"/>
  </r>
  <r>
    <n v="358"/>
    <n v="1002620003"/>
    <n v="3"/>
    <x v="0"/>
    <n v="5"/>
    <s v="KUPANG"/>
    <s v="WAINGAPU"/>
    <s v="SEB"/>
    <s v="REG"/>
    <s v="AO"/>
    <s v="NEW SALES"/>
    <m/>
    <s v="MYCX - SEND OPEN PAPERLESS"/>
    <s v="RBS-Regional 3"/>
    <d v="2026-10-02T14:29:25"/>
    <d v="2026-10-02T14:32:07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INPROGRESS_SC"/>
    <s v="X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22"/>
  </r>
  <r>
    <n v="359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360"/>
    <n v="1002620730"/>
    <n v="3"/>
    <x v="0"/>
    <n v="5"/>
    <s v="KUPANG"/>
    <s v="WAIKABUBAK"/>
    <s v="WKB"/>
    <s v="REG"/>
    <s v="AO"/>
    <s v="NEW SALES"/>
    <s v="1P INET"/>
    <s v="MIE - SEND SURVEY"/>
    <s v="RBS-Regional 3"/>
    <d v="2026-10-03T08:22:34"/>
    <d v="2026-10-03T08:24:06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m/>
    <s v="SURVEY_NEW_MANJA"/>
    <s v="WAIKABUBAK"/>
    <s v="PIJAR"/>
    <m/>
    <s v="MIE - SEND SURVEY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361"/>
    <n v="1002621356"/>
    <n v="3"/>
    <x v="5"/>
    <n v="5"/>
    <s v="JEMBER"/>
    <s v="BANYUWANGI"/>
    <s v="KBR"/>
    <s v="REG"/>
    <s v="AO"/>
    <s v="NEW SALES"/>
    <s v="1P INET"/>
    <s v="MIE - SEND SURVEY"/>
    <s v="RBS-Regional 3"/>
    <d v="2026-10-04T12:26:38"/>
    <d v="2026-10-04T12:28:02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SURVEY_NEW_MANJA"/>
    <s v="GENTENG"/>
    <s v="NO ADDON"/>
    <m/>
    <s v="MIE - SEND SURVEY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m/>
    <m/>
    <m/>
    <e v="#NUM!"/>
    <e v="#NUM!"/>
    <x v="0"/>
    <x v="23"/>
  </r>
  <r>
    <n v="362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363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364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365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366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367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368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369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370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371"/>
    <n v="1002617346"/>
    <n v="3"/>
    <x v="0"/>
    <n v="5"/>
    <s v="KUPANG"/>
    <s v="ENDE"/>
    <s v="END"/>
    <s v="DGS"/>
    <s v="AO"/>
    <s v="NEW SALES"/>
    <m/>
    <s v="OSS - FALLOUT"/>
    <s v="DGS-Government Public Services"/>
    <d v="2026-10-01T10:28:18"/>
    <d v="2026-10-01T10:31:28"/>
    <n v="69402168"/>
    <m/>
    <n v="172506789127"/>
    <s v="KUA ENDE TENGAH"/>
    <s v="ODP-END-FA/44"/>
    <s v="WO065469721"/>
    <m/>
    <m/>
    <m/>
    <n v="121.650545098639"/>
    <n v="-8.8473171428748998"/>
    <s v="DGS HSI||AIDAH|780018|TREG 3-NUSRA|KUA ENDE TENGAH|CHAIRUL WELLA|082237343936|HSI 50 Mbps (Bisnis)"/>
    <s v="Account Manager"/>
    <m/>
    <m/>
    <m/>
    <m/>
    <m/>
    <m/>
    <m/>
    <m/>
    <s v="Management Janji"/>
    <s v="moban di proses"/>
    <s v="FCC"/>
    <d v="2026-01-10T10:40:21"/>
    <m/>
    <m/>
    <s v="FO_UIM"/>
    <s v="ENDE"/>
    <s v="NETMONK"/>
    <m/>
    <s v="Provisioning Failed|UIM|INF009598768|1052:vlan voice not found at = GPON00-D5-END-3(172.25.207.20)"/>
    <s v="- 11_11450;Biaya PSB Reguler HSI EBIS ~ 11[500000]  - SP_NOSS;SP_NOSS ~ Internet NOSS Multispeed Network[0]  - E23046;E23046 ~ ES23 - Paket HSI Bisnis[0]  - E23046~null~E23046_UNL;UNL ~ Internet-Link Unlimited Internet Usage ~ E23046[0]  - E23046~null~448"/>
    <s v="INDIBIZ"/>
    <m/>
    <m/>
    <d v="2026-10-01T12:00:00"/>
    <s v="moban di proses"/>
    <m/>
    <m/>
    <m/>
    <e v="#NUM!"/>
    <e v="#NUM!"/>
    <x v="0"/>
    <x v="26"/>
  </r>
  <r>
    <n v="372"/>
    <n v="1002618049"/>
    <n v="3"/>
    <x v="0"/>
    <n v="5"/>
    <s v="KUPANG"/>
    <s v="ENDE"/>
    <s v="END"/>
    <s v="DPS"/>
    <s v="AO"/>
    <s v="NEW SALES"/>
    <m/>
    <s v="7 | OSS - PROVISIONING ISSUED"/>
    <s v="DPS-Private Conglomeration"/>
    <d v="2026-10-01T14:13:49"/>
    <d v="2026-10-01T14:18:11"/>
    <n v="69402424"/>
    <m/>
    <n v="172506789379"/>
    <s v="INDOMARET GATOT SUBROTO"/>
    <s v="ODP-END-FDA/27"/>
    <s v="WO065497788"/>
    <m/>
    <m/>
    <m/>
    <n v="121.673188788723"/>
    <n v="-8.8409475506778499"/>
    <s v="DES HSI | RIZKY ANDAWASATYA | 916315 | TREG3 | INDOMARCO | KHOIRUL GRAFERS | 082284440053"/>
    <s v="Account Manager"/>
    <m/>
    <m/>
    <m/>
    <m/>
    <m/>
    <m/>
    <m/>
    <m/>
    <s v="Management Janji"/>
    <s v="INDOMARET GATOT SUBROTO  Jl. Gatot Subroto, Kel. Mautapaga, Kec. Ende Tim., Kabupaten Ende, Nusa Tenggara Tim.  "/>
    <s v="FCC"/>
    <d v="2026-01-10T14:40:16"/>
    <m/>
    <m/>
    <s v="PI"/>
    <s v="ENDE"/>
    <s v="NO ADDON"/>
    <m/>
    <s v="Provisioning Issued"/>
    <s v="- 11_11450;Biaya PSB Reguler HSI EBIS ~ 11[150000]  - SP_NOSS;SP_NOSS ~ Internet NOSS Multispeed Network[0]  - SP_NOSS;SP_NOSS ~ Internet NOSS Multispeed Network[0]  - E23046;E23046 ~ ES23 - Paket HSI Bisnis[0]  - E23046~null~E23046_UNL;UNL ~ Internet-Lin"/>
    <s v="INDIBIZ"/>
    <m/>
    <m/>
    <d v="2026-10-08T12:00:00"/>
    <s v="INDOMARET GATOT SUBROTO  Jl. Gatot Subroto, Kel. Mautapaga, Kec. Ende Tim., Kabupaten Ende, Nusa Tenggara Tim.  "/>
    <m/>
    <m/>
    <m/>
    <e v="#NUM!"/>
    <e v="#NUM!"/>
    <x v="0"/>
    <x v="26"/>
  </r>
  <r>
    <n v="373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374"/>
    <n v="1002617427"/>
    <n v="3"/>
    <x v="0"/>
    <n v="5"/>
    <s v="KUPANG"/>
    <s v="ENDE"/>
    <s v="END"/>
    <s v="DGS"/>
    <s v="AO"/>
    <s v="NEW SALES"/>
    <m/>
    <s v="Completed (PS)"/>
    <s v="DGS-Government Public Services"/>
    <d v="2026-10-01T10:44:10"/>
    <d v="2026-10-02T14:07:52"/>
    <n v="69402197"/>
    <m/>
    <n v="172506789367"/>
    <s v="KUA ENDE TENGAH"/>
    <s v="ODP-END-FA/42"/>
    <s v="WO065471792"/>
    <m/>
    <m/>
    <m/>
    <n v="121.650545098639"/>
    <n v="-8.8473171428748998"/>
    <s v="DGS HSI||AIDAH|780018|TREG 3-NUSRA|KUA ENDE TENGAH|CHAIRUL WELLA|082237343936|HSI 50 Mbps (Bisnis)"/>
    <s v="Account Manager"/>
    <m/>
    <m/>
    <m/>
    <m/>
    <m/>
    <m/>
    <m/>
    <m/>
    <s v="Management Janji"/>
    <s v="moban di proses"/>
    <s v="FCC"/>
    <d v="2026-01-10T11:40:20"/>
    <m/>
    <m/>
    <s v="PS"/>
    <s v="ENDE"/>
    <s v="NETMONK"/>
    <n v="20261002"/>
    <s v="Completed"/>
    <s v="- 11_11450;Biaya PSB Reguler HSI EBIS ~ 11[500000]  - SP_NOSS;SP_NOSS ~ Internet NOSS Multispeed Network[0]  - SP_NOSS;SP_NOSS ~ Internet NOSS Multispeed Network[0]  - E23015;E23015 ~ ES23 - Perangkat ONT[0]  - E23015~null~44292;E23015||11||Abodemen 0[0] "/>
    <s v="INDIBIZ"/>
    <m/>
    <m/>
    <d v="2026-10-01T12:00:00"/>
    <s v="moban di proses"/>
    <n v="2026"/>
    <n v="10"/>
    <n v="2"/>
    <d v="2026-10-02T00:00:00"/>
    <n v="0.5"/>
    <x v="1"/>
    <x v="26"/>
  </r>
  <r>
    <n v="375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376"/>
    <n v="1002621429"/>
    <n v="3"/>
    <x v="0"/>
    <n v="5"/>
    <s v="KUPANG"/>
    <s v="ENDE"/>
    <s v="END"/>
    <s v="REG"/>
    <s v="AO"/>
    <s v="NEW SALES"/>
    <s v="1P INET"/>
    <s v="MIE - SEND SURVEY"/>
    <s v="RBS-Regional 3"/>
    <d v="2026-10-04T14:26:35"/>
    <d v="2026-10-04T14:28:06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SURVEY_NEW_MANJA"/>
    <s v="ENDE"/>
    <s v="NO ADDON"/>
    <m/>
    <s v="MIE - SEND SURVEY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m/>
    <m/>
    <m/>
    <e v="#NUM!"/>
    <e v="#NUM!"/>
    <x v="0"/>
    <x v="26"/>
  </r>
  <r>
    <n v="377"/>
    <n v="1002621270"/>
    <n v="3"/>
    <x v="0"/>
    <n v="5"/>
    <s v="KUPANG"/>
    <s v="MAUMERE"/>
    <s v="MMR"/>
    <s v="REG"/>
    <s v="AO"/>
    <s v="NEW SALES"/>
    <s v="1P INET"/>
    <s v="OSS - PROVISIONING START"/>
    <s v="RBS-Regional 3"/>
    <d v="2026-10-04T09:43:35"/>
    <d v="2026-10-05T08:14:31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RE_PI"/>
    <s v="X"/>
    <s v="NO ADDON"/>
    <m/>
    <s v="Provisioning Start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m/>
    <m/>
    <m/>
    <e v="#NUM!"/>
    <e v="#NUM!"/>
    <x v="0"/>
    <x v="27"/>
  </r>
  <r>
    <n v="378"/>
    <n v="1002621271"/>
    <n v="3"/>
    <x v="0"/>
    <n v="5"/>
    <s v="KUPANG"/>
    <s v="MAUMERE"/>
    <s v="MMR"/>
    <s v="REG"/>
    <s v="AO"/>
    <s v="NEW SALES"/>
    <s v="1P INET"/>
    <s v="7 | OSS - PROVISIONING ISSUED"/>
    <s v="RBS-Regional 3"/>
    <d v="2026-10-04T09:43:40"/>
    <d v="2026-10-05T08:16:13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I"/>
    <s v="X"/>
    <s v="NO ADDON"/>
    <m/>
    <s v="Provisioning Issu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m/>
    <m/>
    <m/>
    <e v="#NUM!"/>
    <e v="#NUM!"/>
    <x v="0"/>
    <x v="27"/>
  </r>
  <r>
    <n v="379"/>
    <n v="1002621495"/>
    <n v="3"/>
    <x v="0"/>
    <n v="5"/>
    <s v="KUPANG"/>
    <s v="MAUMERE"/>
    <s v="MMR"/>
    <s v="REG"/>
    <s v="AO"/>
    <s v="NEW SALES"/>
    <s v="1P INET"/>
    <s v="MIE - SEND SURVEY"/>
    <s v="RBS-Regional 3"/>
    <d v="2026-10-04T17:07:41"/>
    <d v="2026-10-04T17:10:01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SURVEY_NEW_MANJA"/>
    <s v="X"/>
    <s v="NETMONK"/>
    <m/>
    <s v="MIE - SEND SURVEY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m/>
    <m/>
    <m/>
    <e v="#NUM!"/>
    <e v="#NUM!"/>
    <x v="0"/>
    <x v="27"/>
  </r>
  <r>
    <n v="380"/>
    <n v="1002620214"/>
    <n v="3"/>
    <x v="0"/>
    <n v="5"/>
    <s v="KUPANG"/>
    <s v="LABOAN BAJO"/>
    <s v="REO"/>
    <s v="DGS"/>
    <s v="AO"/>
    <s v="NEW SALES"/>
    <m/>
    <s v="7 | OSS - PROVISIONING ISSUED"/>
    <s v="DGS-Government Public Services"/>
    <d v="2026-10-02T15:17:27"/>
    <d v="2026-10-02T15:21:30"/>
    <n v="69403201"/>
    <m/>
    <n v="172513217715"/>
    <s v="Kantor Unit Penyelenggara Pelabuhan Kelas II Reo"/>
    <s v="ODP-REO-FA/43"/>
    <s v="WO065590648"/>
    <m/>
    <m/>
    <m/>
    <n v="120.453249810457"/>
    <n v="-8.2858846381407396"/>
    <s v="DGS HSI|172513217715|MUHAMAD NATSIR ALAMSYAH HUMRIS|770010|TREG 3-NUSRA|Kantor Unit Penyelenggara Pelabuhan Kelas II Reo|HESRON LAIPUTA|085217705757|INDIBIZ BISNIS (1:1) INET ONLY 100 MBPS"/>
    <s v="Cesa"/>
    <m/>
    <m/>
    <m/>
    <m/>
    <m/>
    <m/>
    <m/>
    <m/>
    <s v="Management Janji"/>
    <s v="moban di proses "/>
    <s v="FCC"/>
    <d v="2026-02-10T15:40:15"/>
    <m/>
    <m/>
    <s v="PI"/>
    <s v="X"/>
    <s v="NO ADDON"/>
    <m/>
    <s v="Provisioning Issued"/>
    <s v="- 11_11450;Biaya PSB Reguler HSI EBIS ~ 11[150000]  - SP_NOSS;SP_NOSS ~ Internet NOSS Multispeed Network[0]  - E23015;E23015 ~ ES23 - Perangkat ONT[0]  - E23015~null~44292;E23015||11||Abodemen 0[0]  - E23015~null~E23015_SWONTDUALB;SWONTDUALB ~ Biaya Sewa "/>
    <s v="INDIBIZ"/>
    <m/>
    <m/>
    <d v="2026-10-02T12:00:00"/>
    <s v="moban di proses "/>
    <m/>
    <m/>
    <m/>
    <e v="#NUM!"/>
    <e v="#NUM!"/>
    <x v="0"/>
    <x v="28"/>
  </r>
  <r>
    <n v="381"/>
    <n v="1002620752"/>
    <n v="3"/>
    <x v="0"/>
    <n v="5"/>
    <s v="KUPANG"/>
    <s v="LABOAN BAJO"/>
    <s v="LBO"/>
    <s v="REG"/>
    <s v="AO"/>
    <s v="NEW SALES"/>
    <m/>
    <s v="7 | OSS - PROVISIONING ISSUED"/>
    <s v="RBS-Regional 3"/>
    <d v="2026-10-03T08:58:24"/>
    <d v="2026-10-04T08:05:29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I"/>
    <s v="LABUAN BAJO"/>
    <s v="NO ADDON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m/>
    <m/>
    <m/>
    <e v="#NUM!"/>
    <e v="#NUM!"/>
    <x v="0"/>
    <x v="28"/>
  </r>
  <r>
    <n v="382"/>
    <n v="1002621180"/>
    <n v="3"/>
    <x v="0"/>
    <n v="5"/>
    <s v="KUPANG"/>
    <s v="LABOAN BAJO"/>
    <s v="RTE"/>
    <s v="REG"/>
    <s v="AO"/>
    <s v="NEW SALES"/>
    <s v="1P INET"/>
    <s v="OSS - PROVISIONING START"/>
    <s v="RBS-Regional 3"/>
    <d v="2026-10-03T18:04:40"/>
    <d v="2026-10-05T08:08:32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RE_PI"/>
    <s v="X"/>
    <s v="NO ADDON"/>
    <m/>
    <s v="Provisioning Start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m/>
    <m/>
    <m/>
    <e v="#NUM!"/>
    <e v="#NUM!"/>
    <x v="0"/>
    <x v="28"/>
  </r>
  <r>
    <n v="383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384"/>
    <n v="1002619237"/>
    <n v="3"/>
    <x v="0"/>
    <n v="5"/>
    <s v="KUPANG"/>
    <s v="ENDE"/>
    <s v="BJW"/>
    <s v="REG"/>
    <s v="AO"/>
    <s v="NEW SALES"/>
    <s v="1P INET"/>
    <s v="7 | OSS - PROVISIONING ISSUED"/>
    <s v="RBS-Regional 3"/>
    <d v="2026-10-02T10:01:40"/>
    <d v="2026-10-05T08:06:28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I"/>
    <s v="BAJAWA"/>
    <s v="NO ADDON"/>
    <m/>
    <s v="Provisioning Issu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m/>
    <m/>
    <m/>
    <e v="#NUM!"/>
    <e v="#NUM!"/>
    <x v="0"/>
    <x v="26"/>
  </r>
  <r>
    <n v="385"/>
    <n v="1002617668"/>
    <n v="3"/>
    <x v="7"/>
    <n v="5"/>
    <s v="SINGARJA"/>
    <s v="SINGARAJA"/>
    <s v="SRR"/>
    <s v="DGS"/>
    <s v="AO"/>
    <s v="NEW SALES"/>
    <m/>
    <s v="Completed (PS)"/>
    <s v="DGS-B2B TREG"/>
    <d v="2026-10-01T11:51:15"/>
    <d v="2026-10-01T14:55:51"/>
    <n v="69394624"/>
    <m/>
    <n v="172425708139"/>
    <s v="Puskemas Pembantu Patemon"/>
    <s v="ODP-SRR-FN/04"/>
    <s v="WO065480786"/>
    <m/>
    <m/>
    <m/>
    <n v="114.9287298"/>
    <n v="-8.2033623999999996"/>
    <s v="DGS HSI | KETUT SOMA | 403210 | TREG3 | Puskemas Pembantu Patemon| HSI Bisnis 50mbps | Pic : +628951532-2310 an Pak Suprayogi"/>
    <s v="Amex"/>
    <m/>
    <m/>
    <m/>
    <m/>
    <m/>
    <m/>
    <m/>
    <m/>
    <s v="Management Janji"/>
    <s v="FU"/>
    <s v="FCC"/>
    <d v="2026-01-10T12:25:17"/>
    <m/>
    <m/>
    <s v="PS"/>
    <s v="X"/>
    <s v="NO ADDON"/>
    <n v="20261001"/>
    <s v="Completed"/>
    <s v="- 11_11450;Biaya PSB Reguler HSI EBIS ~ 11[150000]  - E23046;E23046 ~ ES23 - Paket HSI Bisnis[0]  - E23046~null~E23046_UNL;UNL ~ Internet-Link Unlimited Internet Usage ~ E23046[0]  - E23046~null~44877;E23046||11||Abodemen 0[0]  - E23046~null~E23046_HSIE50"/>
    <s v="INDIBIZ"/>
    <m/>
    <m/>
    <d v="1970-01-01T07:00:00"/>
    <s v="FU"/>
    <n v="2026"/>
    <n v="10"/>
    <n v="1"/>
    <d v="2026-10-01T00:00:00"/>
    <n v="20726.708333333332"/>
    <x v="2"/>
    <x v="29"/>
  </r>
  <r>
    <n v="386"/>
    <n v="1002620294"/>
    <n v="3"/>
    <x v="7"/>
    <n v="5"/>
    <s v="SINGARJA"/>
    <s v="TABANAN"/>
    <s v="BTR"/>
    <s v="REG"/>
    <s v="AO"/>
    <s v="NEW SALES"/>
    <m/>
    <s v="OSS - PROVISIONING START"/>
    <s v="RBS-Regional 3"/>
    <d v="2026-10-02T15:40:40"/>
    <d v="2026-10-05T08:05:26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RE_PI"/>
    <s v="TABANAN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m/>
    <m/>
    <m/>
    <e v="#NUM!"/>
    <e v="#NUM!"/>
    <x v="0"/>
    <x v="30"/>
  </r>
  <r>
    <n v="387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0"/>
  </r>
  <r>
    <n v="388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0"/>
  </r>
  <r>
    <n v="389"/>
    <n v="1002620541"/>
    <n v="3"/>
    <x v="7"/>
    <n v="5"/>
    <s v="SINGARJA"/>
    <s v="TABANAN"/>
    <s v="TBN"/>
    <s v="REG"/>
    <s v="AO"/>
    <s v="NEW SALES"/>
    <m/>
    <s v="OSS - FALLOUT"/>
    <s v="RBS-Regional 3"/>
    <d v="2026-10-02T17:11:21"/>
    <d v="2026-10-05T08:43:15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FO_WFM"/>
    <s v="TABANAN"/>
    <s v="NO ADDON"/>
    <m/>
    <s v="Provisioning Failed|WFM|INF009658534|TKJ_-8.5308735,115.12462029999999_moban update WO dibawah ini kendala ODP -TBN-FU/32 fu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390"/>
    <n v="1002620478"/>
    <n v="3"/>
    <x v="7"/>
    <n v="5"/>
    <s v="SINGARJA"/>
    <s v="TABANAN"/>
    <s v="TBN"/>
    <s v="REG"/>
    <s v="AO"/>
    <s v="NEW SALES"/>
    <m/>
    <s v="OSS - FALLOUT"/>
    <s v="RBS-Regional 3"/>
    <d v="2026-10-02T16:48:02"/>
    <d v="2026-10-05T08:44:33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FO_WFM"/>
    <s v="TABANAN"/>
    <s v="NO ADDON"/>
    <m/>
    <s v="Provisioning Failed|WFM|INF009658556|TKJ_-8.530854900000001,115.1246087_moban update WO dibawah ini kendala ODP -TBN-FU/32 fu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391"/>
    <n v="1002620582"/>
    <n v="3"/>
    <x v="7"/>
    <n v="5"/>
    <s v="SINGARJA"/>
    <s v="TABANAN"/>
    <s v="TBN"/>
    <s v="REG"/>
    <s v="AO"/>
    <s v="NEW SALES"/>
    <m/>
    <s v="OSS - FALLOUT"/>
    <s v="RBS-Regional 3"/>
    <d v="2026-10-02T17:30:45"/>
    <d v="2026-10-05T08:44:0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FO_WFM"/>
    <s v="TABANAN"/>
    <s v="NO ADDON"/>
    <m/>
    <s v="Provisioning Failed|WFM|INF009658530|TKJ_-8.5309506,115.12466889999999_moban update WO dibawah ini kendala ODP -TBN-FU/32 fu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392"/>
    <n v="1002620552"/>
    <n v="3"/>
    <x v="7"/>
    <n v="5"/>
    <s v="SINGARJA"/>
    <s v="TABANAN"/>
    <s v="TBN"/>
    <s v="REG"/>
    <s v="AO"/>
    <s v="NEW SALES"/>
    <m/>
    <s v="OSS - FALLOUT"/>
    <s v="RBS-Regional 3"/>
    <d v="2026-10-02T17:15:51"/>
    <d v="2026-10-05T08:40:58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FO_WFM"/>
    <s v="TABANAN"/>
    <s v="NO ADDON"/>
    <m/>
    <s v="Provisioning Failed|WFM|INF009658497|TKJ_-8.5308472,115.12459759999999_moban update WO dibawah ini kendala ODP -TBN-FU/32 fu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393"/>
    <n v="1002620445"/>
    <n v="3"/>
    <x v="7"/>
    <n v="5"/>
    <s v="SINGARJA"/>
    <s v="TABANAN"/>
    <s v="TBN"/>
    <s v="REG"/>
    <s v="AO"/>
    <s v="NEW SALES"/>
    <m/>
    <s v="OSS - FALLOUT"/>
    <s v="RBS-Regional 3"/>
    <d v="2026-10-02T16:31:39"/>
    <d v="2026-10-05T08:42:42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FO_WFM"/>
    <s v="TABANAN"/>
    <s v="NO ADDON"/>
    <m/>
    <s v="Provisioning Failed|WFM|INF009658507|TKJ_-8.5308864,115.12462339999999_moban update WO dibawah ini kendala ODP -TBN-FU/32 ful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394"/>
    <n v="1002620534"/>
    <n v="3"/>
    <x v="7"/>
    <n v="5"/>
    <s v="SINGARJA"/>
    <s v="TABANAN"/>
    <s v="TBN"/>
    <s v="REG"/>
    <s v="AO"/>
    <s v="NEW SALES"/>
    <m/>
    <s v="OSS - FALLOUT"/>
    <s v="RBS-Regional 3"/>
    <d v="2026-10-02T17:07:30"/>
    <d v="2026-10-05T08:42:01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FO_WFM"/>
    <s v="TABANAN"/>
    <s v="NO ADDON"/>
    <m/>
    <s v="Provisioning Failed|WFM|INF009658505|TKJ_-8.5308752,115.1246182_moban update WO dibawah ini kendala ODP -TBN-FU/32 full perl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395"/>
    <n v="1002620492"/>
    <n v="3"/>
    <x v="7"/>
    <n v="5"/>
    <s v="SINGARJA"/>
    <s v="TABANAN"/>
    <s v="TBN"/>
    <s v="REG"/>
    <s v="AO"/>
    <s v="NEW SALES"/>
    <m/>
    <s v="OSS - PROVISIONING START"/>
    <s v="RBS-Regional 3"/>
    <d v="2026-10-02T16:53:37"/>
    <d v="2026-10-04T08:04:48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m/>
    <s v="PRE_PI"/>
    <s v="TABANAN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396"/>
    <n v="1002620569"/>
    <n v="3"/>
    <x v="7"/>
    <n v="5"/>
    <s v="SINGARJA"/>
    <s v="TABANAN"/>
    <s v="TBN"/>
    <s v="REG"/>
    <s v="AO"/>
    <s v="NEW SALES"/>
    <m/>
    <s v="OSS - PROVISIONING START"/>
    <s v="RBS-Regional 3"/>
    <d v="2026-10-02T17:24:03"/>
    <d v="2026-10-04T08:04:52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m/>
    <s v="PRE_PI"/>
    <s v="TABANAN"/>
    <s v="NO ADDON"/>
    <m/>
    <s v="Provisioning Start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397"/>
    <n v="1002620470"/>
    <n v="3"/>
    <x v="7"/>
    <n v="5"/>
    <s v="SINGARJA"/>
    <s v="TABANAN"/>
    <s v="TBN"/>
    <s v="REG"/>
    <s v="AO"/>
    <s v="NEW SALES"/>
    <m/>
    <s v="OSS - PROVISIONING START"/>
    <s v="RBS-Regional 3"/>
    <d v="2026-10-02T16:44:10"/>
    <d v="2026-10-04T08:04:40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m/>
    <s v="PRE_PI"/>
    <s v="TABANAN"/>
    <s v="NO ADDON"/>
    <m/>
    <s v="Provisioning Start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398"/>
    <n v="1002620518"/>
    <n v="3"/>
    <x v="7"/>
    <n v="5"/>
    <s v="SINGARJA"/>
    <s v="TABANAN"/>
    <s v="TBN"/>
    <s v="REG"/>
    <s v="AO"/>
    <s v="NEW SALES"/>
    <m/>
    <s v="OSS - PROVISIONING START"/>
    <s v="RBS-Regional 3"/>
    <d v="2026-10-02T17:02:07"/>
    <d v="2026-10-04T08:04:48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m/>
    <s v="PRE_PI"/>
    <s v="TABANAN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399"/>
    <n v="1002620504"/>
    <n v="3"/>
    <x v="7"/>
    <n v="5"/>
    <s v="SINGARJA"/>
    <s v="TABANAN"/>
    <s v="TBN"/>
    <s v="REG"/>
    <s v="AO"/>
    <s v="NEW SALES"/>
    <m/>
    <s v="OSS - PROVISIONING START"/>
    <s v="RBS-Regional 3"/>
    <d v="2026-10-02T16:57:32"/>
    <d v="2026-10-04T08:04:32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m/>
    <s v="PRE_PI"/>
    <s v="TABANAN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400"/>
    <n v="1002619183"/>
    <n v="3"/>
    <x v="7"/>
    <n v="5"/>
    <s v="SINGARJA"/>
    <s v="TABANAN"/>
    <s v="TBN"/>
    <s v="REG"/>
    <s v="AO"/>
    <s v="NEW SALES"/>
    <m/>
    <s v="7 | OSS - PROVISIONING ISSUED"/>
    <s v="RBS-Regional 3"/>
    <d v="2026-10-02T09:46:18"/>
    <d v="2026-10-03T11:39:40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m/>
    <s v="PI"/>
    <s v="TABANAN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401"/>
    <n v="1002617925"/>
    <n v="3"/>
    <x v="7"/>
    <n v="5"/>
    <s v="DENPASAR"/>
    <s v="UBUNG"/>
    <s v="UBN"/>
    <s v="REG"/>
    <s v="AO"/>
    <s v="NEW SALES"/>
    <m/>
    <s v="OSS - PROVISIONING START"/>
    <s v="RBS-Regional 3"/>
    <d v="2026-10-01T13:48:55"/>
    <d v="2026-10-02T11:42:44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m/>
    <s v="PRE_PI"/>
    <s v="UBUNG"/>
    <s v="NETMONK"/>
    <m/>
    <s v="Provisioning Start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1"/>
  </r>
  <r>
    <n v="402"/>
    <n v="1002616933"/>
    <n v="3"/>
    <x v="7"/>
    <n v="5"/>
    <s v="DENPASAR"/>
    <s v="UBUNG"/>
    <s v="UBN"/>
    <s v="REG"/>
    <s v="AO"/>
    <s v="NEW SALES"/>
    <m/>
    <s v="7 | OSS - PROVISIONING ISSUED"/>
    <s v="RBS-Regional 3"/>
    <d v="2026-10-01T08:46:21"/>
    <d v="2026-10-01T08:52:57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m/>
    <s v="PI"/>
    <s v="UBUNG"/>
    <s v="OCA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1"/>
  </r>
  <r>
    <n v="403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1"/>
  </r>
  <r>
    <n v="404"/>
    <n v="1002619911"/>
    <n v="3"/>
    <x v="7"/>
    <n v="5"/>
    <s v="DENPASAR"/>
    <s v="JIMBARAN"/>
    <s v="KUT"/>
    <s v="REG"/>
    <s v="AO"/>
    <s v="NEW SALES"/>
    <m/>
    <s v="7 | OSS - PROVISIONING ISSUED"/>
    <s v="RBS-Regional 3"/>
    <d v="2026-10-02T14:06:42"/>
    <d v="2026-10-04T15:15:02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m/>
    <s v="PI"/>
    <s v="KUTA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2"/>
  </r>
  <r>
    <n v="405"/>
    <n v="1002619261"/>
    <n v="3"/>
    <x v="7"/>
    <n v="5"/>
    <s v="DENPASAR"/>
    <s v="JIMBARAN"/>
    <s v="KUT"/>
    <s v="REG"/>
    <s v="AO"/>
    <s v="NEW SALES"/>
    <m/>
    <s v="CC - HD1A - INPROGRESS UNCONTACTED"/>
    <s v="RBS-Regional 3"/>
    <d v="2026-10-02T10:22:26"/>
    <d v="2026-10-02T14:19:09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FCC"/>
    <s v="KUTA"/>
    <s v="NETMONK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406"/>
    <n v="1002621473"/>
    <n v="3"/>
    <x v="7"/>
    <n v="5"/>
    <s v="DENPASAR"/>
    <s v="SANUR"/>
    <s v="KLM"/>
    <s v="REG"/>
    <s v="AO"/>
    <s v="NEW SALES"/>
    <s v="1P INET"/>
    <s v="MIE - SEND SURVEY"/>
    <s v="RBS-Regional 3"/>
    <d v="2026-10-04T15:58:40"/>
    <d v="2026-10-04T16:01:03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SURVEY_NEW_MANJA"/>
    <s v="KALIASEM"/>
    <s v="NO ADDON"/>
    <m/>
    <s v="MIE - SEND SURVEY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m/>
    <m/>
    <m/>
    <e v="#NUM!"/>
    <e v="#NUM!"/>
    <x v="0"/>
    <x v="33"/>
  </r>
  <r>
    <n v="407"/>
    <n v="1002618140"/>
    <n v="3"/>
    <x v="7"/>
    <n v="5"/>
    <s v="DENPASAR"/>
    <s v="SANUR"/>
    <s v="SAU"/>
    <s v="DSS"/>
    <s v="AO"/>
    <s v="NEW SALES"/>
    <m/>
    <s v="Completed (PS)"/>
    <s v="DSS-Tourism &amp; Welfare"/>
    <d v="2026-10-01T14:38:37"/>
    <d v="2026-10-02T10:49:21"/>
    <n v="69401646"/>
    <n v="3619581022"/>
    <n v="172401298392"/>
    <s v="PT. PULAUINTAN BAJAPERKASA KONSTRUKSI"/>
    <s v="ODP-SAU-FP/23"/>
    <s v="WO065500931"/>
    <m/>
    <m/>
    <m/>
    <n v="115.26216592999999"/>
    <n v="-8.6823983459999994"/>
    <s v="DSS/TREG3/BALI/910203/AM MITA/PT. PULAUINTAN BAJAPERKASA KONSTRUKSI/PSB TELP HSI 100Mbps /PIC ARIFIN 082236639181"/>
    <s v="Account Manager"/>
    <m/>
    <m/>
    <m/>
    <m/>
    <m/>
    <m/>
    <m/>
    <m/>
    <s v="Management Janji"/>
    <s v="PSB TELP HSI 100Mbps"/>
    <s v="FCC"/>
    <d v="2026-01-10T14:40:16"/>
    <m/>
    <m/>
    <s v="PS"/>
    <s v="SANUR"/>
    <s v="NO ADDON"/>
    <n v="20261002"/>
    <s v="Completed"/>
    <s v="- 11_11450;Biaya PSB Reguler HSI EBIS ~ 11[500000]  - BWY DL;BWY DL ~ Saluran Dua Arah(BothWay)[0]  - E23053;E23053 ~ ES23 - Paket HSI Bisnis  Phone (PHONE)[0]  - E23053~null~44864;E23053||11||Abodemen 0[0]  - E23053~null~E23053_IN800;IN800 ~ Free Lokal d"/>
    <s v="INDIBIZ"/>
    <m/>
    <m/>
    <d v="1970-01-01T07:00:00"/>
    <s v="PSB TELP HSI 100Mbps"/>
    <n v="2026"/>
    <n v="10"/>
    <n v="2"/>
    <d v="2026-10-02T00:00:00"/>
    <n v="20727.708333333332"/>
    <x v="2"/>
    <x v="33"/>
  </r>
  <r>
    <n v="408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409"/>
    <n v="1002619726"/>
    <n v="3"/>
    <x v="7"/>
    <n v="5"/>
    <s v="SINGARJA"/>
    <s v="GIANYAR"/>
    <s v="GIN"/>
    <s v="REG"/>
    <s v="AO"/>
    <s v="NEW SALES"/>
    <m/>
    <s v="OSS - PROVISIONING START"/>
    <s v="RBS-Regional 3"/>
    <d v="2026-10-02T13:09:24"/>
    <d v="2026-10-03T15:22:47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RE_PI"/>
    <s v="GIANYAR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m/>
    <m/>
    <m/>
    <e v="#NUM!"/>
    <e v="#NUM!"/>
    <x v="0"/>
    <x v="34"/>
  </r>
  <r>
    <n v="410"/>
    <n v="1002620148"/>
    <n v="3"/>
    <x v="7"/>
    <n v="5"/>
    <s v="SINGARJA"/>
    <s v="GIANYAR"/>
    <s v="GIN"/>
    <s v="REG"/>
    <s v="AO"/>
    <s v="NEW SALES"/>
    <m/>
    <s v="OSS - PROVISIONING START"/>
    <s v="RBS-Regional 3"/>
    <d v="2026-10-02T15:03:19"/>
    <d v="2026-10-05T08:05:25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RE_PI"/>
    <s v="GIANYAR"/>
    <s v="NO ADDON"/>
    <m/>
    <s v="Provisioning Start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m/>
    <m/>
    <m/>
    <e v="#NUM!"/>
    <e v="#NUM!"/>
    <x v="0"/>
    <x v="34"/>
  </r>
  <r>
    <n v="411"/>
    <n v="1002619348"/>
    <n v="3"/>
    <x v="7"/>
    <n v="5"/>
    <s v="SINGARJA"/>
    <s v="GIANYAR"/>
    <s v="GIN"/>
    <s v="REG"/>
    <s v="AO"/>
    <s v="NEW SALES"/>
    <m/>
    <s v="OSS - PROVISIONING START"/>
    <s v="RBS-Regional 3"/>
    <d v="2026-10-02T10:34:36"/>
    <d v="2026-10-03T08:04:52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RE_PI"/>
    <s v="GIANYAR"/>
    <s v="NO ADDON"/>
    <m/>
    <s v="Provisioning Start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m/>
    <m/>
    <m/>
    <e v="#NUM!"/>
    <e v="#NUM!"/>
    <x v="0"/>
    <x v="34"/>
  </r>
  <r>
    <n v="412"/>
    <n v="1002621371"/>
    <n v="3"/>
    <x v="7"/>
    <n v="5"/>
    <s v="SINGARJA"/>
    <s v="GIANYAR"/>
    <s v="GIN"/>
    <s v="REG"/>
    <s v="AO"/>
    <s v="NEW SALES"/>
    <m/>
    <s v="MYDITA RBS - HD1A - FAILED"/>
    <s v="RBS-Regional 3"/>
    <d v="2026-10-04T12:56:44"/>
    <d v="2026-10-04T14:06:02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m/>
    <s v="GIANYAR"/>
    <s v="NO ADDON"/>
    <m/>
    <s v="MYDITA RBS - HD1A - FAIL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4"/>
  </r>
  <r>
    <n v="413"/>
    <n v="1002621378"/>
    <n v="3"/>
    <x v="7"/>
    <n v="5"/>
    <s v="SINGARJA"/>
    <s v="GIANYAR"/>
    <s v="GIN"/>
    <s v="REG"/>
    <s v="AO"/>
    <s v="NEW SALES"/>
    <m/>
    <s v="QC MIA - INVALID QUALITY CONTROL MIA"/>
    <s v="RBS-Regional 3"/>
    <d v="2026-10-04T13:02:47"/>
    <d v="2026-10-04T15:50:09"/>
    <n v="69403881"/>
    <m/>
    <n v="172407215034"/>
    <s v="YADNYA GROSIR"/>
    <s v="ODP-GIN-FH/98"/>
    <m/>
    <m/>
    <m/>
    <m/>
    <n v="115.327792869205"/>
    <n v="-8.5251278300011801"/>
    <s v="|MN02658|/PIC COKORDA RAKA WISMA PUTRA/082147822274/cokrakawismaputra@gmail.com"/>
    <s v="Sales Force DBS"/>
    <m/>
    <m/>
    <m/>
    <m/>
    <m/>
    <m/>
    <m/>
    <m/>
    <m/>
    <m/>
    <m/>
    <d v="2026-04-10T13:10:49"/>
    <m/>
    <m/>
    <s v="QC1"/>
    <s v="GIANYAR"/>
    <s v="NO ADDON"/>
    <m/>
    <s v="QC MIA - INVALID QUALITY CONTROL MIA - Foto Dokumen Usaha Tidak Valid - Mohon upload dokumen NIB/SIUP/NPWP  a.n usaha/picnya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414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4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8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5"/>
        <item m="1" x="43"/>
        <item m="1" x="94"/>
        <item m="1" x="52"/>
        <item m="1" x="56"/>
        <item m="1" x="45"/>
        <item x="3"/>
        <item x="32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8"/>
        <item x="2"/>
        <item x="34"/>
        <item m="1" x="95"/>
        <item x="17"/>
        <item m="1" x="51"/>
        <item x="24"/>
        <item x="26"/>
        <item m="1" x="38"/>
        <item x="15"/>
        <item x="31"/>
        <item x="19"/>
        <item x="8"/>
        <item x="23"/>
        <item m="1" x="40"/>
        <item x="20"/>
        <item m="1" x="37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0"/>
        <item x="22"/>
        <item x="11"/>
        <item x="28"/>
        <item m="1" x="55"/>
        <item m="1" x="39"/>
        <item m="1" x="36"/>
        <item x="16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0">
    <i>
      <x/>
    </i>
    <i r="1">
      <x v="57"/>
    </i>
    <i r="1">
      <x v="71"/>
    </i>
    <i r="1">
      <x v="79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60" t="s">
        <v>0</v>
      </c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0"/>
      <c r="N1" s="160"/>
      <c r="O1" s="160"/>
      <c r="P1" s="160"/>
      <c r="Q1" s="160"/>
    </row>
    <row r="2" spans="2:34">
      <c r="B2" s="160"/>
      <c r="C2" s="160"/>
      <c r="D2" s="160"/>
      <c r="E2" s="160"/>
      <c r="F2" s="160"/>
      <c r="G2" s="160"/>
      <c r="H2" s="160"/>
      <c r="I2" s="160"/>
      <c r="J2" s="160"/>
      <c r="K2" s="160"/>
      <c r="L2" s="160"/>
      <c r="M2" s="160"/>
      <c r="N2" s="160"/>
      <c r="O2" s="160"/>
      <c r="P2" s="160"/>
      <c r="Q2" s="160"/>
    </row>
    <row r="3" spans="2:34" ht="14.5" customHeight="1">
      <c r="B3" s="160"/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</row>
    <row r="4" spans="2:34">
      <c r="B4" s="160"/>
      <c r="C4" s="160"/>
      <c r="D4" s="160"/>
      <c r="E4" s="160"/>
      <c r="F4" s="160"/>
      <c r="G4" s="160"/>
      <c r="H4" s="160"/>
      <c r="I4" s="160"/>
      <c r="J4" s="160"/>
      <c r="K4" s="160"/>
      <c r="L4" s="160"/>
      <c r="M4" s="160"/>
      <c r="N4" s="160"/>
      <c r="O4" s="160"/>
      <c r="P4" s="160"/>
      <c r="Q4" s="160"/>
    </row>
    <row r="6" spans="2:34">
      <c r="B6" s="179" t="s">
        <v>1</v>
      </c>
      <c r="C6" s="159" t="s">
        <v>2</v>
      </c>
      <c r="D6" s="159" t="s">
        <v>3</v>
      </c>
      <c r="E6" s="159" t="s">
        <v>4</v>
      </c>
      <c r="F6" s="159" t="s">
        <v>5</v>
      </c>
      <c r="G6" s="159" t="s">
        <v>6</v>
      </c>
      <c r="H6" s="159" t="s">
        <v>7</v>
      </c>
      <c r="I6" s="159" t="s">
        <v>8</v>
      </c>
      <c r="J6" s="159" t="s">
        <v>9</v>
      </c>
      <c r="K6" s="159" t="s">
        <v>10</v>
      </c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 t="s">
        <v>11</v>
      </c>
      <c r="Z6" s="159" t="s">
        <v>12</v>
      </c>
      <c r="AA6" s="159"/>
      <c r="AB6" s="159"/>
      <c r="AC6" s="159"/>
      <c r="AD6" s="159" t="s">
        <v>13</v>
      </c>
      <c r="AE6" s="159" t="s">
        <v>14</v>
      </c>
      <c r="AF6" s="159" t="s">
        <v>15</v>
      </c>
      <c r="AG6" s="159" t="s">
        <v>16</v>
      </c>
      <c r="AH6" s="159" t="s">
        <v>17</v>
      </c>
    </row>
    <row r="7" spans="2:34">
      <c r="B7" s="179"/>
      <c r="C7" s="159"/>
      <c r="D7" s="159"/>
      <c r="E7" s="159"/>
      <c r="F7" s="159"/>
      <c r="G7" s="159"/>
      <c r="H7" s="159"/>
      <c r="I7" s="159"/>
      <c r="J7" s="159"/>
      <c r="K7" s="159" t="s">
        <v>2</v>
      </c>
      <c r="L7" s="159" t="s">
        <v>18</v>
      </c>
      <c r="M7" s="159"/>
      <c r="N7" s="159"/>
      <c r="O7" s="159" t="s">
        <v>19</v>
      </c>
      <c r="P7" s="159" t="s">
        <v>20</v>
      </c>
      <c r="Q7" s="159"/>
      <c r="R7" s="159"/>
      <c r="S7" s="159"/>
      <c r="T7" s="159"/>
      <c r="U7" s="159"/>
      <c r="V7" s="159"/>
      <c r="W7" s="159" t="s">
        <v>21</v>
      </c>
      <c r="X7" s="159" t="s">
        <v>22</v>
      </c>
      <c r="Y7" s="159"/>
      <c r="Z7" s="159"/>
      <c r="AA7" s="159"/>
      <c r="AB7" s="159"/>
      <c r="AC7" s="159"/>
      <c r="AD7" s="159"/>
      <c r="AE7" s="159"/>
      <c r="AF7" s="159"/>
      <c r="AG7" s="159"/>
      <c r="AH7" s="159"/>
    </row>
    <row r="8" spans="2:34">
      <c r="B8" s="179"/>
      <c r="C8" s="159"/>
      <c r="D8" s="159"/>
      <c r="E8" s="159"/>
      <c r="F8" s="159"/>
      <c r="G8" s="159"/>
      <c r="H8" s="159"/>
      <c r="I8" s="159"/>
      <c r="J8" s="159"/>
      <c r="K8" s="159"/>
      <c r="L8" s="159"/>
      <c r="M8" s="159"/>
      <c r="N8" s="159"/>
      <c r="O8" s="159"/>
      <c r="P8" s="159" t="s">
        <v>23</v>
      </c>
      <c r="Q8" s="159"/>
      <c r="R8" s="159"/>
      <c r="S8" s="159"/>
      <c r="T8" s="159" t="s">
        <v>24</v>
      </c>
      <c r="U8" s="159" t="s">
        <v>25</v>
      </c>
      <c r="V8" s="159" t="s">
        <v>26</v>
      </c>
      <c r="W8" s="159"/>
      <c r="X8" s="159"/>
      <c r="Y8" s="159"/>
      <c r="Z8" s="159"/>
      <c r="AA8" s="159"/>
      <c r="AB8" s="159"/>
      <c r="AC8" s="159"/>
      <c r="AD8" s="159"/>
      <c r="AE8" s="159"/>
      <c r="AF8" s="159"/>
      <c r="AG8" s="159"/>
      <c r="AH8" s="159"/>
    </row>
    <row r="9" spans="2:34" ht="29">
      <c r="B9" s="179"/>
      <c r="C9" s="159"/>
      <c r="D9" s="159"/>
      <c r="E9" s="159"/>
      <c r="F9" s="159"/>
      <c r="G9" s="159"/>
      <c r="H9" s="159"/>
      <c r="I9" s="159"/>
      <c r="J9" s="159"/>
      <c r="K9" s="13"/>
      <c r="L9" s="13" t="s">
        <v>27</v>
      </c>
      <c r="M9" s="13" t="s">
        <v>28</v>
      </c>
      <c r="N9" s="13" t="s">
        <v>29</v>
      </c>
      <c r="O9" s="159"/>
      <c r="P9" s="13" t="s">
        <v>30</v>
      </c>
      <c r="Q9" s="13" t="s">
        <v>31</v>
      </c>
      <c r="R9" s="13" t="s">
        <v>32</v>
      </c>
      <c r="S9" s="13" t="s">
        <v>33</v>
      </c>
      <c r="T9" s="159"/>
      <c r="U9" s="159"/>
      <c r="V9" s="159"/>
      <c r="W9" s="159"/>
      <c r="X9" s="159"/>
      <c r="Y9" s="159"/>
      <c r="Z9" s="13" t="s">
        <v>30</v>
      </c>
      <c r="AA9" s="13" t="s">
        <v>31</v>
      </c>
      <c r="AB9" s="13" t="s">
        <v>32</v>
      </c>
      <c r="AC9" s="13" t="s">
        <v>33</v>
      </c>
      <c r="AD9" s="159"/>
      <c r="AE9" s="159"/>
      <c r="AF9" s="159"/>
      <c r="AG9" s="159"/>
      <c r="AH9" s="159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39" t="str">
        <f ca="1">"PROVISIONING INDIBIZ TR3 JBN HARIAN "&amp;TEXT(TODAY(),"YYYY-MM-DD ")&amp;TEXT(NOW(),"HH:MM")&amp;" WIB"</f>
        <v>PROVISIONING INDIBIZ TR3 JBN HARIAN 2026-10-05 09:31 WIB</v>
      </c>
      <c r="C20" s="139"/>
      <c r="D20" s="139"/>
      <c r="E20" s="139"/>
      <c r="F20" s="139"/>
      <c r="G20" s="139"/>
      <c r="H20" s="139"/>
      <c r="I20" s="139"/>
      <c r="J20" s="139"/>
      <c r="K20" s="139"/>
      <c r="L20" s="139"/>
      <c r="M20" s="139"/>
      <c r="N20" s="139"/>
      <c r="O20" s="139"/>
      <c r="P20" s="139"/>
      <c r="Q20" s="139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17" t="s">
        <v>66</v>
      </c>
      <c r="C21" s="117"/>
      <c r="D21" s="117"/>
      <c r="E21" s="117"/>
      <c r="F21" s="117"/>
      <c r="G21" s="117"/>
      <c r="H21" s="117"/>
      <c r="I21" s="117"/>
      <c r="J21" s="117"/>
      <c r="K21" s="117"/>
      <c r="L21" s="117"/>
      <c r="M21" s="117"/>
      <c r="N21" s="117"/>
      <c r="O21" s="117"/>
      <c r="P21" s="117"/>
      <c r="Q21" s="117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4" t="s">
        <v>1</v>
      </c>
      <c r="C23" s="171" t="s">
        <v>3</v>
      </c>
      <c r="D23" s="171" t="s">
        <v>67</v>
      </c>
      <c r="E23" s="161" t="s">
        <v>7</v>
      </c>
      <c r="F23" s="162" t="s">
        <v>8</v>
      </c>
      <c r="G23" s="162" t="s">
        <v>9</v>
      </c>
      <c r="H23" s="165" t="s">
        <v>10</v>
      </c>
      <c r="I23" s="166"/>
      <c r="J23" s="166"/>
      <c r="K23" s="167"/>
      <c r="L23" s="162" t="s">
        <v>68</v>
      </c>
      <c r="M23" s="163" t="s">
        <v>11</v>
      </c>
      <c r="N23" s="161" t="s">
        <v>12</v>
      </c>
      <c r="O23" s="161"/>
      <c r="P23" s="161" t="s">
        <v>13</v>
      </c>
      <c r="Q23" s="161" t="s">
        <v>14</v>
      </c>
    </row>
    <row r="24" spans="2:34" ht="15.65" customHeight="1">
      <c r="B24" s="164"/>
      <c r="C24" s="171"/>
      <c r="D24" s="171"/>
      <c r="E24" s="161"/>
      <c r="F24" s="162"/>
      <c r="G24" s="162"/>
      <c r="H24" s="162" t="s">
        <v>2</v>
      </c>
      <c r="I24" s="162" t="s">
        <v>18</v>
      </c>
      <c r="J24" s="162" t="s">
        <v>20</v>
      </c>
      <c r="K24" s="162" t="s">
        <v>22</v>
      </c>
      <c r="L24" s="162"/>
      <c r="M24" s="163"/>
      <c r="N24" s="161"/>
      <c r="O24" s="161"/>
      <c r="P24" s="161"/>
      <c r="Q24" s="161"/>
    </row>
    <row r="25" spans="2:34" ht="14.5" customHeight="1">
      <c r="B25" s="164"/>
      <c r="C25" s="171"/>
      <c r="D25" s="171"/>
      <c r="E25" s="161"/>
      <c r="F25" s="162"/>
      <c r="G25" s="162"/>
      <c r="H25" s="162"/>
      <c r="I25" s="162"/>
      <c r="J25" s="162"/>
      <c r="K25" s="162"/>
      <c r="L25" s="162"/>
      <c r="M25" s="163"/>
      <c r="N25" s="161"/>
      <c r="O25" s="161"/>
      <c r="P25" s="161"/>
      <c r="Q25" s="161"/>
    </row>
    <row r="26" spans="2:34" ht="29.15" customHeight="1">
      <c r="B26" s="164"/>
      <c r="C26" s="171"/>
      <c r="D26" s="171"/>
      <c r="E26" s="161"/>
      <c r="F26" s="162"/>
      <c r="G26" s="162"/>
      <c r="H26" s="162"/>
      <c r="I26" s="162"/>
      <c r="J26" s="162"/>
      <c r="K26" s="162"/>
      <c r="L26" s="162"/>
      <c r="M26" s="163"/>
      <c r="N26" s="43" t="s">
        <v>30</v>
      </c>
      <c r="O26" s="43" t="s">
        <v>69</v>
      </c>
      <c r="P26" s="161"/>
      <c r="Q26" s="161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68" t="s">
        <v>72</v>
      </c>
      <c r="D34" s="169"/>
    </row>
    <row r="35" spans="2:18" ht="15.5">
      <c r="B35" s="48"/>
      <c r="C35" s="170" t="s">
        <v>73</v>
      </c>
      <c r="D35" s="170"/>
    </row>
    <row r="36" spans="2:18">
      <c r="B36" s="49"/>
      <c r="C36" s="170" t="s">
        <v>74</v>
      </c>
      <c r="D36" s="170"/>
    </row>
    <row r="37" spans="2:18">
      <c r="B37" s="50"/>
      <c r="C37" s="170" t="s">
        <v>75</v>
      </c>
      <c r="D37" s="170"/>
    </row>
    <row r="38" spans="2:18">
      <c r="B38" s="51"/>
      <c r="C38" s="177" t="s">
        <v>76</v>
      </c>
      <c r="D38" s="178"/>
    </row>
    <row r="39" spans="2:18">
      <c r="C39" s="1"/>
      <c r="D39" s="1"/>
    </row>
    <row r="40" spans="2:18" ht="18.5">
      <c r="B40" s="139" t="str">
        <f ca="1">"PROVISIONING INDIBIZ TR3 JBN BY TELDA MTD "&amp;TEXT(TODAY(),"YYYY-MM-DD ")&amp;TEXT(NOW(),"HH:MM")&amp;" WIB"</f>
        <v>PROVISIONING INDIBIZ TR3 JBN BY TELDA MTD 2026-10-05 09:31 WIB</v>
      </c>
      <c r="C40" s="139"/>
      <c r="D40" s="139"/>
      <c r="E40" s="139"/>
      <c r="F40" s="139"/>
      <c r="G40" s="139"/>
      <c r="H40" s="139"/>
      <c r="I40" s="139"/>
      <c r="J40" s="139"/>
      <c r="K40" s="139"/>
      <c r="L40" s="139"/>
      <c r="M40" s="139"/>
      <c r="N40" s="139"/>
      <c r="O40" s="139"/>
      <c r="P40" s="139"/>
      <c r="Q40" s="139"/>
    </row>
    <row r="41" spans="2:18" ht="15.5">
      <c r="B41" s="117" t="s">
        <v>77</v>
      </c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</row>
    <row r="43" spans="2:18" ht="15.65" customHeight="1">
      <c r="B43" s="164" t="s">
        <v>1</v>
      </c>
      <c r="C43" s="164" t="s">
        <v>78</v>
      </c>
      <c r="D43" s="171" t="s">
        <v>3</v>
      </c>
      <c r="E43" s="171" t="s">
        <v>67</v>
      </c>
      <c r="F43" s="161" t="s">
        <v>7</v>
      </c>
      <c r="G43" s="162" t="s">
        <v>8</v>
      </c>
      <c r="H43" s="162" t="s">
        <v>9</v>
      </c>
      <c r="I43" s="165" t="s">
        <v>10</v>
      </c>
      <c r="J43" s="166"/>
      <c r="K43" s="166"/>
      <c r="L43" s="167"/>
      <c r="M43" s="162" t="s">
        <v>68</v>
      </c>
      <c r="N43" s="163" t="s">
        <v>11</v>
      </c>
      <c r="O43" s="161" t="s">
        <v>12</v>
      </c>
      <c r="P43" s="161"/>
      <c r="Q43" s="161" t="s">
        <v>13</v>
      </c>
      <c r="R43" s="161" t="s">
        <v>14</v>
      </c>
    </row>
    <row r="44" spans="2:18" ht="14.5" customHeight="1">
      <c r="B44" s="164"/>
      <c r="C44" s="164"/>
      <c r="D44" s="171"/>
      <c r="E44" s="171"/>
      <c r="F44" s="161"/>
      <c r="G44" s="162"/>
      <c r="H44" s="162"/>
      <c r="I44" s="162" t="s">
        <v>2</v>
      </c>
      <c r="J44" s="162" t="s">
        <v>18</v>
      </c>
      <c r="K44" s="162" t="s">
        <v>20</v>
      </c>
      <c r="L44" s="162" t="s">
        <v>22</v>
      </c>
      <c r="M44" s="162"/>
      <c r="N44" s="163"/>
      <c r="O44" s="161"/>
      <c r="P44" s="161"/>
      <c r="Q44" s="161"/>
      <c r="R44" s="161"/>
    </row>
    <row r="45" spans="2:18" ht="14.5" customHeight="1">
      <c r="B45" s="164"/>
      <c r="C45" s="164"/>
      <c r="D45" s="171"/>
      <c r="E45" s="171"/>
      <c r="F45" s="161"/>
      <c r="G45" s="162"/>
      <c r="H45" s="162"/>
      <c r="I45" s="162"/>
      <c r="J45" s="162"/>
      <c r="K45" s="162"/>
      <c r="L45" s="162"/>
      <c r="M45" s="162"/>
      <c r="N45" s="163"/>
      <c r="O45" s="161"/>
      <c r="P45" s="161"/>
      <c r="Q45" s="161"/>
      <c r="R45" s="161"/>
    </row>
    <row r="46" spans="2:18" ht="46.5">
      <c r="B46" s="164"/>
      <c r="C46" s="164"/>
      <c r="D46" s="171"/>
      <c r="E46" s="171"/>
      <c r="F46" s="161"/>
      <c r="G46" s="162"/>
      <c r="H46" s="162"/>
      <c r="I46" s="162"/>
      <c r="J46" s="162"/>
      <c r="K46" s="162"/>
      <c r="L46" s="162"/>
      <c r="M46" s="162"/>
      <c r="N46" s="163"/>
      <c r="O46" s="43" t="s">
        <v>30</v>
      </c>
      <c r="P46" s="43" t="s">
        <v>69</v>
      </c>
      <c r="Q46" s="161"/>
      <c r="R46" s="161"/>
    </row>
    <row r="47" spans="2:18">
      <c r="B47" s="174" t="s">
        <v>34</v>
      </c>
      <c r="C47" s="52" t="s">
        <v>79</v>
      </c>
      <c r="D47" s="53">
        <f>'LOOKUP  telda'!E7</f>
        <v>0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0</v>
      </c>
      <c r="M47" s="53">
        <f>SUM('DATA MTD'!I47:L47)</f>
        <v>0</v>
      </c>
      <c r="N47" s="53">
        <f>'LOOKUP  telda'!Z7</f>
        <v>0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0</v>
      </c>
    </row>
    <row r="48" spans="2:18">
      <c r="B48" s="175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75"/>
      <c r="C49" s="52" t="s">
        <v>81</v>
      </c>
      <c r="D49" s="53">
        <f>'LOOKUP  telda'!E9</f>
        <v>0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0</v>
      </c>
      <c r="M49" s="53">
        <f>SUM('DATA MTD'!I49:L49)</f>
        <v>0</v>
      </c>
      <c r="N49" s="53">
        <f>'LOOKUP  telda'!Z9</f>
        <v>0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75"/>
      <c r="C50" s="52" t="s">
        <v>82</v>
      </c>
      <c r="D50" s="53">
        <f>'LOOKUP  telda'!E10</f>
        <v>0</v>
      </c>
      <c r="E50" s="53">
        <f>'LOOKUP  telda'!F10+'LOOKUP  telda'!G10+'LOOKUP  telda'!H10</f>
        <v>0</v>
      </c>
      <c r="F50" s="53">
        <f>'LOOKUP  telda'!I10</f>
        <v>0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0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75"/>
      <c r="C51" s="52" t="s">
        <v>83</v>
      </c>
      <c r="D51" s="53">
        <f>'LOOKUP  telda'!E11</f>
        <v>0</v>
      </c>
      <c r="E51" s="53">
        <f>'LOOKUP  telda'!F11+'LOOKUP  telda'!G11+'LOOKUP  telda'!H11</f>
        <v>0</v>
      </c>
      <c r="F51" s="53">
        <f>'LOOKUP  telda'!I11</f>
        <v>0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0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0</v>
      </c>
    </row>
    <row r="52" spans="2:18">
      <c r="B52" s="175"/>
      <c r="C52" s="52" t="s">
        <v>84</v>
      </c>
      <c r="D52" s="53">
        <f>'LOOKUP  telda'!E12</f>
        <v>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75"/>
      <c r="C53" s="52" t="s">
        <v>85</v>
      </c>
      <c r="D53" s="53">
        <f>'LOOKUP  telda'!E13</f>
        <v>0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0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0</v>
      </c>
    </row>
    <row r="54" spans="2:18">
      <c r="B54" s="176"/>
      <c r="C54" s="52" t="s">
        <v>86</v>
      </c>
      <c r="D54" s="53">
        <f>'LOOKUP  telda'!E14</f>
        <v>0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0</v>
      </c>
      <c r="L54" s="53">
        <f>'LOOKUP  telda'!Y14</f>
        <v>0</v>
      </c>
      <c r="M54" s="53">
        <f>SUM('DATA MTD'!I54:L54)</f>
        <v>0</v>
      </c>
      <c r="N54" s="53">
        <f>'LOOKUP  telda'!Z14</f>
        <v>0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74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75"/>
      <c r="C56" s="52" t="s">
        <v>88</v>
      </c>
      <c r="D56" s="53">
        <f>'LOOKUP  telda'!E15</f>
        <v>0</v>
      </c>
      <c r="E56" s="53">
        <f>'LOOKUP  telda'!F15+'LOOKUP  telda'!G15+'LOOKUP  telda'!H15</f>
        <v>0</v>
      </c>
      <c r="F56" s="53">
        <f>'LOOKUP  telda'!I15</f>
        <v>0</v>
      </c>
      <c r="G56" s="53">
        <f>'LOOKUP  telda'!J15</f>
        <v>0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0</v>
      </c>
      <c r="O56" s="53">
        <f>'LOOKUP  telda'!AA15</f>
        <v>0</v>
      </c>
      <c r="P56" s="53">
        <f>'LOOKUP  telda'!AE15-'LOOKUP  telda'!AA15</f>
        <v>0</v>
      </c>
      <c r="Q56" s="53">
        <f t="shared" si="4"/>
        <v>0</v>
      </c>
      <c r="R56" s="53">
        <f>'LOOKUP  telda'!AF15</f>
        <v>0</v>
      </c>
    </row>
    <row r="57" spans="2:18">
      <c r="B57" s="175"/>
      <c r="C57" s="52" t="s">
        <v>89</v>
      </c>
      <c r="D57" s="53">
        <f>'LOOKUP  telda'!E16</f>
        <v>0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0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0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75"/>
      <c r="C58" s="52" t="s">
        <v>90</v>
      </c>
      <c r="D58" s="53">
        <f>'LOOKUP  telda'!E17</f>
        <v>0</v>
      </c>
      <c r="E58" s="53">
        <f>'LOOKUP  telda'!F17+'LOOKUP  telda'!G17+'LOOKUP  telda'!H17</f>
        <v>0</v>
      </c>
      <c r="F58" s="53">
        <f>'LOOKUP  telda'!I17</f>
        <v>0</v>
      </c>
      <c r="G58" s="53">
        <f>'LOOKUP  telda'!J17</f>
        <v>0</v>
      </c>
      <c r="H58" s="53">
        <f>'LOOKUP  telda'!K17</f>
        <v>0</v>
      </c>
      <c r="I58" s="53">
        <f>'LOOKUP  telda'!L17</f>
        <v>0</v>
      </c>
      <c r="J58" s="53">
        <f>'LOOKUP  telda'!P17</f>
        <v>0</v>
      </c>
      <c r="K58" s="53">
        <f>'LOOKUP  telda'!X17</f>
        <v>0</v>
      </c>
      <c r="L58" s="53">
        <f>'LOOKUP  telda'!Y17</f>
        <v>0</v>
      </c>
      <c r="M58" s="53">
        <f>SUM('DATA MTD'!I58:L58)</f>
        <v>0</v>
      </c>
      <c r="N58" s="53">
        <f>'LOOKUP  telda'!Z17</f>
        <v>0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0</v>
      </c>
    </row>
    <row r="59" spans="2:18">
      <c r="B59" s="175"/>
      <c r="C59" s="52" t="s">
        <v>91</v>
      </c>
      <c r="D59" s="53">
        <f>'LOOKUP  telda'!E18</f>
        <v>0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0</v>
      </c>
      <c r="H59" s="53">
        <f>'LOOKUP  telda'!K18</f>
        <v>0</v>
      </c>
      <c r="I59" s="53">
        <f>'LOOKUP  telda'!L18</f>
        <v>0</v>
      </c>
      <c r="J59" s="53">
        <f>'LOOKUP  telda'!P18</f>
        <v>0</v>
      </c>
      <c r="K59" s="53">
        <f>'LOOKUP  telda'!X18</f>
        <v>0</v>
      </c>
      <c r="L59" s="53">
        <f>'LOOKUP  telda'!Y18</f>
        <v>0</v>
      </c>
      <c r="M59" s="53">
        <f>SUM('DATA MTD'!I59:L59)</f>
        <v>0</v>
      </c>
      <c r="N59" s="53">
        <f>'LOOKUP  telda'!Z18</f>
        <v>0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0</v>
      </c>
    </row>
    <row r="60" spans="2:18">
      <c r="B60" s="175"/>
      <c r="C60" s="52" t="s">
        <v>92</v>
      </c>
      <c r="D60" s="53">
        <f>'LOOKUP  telda'!E19</f>
        <v>0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0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0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0</v>
      </c>
    </row>
    <row r="61" spans="2:18">
      <c r="B61" s="175"/>
      <c r="C61" s="52" t="s">
        <v>93</v>
      </c>
      <c r="D61" s="53">
        <f>'LOOKUP  telda'!E20</f>
        <v>0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0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0</v>
      </c>
    </row>
    <row r="62" spans="2:18">
      <c r="B62" s="175"/>
      <c r="C62" s="52" t="s">
        <v>94</v>
      </c>
      <c r="D62" s="53">
        <f>'LOOKUP  telda'!E21</f>
        <v>0</v>
      </c>
      <c r="E62" s="53">
        <f>'LOOKUP  telda'!F21+'LOOKUP  telda'!G21+'LOOKUP  telda'!H21</f>
        <v>0</v>
      </c>
      <c r="F62" s="53">
        <f>'LOOKUP  telda'!I21</f>
        <v>0</v>
      </c>
      <c r="G62" s="53">
        <f>'LOOKUP  telda'!J21</f>
        <v>0</v>
      </c>
      <c r="H62" s="53">
        <f>'LOOKUP  telda'!K21</f>
        <v>0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0</v>
      </c>
      <c r="O62" s="53">
        <f>'LOOKUP  telda'!AA21</f>
        <v>0</v>
      </c>
      <c r="P62" s="53">
        <f>'LOOKUP  telda'!AE21-'LOOKUP  telda'!AA21</f>
        <v>0</v>
      </c>
      <c r="Q62" s="53">
        <f t="shared" si="4"/>
        <v>0</v>
      </c>
      <c r="R62" s="53">
        <f>'LOOKUP  telda'!AF21</f>
        <v>0</v>
      </c>
    </row>
    <row r="63" spans="2:18">
      <c r="B63" s="175"/>
      <c r="C63" s="52" t="s">
        <v>95</v>
      </c>
      <c r="D63" s="53">
        <f>'LOOKUP  telda'!E22</f>
        <v>0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0</v>
      </c>
      <c r="O63" s="53">
        <f>'LOOKUP  telda'!AA22</f>
        <v>0</v>
      </c>
      <c r="P63" s="53">
        <f>'LOOKUP  telda'!AE22-'LOOKUP  telda'!AA22</f>
        <v>0</v>
      </c>
      <c r="Q63" s="53">
        <f t="shared" si="4"/>
        <v>0</v>
      </c>
      <c r="R63" s="53">
        <f>'LOOKUP  telda'!AF22</f>
        <v>0</v>
      </c>
    </row>
    <row r="64" spans="2:18">
      <c r="B64" s="175"/>
      <c r="C64" s="52" t="s">
        <v>96</v>
      </c>
      <c r="D64" s="53">
        <f>'LOOKUP  telda'!E23</f>
        <v>0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0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0</v>
      </c>
      <c r="O64" s="53">
        <f>'LOOKUP  telda'!AA23</f>
        <v>0</v>
      </c>
      <c r="P64" s="53">
        <f>'LOOKUP  telda'!AE23-'LOOKUP  telda'!AA23</f>
        <v>0</v>
      </c>
      <c r="Q64" s="53">
        <f t="shared" si="4"/>
        <v>0</v>
      </c>
      <c r="R64" s="53">
        <f>'LOOKUP  telda'!AF23</f>
        <v>0</v>
      </c>
    </row>
    <row r="65" spans="2:18">
      <c r="B65" s="175"/>
      <c r="C65" s="52" t="s">
        <v>97</v>
      </c>
      <c r="D65" s="53">
        <f>'LOOKUP  telda'!E24</f>
        <v>0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0</v>
      </c>
      <c r="O65" s="53">
        <f>'LOOKUP  telda'!AA24</f>
        <v>0</v>
      </c>
      <c r="P65" s="53">
        <f>'LOOKUP  telda'!AE24-'LOOKUP  telda'!AA24</f>
        <v>0</v>
      </c>
      <c r="Q65" s="53">
        <f t="shared" si="4"/>
        <v>0</v>
      </c>
      <c r="R65" s="53">
        <f>'LOOKUP  telda'!AF24</f>
        <v>0</v>
      </c>
    </row>
    <row r="66" spans="2:18">
      <c r="B66" s="176"/>
      <c r="C66" s="52" t="s">
        <v>98</v>
      </c>
      <c r="D66" s="53">
        <f>'LOOKUP  telda'!E25</f>
        <v>0</v>
      </c>
      <c r="E66" s="53">
        <f>'LOOKUP  telda'!F25+'LOOKUP  telda'!G25+'LOOKUP  telda'!H25</f>
        <v>0</v>
      </c>
      <c r="F66" s="53">
        <f>'LOOKUP  telda'!I25</f>
        <v>0</v>
      </c>
      <c r="G66" s="53">
        <f>'LOOKUP  telda'!J25</f>
        <v>0</v>
      </c>
      <c r="H66" s="53">
        <f>'LOOKUP  telda'!K25</f>
        <v>0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0</v>
      </c>
      <c r="O66" s="53">
        <f>'LOOKUP  telda'!AA25</f>
        <v>0</v>
      </c>
      <c r="P66" s="53">
        <f>'LOOKUP  telda'!AE25-'LOOKUP  telda'!AA25</f>
        <v>0</v>
      </c>
      <c r="Q66" s="53">
        <f t="shared" si="4"/>
        <v>0</v>
      </c>
      <c r="R66" s="53">
        <f>'LOOKUP  telda'!AF25</f>
        <v>0</v>
      </c>
    </row>
    <row r="67" spans="2:18">
      <c r="B67" s="174" t="s">
        <v>42</v>
      </c>
      <c r="C67" s="52" t="s">
        <v>99</v>
      </c>
      <c r="D67" s="53">
        <f>'LOOKUP  telda'!E26</f>
        <v>0</v>
      </c>
      <c r="E67" s="53">
        <f>'LOOKUP  telda'!F26+'LOOKUP  telda'!G26+'LOOKUP  telda'!H26</f>
        <v>0</v>
      </c>
      <c r="F67" s="53">
        <f>'LOOKUP  telda'!I26</f>
        <v>0</v>
      </c>
      <c r="G67" s="53">
        <f>'LOOKUP  telda'!J26</f>
        <v>0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0</v>
      </c>
      <c r="O67" s="53">
        <f>'LOOKUP  telda'!AA26</f>
        <v>0</v>
      </c>
      <c r="P67" s="53">
        <f>'LOOKUP  telda'!AE26-'LOOKUP  telda'!AA26</f>
        <v>0</v>
      </c>
      <c r="Q67" s="53">
        <f t="shared" si="4"/>
        <v>0</v>
      </c>
      <c r="R67" s="53">
        <f>'LOOKUP  telda'!AF26</f>
        <v>0</v>
      </c>
    </row>
    <row r="68" spans="2:18">
      <c r="B68" s="175"/>
      <c r="C68" s="52" t="s">
        <v>100</v>
      </c>
      <c r="D68" s="53">
        <f>'LOOKUP  telda'!E27</f>
        <v>0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0</v>
      </c>
      <c r="M68" s="53">
        <f>SUM('DATA MTD'!I68:L68)</f>
        <v>0</v>
      </c>
      <c r="N68" s="53">
        <f>'LOOKUP  telda'!Z27</f>
        <v>0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75"/>
      <c r="C69" s="52" t="s">
        <v>101</v>
      </c>
      <c r="D69" s="53">
        <f>'LOOKUP  telda'!E28</f>
        <v>0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0</v>
      </c>
      <c r="L69" s="53">
        <f>'LOOKUP  telda'!Y28</f>
        <v>0</v>
      </c>
      <c r="M69" s="53">
        <f>SUM('DATA MTD'!I69:L69)</f>
        <v>0</v>
      </c>
      <c r="N69" s="53">
        <f>'LOOKUP  telda'!Z28</f>
        <v>0</v>
      </c>
      <c r="O69" s="53">
        <f>'LOOKUP  telda'!AA28</f>
        <v>0</v>
      </c>
      <c r="P69" s="53">
        <f>'LOOKUP  telda'!AE28-'LOOKUP  telda'!AA28</f>
        <v>0</v>
      </c>
      <c r="Q69" s="53">
        <f t="shared" si="4"/>
        <v>0</v>
      </c>
      <c r="R69" s="53">
        <f>'LOOKUP  telda'!AF28</f>
        <v>0</v>
      </c>
    </row>
    <row r="70" spans="2:18">
      <c r="B70" s="175"/>
      <c r="C70" s="52" t="s">
        <v>102</v>
      </c>
      <c r="D70" s="53">
        <f>'LOOKUP  telda'!E29</f>
        <v>0</v>
      </c>
      <c r="E70" s="53">
        <f>'LOOKUP  telda'!F29+'LOOKUP  telda'!G29+'LOOKUP  telda'!H29</f>
        <v>0</v>
      </c>
      <c r="F70" s="53">
        <f>'LOOKUP  telda'!I29</f>
        <v>0</v>
      </c>
      <c r="G70" s="53">
        <f>'LOOKUP  telda'!J29</f>
        <v>0</v>
      </c>
      <c r="H70" s="53">
        <f>'LOOKUP  telda'!K29</f>
        <v>0</v>
      </c>
      <c r="I70" s="53">
        <f>'LOOKUP  telda'!L29</f>
        <v>0</v>
      </c>
      <c r="J70" s="53">
        <f>'LOOKUP  telda'!P29</f>
        <v>0</v>
      </c>
      <c r="K70" s="53">
        <f>'LOOKUP  telda'!X29</f>
        <v>0</v>
      </c>
      <c r="L70" s="53">
        <f>'LOOKUP  telda'!Y29</f>
        <v>0</v>
      </c>
      <c r="M70" s="53">
        <f>SUM('DATA MTD'!I70:L70)</f>
        <v>0</v>
      </c>
      <c r="N70" s="53">
        <f>'LOOKUP  telda'!Z29</f>
        <v>0</v>
      </c>
      <c r="O70" s="53">
        <f>'LOOKUP  telda'!AA29</f>
        <v>0</v>
      </c>
      <c r="P70" s="53">
        <f>'LOOKUP  telda'!AE29-'LOOKUP  telda'!AA29</f>
        <v>0</v>
      </c>
      <c r="Q70" s="53">
        <f t="shared" si="4"/>
        <v>0</v>
      </c>
      <c r="R70" s="53">
        <f>'LOOKUP  telda'!AF29</f>
        <v>0</v>
      </c>
    </row>
    <row r="71" spans="2:18">
      <c r="B71" s="175"/>
      <c r="C71" s="52" t="s">
        <v>103</v>
      </c>
      <c r="D71" s="53">
        <f>'LOOKUP  telda'!E30</f>
        <v>0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0</v>
      </c>
      <c r="O71" s="53">
        <f>'LOOKUP  telda'!AA30</f>
        <v>0</v>
      </c>
      <c r="P71" s="53">
        <f>'LOOKUP  telda'!AE30-'LOOKUP  telda'!AA30</f>
        <v>0</v>
      </c>
      <c r="Q71" s="53">
        <f t="shared" si="4"/>
        <v>0</v>
      </c>
      <c r="R71" s="53">
        <f>'LOOKUP  telda'!AF30</f>
        <v>0</v>
      </c>
    </row>
    <row r="72" spans="2:18">
      <c r="B72" s="175"/>
      <c r="C72" s="52" t="s">
        <v>104</v>
      </c>
      <c r="D72" s="53">
        <f>'LOOKUP  telda'!E31</f>
        <v>0</v>
      </c>
      <c r="E72" s="53">
        <f>'LOOKUP  telda'!F31+'LOOKUP  telda'!G31+'LOOKUP  telda'!H31</f>
        <v>0</v>
      </c>
      <c r="F72" s="53">
        <f>'LOOKUP  telda'!I31</f>
        <v>0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0</v>
      </c>
      <c r="O72" s="53">
        <f>'LOOKUP  telda'!AA31</f>
        <v>0</v>
      </c>
      <c r="P72" s="53">
        <f>'LOOKUP  telda'!AE31-'LOOKUP  telda'!AA31</f>
        <v>0</v>
      </c>
      <c r="Q72" s="53">
        <f t="shared" si="4"/>
        <v>0</v>
      </c>
      <c r="R72" s="53">
        <f>'LOOKUP  telda'!AF31</f>
        <v>0</v>
      </c>
    </row>
    <row r="73" spans="2:18">
      <c r="B73" s="175"/>
      <c r="C73" s="52" t="s">
        <v>105</v>
      </c>
      <c r="D73" s="53">
        <f>'LOOKUP  telda'!E32</f>
        <v>0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0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0</v>
      </c>
      <c r="L73" s="53">
        <f>'LOOKUP  telda'!Y32</f>
        <v>0</v>
      </c>
      <c r="M73" s="53">
        <f>SUM('DATA MTD'!I73:L73)</f>
        <v>0</v>
      </c>
      <c r="N73" s="53">
        <f>'LOOKUP  telda'!Z32</f>
        <v>0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0</v>
      </c>
    </row>
    <row r="74" spans="2:18">
      <c r="B74" s="175"/>
      <c r="C74" s="52" t="s">
        <v>106</v>
      </c>
      <c r="D74" s="53">
        <f>'LOOKUP  telda'!E33</f>
        <v>0</v>
      </c>
      <c r="E74" s="53">
        <f>'LOOKUP  telda'!F33+'LOOKUP  telda'!G33+'LOOKUP  telda'!H33</f>
        <v>0</v>
      </c>
      <c r="F74" s="53">
        <f>'LOOKUP  telda'!I33</f>
        <v>0</v>
      </c>
      <c r="G74" s="53">
        <f>'LOOKUP  telda'!J33</f>
        <v>0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0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0</v>
      </c>
    </row>
    <row r="75" spans="2:18">
      <c r="B75" s="175"/>
      <c r="C75" s="52" t="s">
        <v>107</v>
      </c>
      <c r="D75" s="53">
        <f>'LOOKUP  telda'!E34</f>
        <v>0</v>
      </c>
      <c r="E75" s="53">
        <f>'LOOKUP  telda'!F34+'LOOKUP  telda'!G34+'LOOKUP  telda'!H34</f>
        <v>0</v>
      </c>
      <c r="F75" s="53">
        <f>'LOOKUP  telda'!I34</f>
        <v>0</v>
      </c>
      <c r="G75" s="53">
        <f>'LOOKUP  telda'!J34</f>
        <v>0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0</v>
      </c>
      <c r="L75" s="53">
        <f>'LOOKUP  telda'!Y34</f>
        <v>0</v>
      </c>
      <c r="M75" s="53">
        <f>SUM('DATA MTD'!I75:L75)</f>
        <v>0</v>
      </c>
      <c r="N75" s="53">
        <f>'LOOKUP  telda'!Z34</f>
        <v>0</v>
      </c>
      <c r="O75" s="53">
        <f>'LOOKUP  telda'!AA34</f>
        <v>0</v>
      </c>
      <c r="P75" s="53">
        <f>'LOOKUP  telda'!AE34-'LOOKUP  telda'!AA34</f>
        <v>0</v>
      </c>
      <c r="Q75" s="53">
        <f t="shared" si="4"/>
        <v>0</v>
      </c>
      <c r="R75" s="53">
        <f>'LOOKUP  telda'!AF34</f>
        <v>0</v>
      </c>
    </row>
    <row r="76" spans="2:18">
      <c r="B76" s="176"/>
      <c r="C76" s="52" t="s">
        <v>108</v>
      </c>
      <c r="D76" s="53">
        <f>'LOOKUP  telda'!E35</f>
        <v>0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0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0</v>
      </c>
      <c r="L76" s="53">
        <f>'LOOKUP  telda'!Y35</f>
        <v>0</v>
      </c>
      <c r="M76" s="53">
        <f>SUM('DATA MTD'!I76:L76)</f>
        <v>0</v>
      </c>
      <c r="N76" s="53">
        <f>'LOOKUP  telda'!Z35</f>
        <v>0</v>
      </c>
      <c r="O76" s="53">
        <f>'LOOKUP  telda'!AA35</f>
        <v>0</v>
      </c>
      <c r="P76" s="53">
        <f>'LOOKUP  telda'!AE35-'LOOKUP  telda'!AA35</f>
        <v>0</v>
      </c>
      <c r="Q76" s="53">
        <f t="shared" si="4"/>
        <v>0</v>
      </c>
      <c r="R76" s="53">
        <f>'LOOKUP  telda'!AF35</f>
        <v>0</v>
      </c>
    </row>
    <row r="77" spans="2:18">
      <c r="B77" s="174" t="s">
        <v>70</v>
      </c>
      <c r="C77" s="52" t="s">
        <v>109</v>
      </c>
      <c r="D77" s="53">
        <f>'LOOKUP  telda'!E36</f>
        <v>0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0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75"/>
      <c r="C78" s="52" t="s">
        <v>110</v>
      </c>
      <c r="D78" s="53">
        <f>'LOOKUP  telda'!E37</f>
        <v>0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0</v>
      </c>
      <c r="K78" s="53">
        <f>'LOOKUP  telda'!X37</f>
        <v>0</v>
      </c>
      <c r="L78" s="53">
        <f>'LOOKUP  telda'!Y37</f>
        <v>0</v>
      </c>
      <c r="M78" s="53">
        <f>SUM('DATA MTD'!I78:L78)</f>
        <v>0</v>
      </c>
      <c r="N78" s="53">
        <f>'LOOKUP  telda'!Z37</f>
        <v>0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75"/>
      <c r="C79" s="52" t="s">
        <v>111</v>
      </c>
      <c r="D79" s="53">
        <f>'LOOKUP  telda'!E38</f>
        <v>0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0</v>
      </c>
      <c r="J79" s="53">
        <f>'LOOKUP  telda'!P38</f>
        <v>0</v>
      </c>
      <c r="K79" s="53">
        <f>'LOOKUP  telda'!X38</f>
        <v>0</v>
      </c>
      <c r="L79" s="53">
        <f>'LOOKUP  telda'!Y38</f>
        <v>0</v>
      </c>
      <c r="M79" s="53">
        <f>SUM('DATA MTD'!I79:L79)</f>
        <v>0</v>
      </c>
      <c r="N79" s="53">
        <f>'LOOKUP  telda'!Z38</f>
        <v>0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0</v>
      </c>
    </row>
    <row r="80" spans="2:18" ht="29">
      <c r="B80" s="175"/>
      <c r="C80" s="52" t="s">
        <v>112</v>
      </c>
      <c r="D80" s="53">
        <f>'LOOKUP  telda'!E39</f>
        <v>0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0</v>
      </c>
      <c r="K80" s="53">
        <f>'LOOKUP  telda'!X39</f>
        <v>0</v>
      </c>
      <c r="L80" s="53">
        <f>'LOOKUP  telda'!Y39</f>
        <v>0</v>
      </c>
      <c r="M80" s="53">
        <f>SUM('DATA MTD'!I80:L80)</f>
        <v>0</v>
      </c>
      <c r="N80" s="53">
        <f>'LOOKUP  telda'!Z39</f>
        <v>0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75"/>
      <c r="C81" s="52" t="s">
        <v>113</v>
      </c>
      <c r="D81" s="53">
        <f>'LOOKUP  telda'!E40</f>
        <v>0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0</v>
      </c>
      <c r="H81" s="53">
        <f>'LOOKUP  telda'!K40</f>
        <v>0</v>
      </c>
      <c r="I81" s="53">
        <f>'LOOKUP  telda'!L40</f>
        <v>0</v>
      </c>
      <c r="J81" s="53">
        <f>'LOOKUP  telda'!P40</f>
        <v>0</v>
      </c>
      <c r="K81" s="53">
        <f>'LOOKUP  telda'!X40</f>
        <v>0</v>
      </c>
      <c r="L81" s="53">
        <f>'LOOKUP  telda'!Y40</f>
        <v>0</v>
      </c>
      <c r="M81" s="53">
        <f>SUM('DATA MTD'!I81:L81)</f>
        <v>0</v>
      </c>
      <c r="N81" s="53">
        <f>'LOOKUP  telda'!Z40</f>
        <v>0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0</v>
      </c>
    </row>
    <row r="82" spans="2:18">
      <c r="B82" s="175"/>
      <c r="C82" s="52" t="s">
        <v>114</v>
      </c>
      <c r="D82" s="53">
        <f>'LOOKUP  telda'!E41</f>
        <v>0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0</v>
      </c>
      <c r="H82" s="53">
        <f>'LOOKUP  telda'!K41</f>
        <v>0</v>
      </c>
      <c r="I82" s="53">
        <f>'LOOKUP  telda'!L41</f>
        <v>0</v>
      </c>
      <c r="J82" s="53">
        <f>'LOOKUP  telda'!P41</f>
        <v>0</v>
      </c>
      <c r="K82" s="53">
        <f>'LOOKUP  telda'!X41</f>
        <v>0</v>
      </c>
      <c r="L82" s="53">
        <f>'LOOKUP  telda'!Y41</f>
        <v>0</v>
      </c>
      <c r="M82" s="53">
        <f>SUM('DATA MTD'!I82:L82)</f>
        <v>0</v>
      </c>
      <c r="N82" s="53">
        <f>'LOOKUP  telda'!Z41</f>
        <v>0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75"/>
      <c r="C83" s="52" t="s">
        <v>115</v>
      </c>
      <c r="D83" s="53">
        <f>'LOOKUP  telda'!E42</f>
        <v>0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0</v>
      </c>
      <c r="I83" s="53">
        <f>'LOOKUP  telda'!L42</f>
        <v>0</v>
      </c>
      <c r="J83" s="53">
        <f>'LOOKUP  telda'!P42</f>
        <v>0</v>
      </c>
      <c r="K83" s="53">
        <f>'LOOKUP  telda'!X42</f>
        <v>0</v>
      </c>
      <c r="L83" s="53">
        <f>'LOOKUP  telda'!Y42</f>
        <v>0</v>
      </c>
      <c r="M83" s="53">
        <f>SUM('DATA MTD'!I83:L83)</f>
        <v>0</v>
      </c>
      <c r="N83" s="53">
        <f>'LOOKUP  telda'!Z42</f>
        <v>0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75"/>
      <c r="C84" s="52" t="s">
        <v>116</v>
      </c>
      <c r="D84" s="53">
        <f>'LOOKUP  telda'!E43</f>
        <v>0</v>
      </c>
      <c r="E84" s="53">
        <f>'LOOKUP  telda'!F43+'LOOKUP  telda'!G43+'LOOKUP  telda'!H43</f>
        <v>0</v>
      </c>
      <c r="F84" s="53">
        <f>'LOOKUP  telda'!I43</f>
        <v>0</v>
      </c>
      <c r="G84" s="53">
        <f>'LOOKUP  telda'!J43</f>
        <v>0</v>
      </c>
      <c r="H84" s="53">
        <f>'LOOKUP  telda'!K43</f>
        <v>0</v>
      </c>
      <c r="I84" s="53">
        <f>'LOOKUP  telda'!L43</f>
        <v>0</v>
      </c>
      <c r="J84" s="53">
        <f>'LOOKUP  telda'!P43</f>
        <v>0</v>
      </c>
      <c r="K84" s="53">
        <f>'LOOKUP  telda'!X43</f>
        <v>0</v>
      </c>
      <c r="L84" s="53">
        <f>'LOOKUP  telda'!Y43</f>
        <v>0</v>
      </c>
      <c r="M84" s="53">
        <f>SUM('DATA MTD'!I84:L84)</f>
        <v>0</v>
      </c>
      <c r="N84" s="53">
        <f>'LOOKUP  telda'!Z43</f>
        <v>0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0</v>
      </c>
    </row>
    <row r="85" spans="2:18">
      <c r="B85" s="175"/>
      <c r="C85" s="52" t="s">
        <v>117</v>
      </c>
      <c r="D85" s="53">
        <f>'LOOKUP  telda'!E44</f>
        <v>0</v>
      </c>
      <c r="E85" s="53">
        <f>'LOOKUP  telda'!F44+'LOOKUP  telda'!G44+'LOOKUP  telda'!H44</f>
        <v>0</v>
      </c>
      <c r="F85" s="53">
        <f>'LOOKUP  telda'!I44</f>
        <v>0</v>
      </c>
      <c r="G85" s="53">
        <f>'LOOKUP  telda'!J44</f>
        <v>0</v>
      </c>
      <c r="H85" s="53">
        <f>'LOOKUP  telda'!K44</f>
        <v>0</v>
      </c>
      <c r="I85" s="53">
        <f>'LOOKUP  telda'!L44</f>
        <v>0</v>
      </c>
      <c r="J85" s="53">
        <f>'LOOKUP  telda'!P44</f>
        <v>0</v>
      </c>
      <c r="K85" s="53">
        <f>'LOOKUP  telda'!X44</f>
        <v>0</v>
      </c>
      <c r="L85" s="53">
        <f>'LOOKUP  telda'!Y44</f>
        <v>0</v>
      </c>
      <c r="M85" s="53">
        <f>SUM('DATA MTD'!I85:L85)</f>
        <v>0</v>
      </c>
      <c r="N85" s="53">
        <f>'LOOKUP  telda'!Z44</f>
        <v>0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0</v>
      </c>
    </row>
    <row r="86" spans="2:18">
      <c r="B86" s="175"/>
      <c r="C86" s="52" t="s">
        <v>118</v>
      </c>
      <c r="D86" s="53">
        <f>'LOOKUP  telda'!E45</f>
        <v>0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0</v>
      </c>
      <c r="H86" s="53">
        <f>'LOOKUP  telda'!K45</f>
        <v>0</v>
      </c>
      <c r="I86" s="53">
        <f>'LOOKUP  telda'!L45</f>
        <v>0</v>
      </c>
      <c r="J86" s="53">
        <f>'LOOKUP  telda'!P45</f>
        <v>0</v>
      </c>
      <c r="K86" s="53">
        <f>'LOOKUP  telda'!X45</f>
        <v>0</v>
      </c>
      <c r="L86" s="53">
        <f>'LOOKUP  telda'!Y45</f>
        <v>0</v>
      </c>
      <c r="M86" s="53">
        <f>SUM('DATA MTD'!I86:L86)</f>
        <v>0</v>
      </c>
      <c r="N86" s="53">
        <f>'LOOKUP  telda'!Z45</f>
        <v>0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75"/>
      <c r="C87" s="52" t="s">
        <v>119</v>
      </c>
      <c r="D87" s="53">
        <f>'LOOKUP  telda'!E46</f>
        <v>0</v>
      </c>
      <c r="E87" s="53">
        <f>'LOOKUP  telda'!F46+'LOOKUP  telda'!G46+'LOOKUP  telda'!H46</f>
        <v>0</v>
      </c>
      <c r="F87" s="53">
        <f>'LOOKUP  telda'!I46</f>
        <v>0</v>
      </c>
      <c r="G87" s="53">
        <f>'LOOKUP  telda'!J46</f>
        <v>0</v>
      </c>
      <c r="H87" s="53">
        <f>'LOOKUP  telda'!K46</f>
        <v>0</v>
      </c>
      <c r="I87" s="53">
        <f>'LOOKUP  telda'!L46</f>
        <v>0</v>
      </c>
      <c r="J87" s="53">
        <f>'LOOKUP  telda'!P46</f>
        <v>0</v>
      </c>
      <c r="K87" s="53">
        <f>'LOOKUP  telda'!X46</f>
        <v>0</v>
      </c>
      <c r="L87" s="53">
        <f>'LOOKUP  telda'!Y46</f>
        <v>0</v>
      </c>
      <c r="M87" s="53">
        <f>SUM('DATA MTD'!I87:L87)</f>
        <v>0</v>
      </c>
      <c r="N87" s="53">
        <f>'LOOKUP  telda'!Z46</f>
        <v>0</v>
      </c>
      <c r="O87" s="53">
        <f>'LOOKUP  telda'!AA46</f>
        <v>0</v>
      </c>
      <c r="P87" s="53">
        <f>'LOOKUP  telda'!AE46-'LOOKUP  telda'!AA46</f>
        <v>0</v>
      </c>
      <c r="Q87" s="53">
        <f t="shared" si="4"/>
        <v>0</v>
      </c>
      <c r="R87" s="53">
        <f>'LOOKUP  telda'!AF46</f>
        <v>0</v>
      </c>
    </row>
    <row r="88" spans="2:18">
      <c r="B88" s="176"/>
      <c r="C88" s="52" t="s">
        <v>120</v>
      </c>
      <c r="D88" s="53">
        <f>'LOOKUP  telda'!E47</f>
        <v>0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0</v>
      </c>
      <c r="O88" s="53">
        <f>'LOOKUP  telda'!AA47</f>
        <v>0</v>
      </c>
      <c r="P88" s="53">
        <f>'LOOKUP  telda'!AE47-'LOOKUP  telda'!AA47</f>
        <v>0</v>
      </c>
      <c r="Q88" s="53">
        <f t="shared" si="4"/>
        <v>0</v>
      </c>
      <c r="R88" s="53">
        <f>'LOOKUP  telda'!AF47</f>
        <v>0</v>
      </c>
    </row>
    <row r="89" spans="2:18">
      <c r="B89" s="174" t="s">
        <v>55</v>
      </c>
      <c r="C89" s="52" t="s">
        <v>121</v>
      </c>
      <c r="D89" s="53">
        <f>'LOOKUP  telda'!E48</f>
        <v>0</v>
      </c>
      <c r="E89" s="53">
        <f>'LOOKUP  telda'!F48+'LOOKUP  telda'!G48+'LOOKUP  telda'!H48</f>
        <v>0</v>
      </c>
      <c r="F89" s="53">
        <f>'LOOKUP  telda'!I48</f>
        <v>0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0</v>
      </c>
      <c r="M89" s="53">
        <f>SUM('DATA MTD'!I89:L89)</f>
        <v>0</v>
      </c>
      <c r="N89" s="53">
        <f>'LOOKUP  telda'!Z48</f>
        <v>0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75"/>
      <c r="C90" s="52" t="s">
        <v>122</v>
      </c>
      <c r="D90" s="53">
        <f>'LOOKUP  telda'!E49</f>
        <v>0</v>
      </c>
      <c r="E90" s="53">
        <f>'LOOKUP  telda'!F49+'LOOKUP  telda'!G49+'LOOKUP  telda'!H49</f>
        <v>0</v>
      </c>
      <c r="F90" s="53">
        <f>'LOOKUP  telda'!I49</f>
        <v>0</v>
      </c>
      <c r="G90" s="53">
        <f>'LOOKUP  telda'!J49</f>
        <v>0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0</v>
      </c>
      <c r="L90" s="53">
        <f>'LOOKUP  telda'!Y49</f>
        <v>0</v>
      </c>
      <c r="M90" s="53">
        <f>SUM('DATA MTD'!I90:L90)</f>
        <v>0</v>
      </c>
      <c r="N90" s="53">
        <f>'LOOKUP  telda'!Z49</f>
        <v>0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0</v>
      </c>
    </row>
    <row r="91" spans="2:18">
      <c r="B91" s="175"/>
      <c r="C91" s="52" t="s">
        <v>123</v>
      </c>
      <c r="D91" s="53">
        <f>'LOOKUP  telda'!E50</f>
        <v>0</v>
      </c>
      <c r="E91" s="53">
        <f>'LOOKUP  telda'!F50+'LOOKUP  telda'!G50+'LOOKUP  telda'!H50</f>
        <v>0</v>
      </c>
      <c r="F91" s="53">
        <f>'LOOKUP  telda'!I50</f>
        <v>0</v>
      </c>
      <c r="G91" s="53">
        <f>'LOOKUP  telda'!J50</f>
        <v>0</v>
      </c>
      <c r="H91" s="53">
        <f>'LOOKUP  telda'!K50</f>
        <v>0</v>
      </c>
      <c r="I91" s="53">
        <f>'LOOKUP  telda'!L50</f>
        <v>0</v>
      </c>
      <c r="J91" s="53">
        <f>'LOOKUP  telda'!P50</f>
        <v>0</v>
      </c>
      <c r="K91" s="53">
        <f>'LOOKUP  telda'!X50</f>
        <v>0</v>
      </c>
      <c r="L91" s="53">
        <f>'LOOKUP  telda'!Y50</f>
        <v>0</v>
      </c>
      <c r="M91" s="53">
        <f>SUM('DATA MTD'!I91:L91)</f>
        <v>0</v>
      </c>
      <c r="N91" s="53">
        <f>'LOOKUP  telda'!Z50</f>
        <v>0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0</v>
      </c>
    </row>
    <row r="92" spans="2:18">
      <c r="B92" s="175"/>
      <c r="C92" s="52" t="s">
        <v>124</v>
      </c>
      <c r="D92" s="53">
        <f>'LOOKUP  telda'!E51</f>
        <v>0</v>
      </c>
      <c r="E92" s="53">
        <f>'LOOKUP  telda'!F51+'LOOKUP  telda'!G51+'LOOKUP  telda'!H51</f>
        <v>0</v>
      </c>
      <c r="F92" s="53">
        <f>'LOOKUP  telda'!I51</f>
        <v>0</v>
      </c>
      <c r="G92" s="53">
        <f>'LOOKUP  telda'!J51</f>
        <v>0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0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0</v>
      </c>
    </row>
    <row r="93" spans="2:18">
      <c r="B93" s="175"/>
      <c r="C93" s="52" t="s">
        <v>125</v>
      </c>
      <c r="D93" s="53">
        <f>'LOOKUP  telda'!E52</f>
        <v>0</v>
      </c>
      <c r="E93" s="53">
        <f>'LOOKUP  telda'!F52+'LOOKUP  telda'!G52+'LOOKUP  telda'!H52</f>
        <v>0</v>
      </c>
      <c r="F93" s="53">
        <f>'LOOKUP  telda'!I52</f>
        <v>0</v>
      </c>
      <c r="G93" s="53">
        <f>'LOOKUP  telda'!J52</f>
        <v>0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0</v>
      </c>
      <c r="L93" s="53">
        <f>'LOOKUP  telda'!Y52</f>
        <v>0</v>
      </c>
      <c r="M93" s="53">
        <f>SUM('DATA MTD'!I93:L93)</f>
        <v>0</v>
      </c>
      <c r="N93" s="53">
        <f>'LOOKUP  telda'!Z52</f>
        <v>0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0</v>
      </c>
    </row>
    <row r="94" spans="2:18">
      <c r="B94" s="175"/>
      <c r="C94" s="52" t="s">
        <v>126</v>
      </c>
      <c r="D94" s="53">
        <f>'LOOKUP  telda'!E53</f>
        <v>0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0</v>
      </c>
      <c r="H94" s="53">
        <f>'LOOKUP  telda'!K53</f>
        <v>0</v>
      </c>
      <c r="I94" s="53">
        <f>'LOOKUP  telda'!L53</f>
        <v>0</v>
      </c>
      <c r="J94" s="53">
        <f>'LOOKUP  telda'!P53</f>
        <v>0</v>
      </c>
      <c r="K94" s="53">
        <f>'LOOKUP  telda'!X53</f>
        <v>0</v>
      </c>
      <c r="L94" s="53">
        <f>'LOOKUP  telda'!Y53</f>
        <v>0</v>
      </c>
      <c r="M94" s="53">
        <f>SUM('DATA MTD'!I94:L94)</f>
        <v>0</v>
      </c>
      <c r="N94" s="53">
        <f>'LOOKUP  telda'!Z53</f>
        <v>0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0</v>
      </c>
    </row>
    <row r="95" spans="2:18">
      <c r="B95" s="175"/>
      <c r="C95" s="52" t="s">
        <v>127</v>
      </c>
      <c r="D95" s="53">
        <f>'LOOKUP  telda'!E54</f>
        <v>0</v>
      </c>
      <c r="E95" s="53">
        <f>'LOOKUP  telda'!F54+'LOOKUP  telda'!G54+'LOOKUP  telda'!H54</f>
        <v>0</v>
      </c>
      <c r="F95" s="53">
        <f>'LOOKUP  telda'!I54</f>
        <v>0</v>
      </c>
      <c r="G95" s="53">
        <f>'LOOKUP  telda'!J54</f>
        <v>0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0</v>
      </c>
      <c r="O95" s="53">
        <f>'LOOKUP  telda'!AA54</f>
        <v>0</v>
      </c>
      <c r="P95" s="53">
        <f>'LOOKUP  telda'!AE54-'LOOKUP  telda'!AA54</f>
        <v>0</v>
      </c>
      <c r="Q95" s="53">
        <f t="shared" si="4"/>
        <v>0</v>
      </c>
      <c r="R95" s="53">
        <f>'LOOKUP  telda'!AF54</f>
        <v>0</v>
      </c>
    </row>
    <row r="96" spans="2:18">
      <c r="B96" s="176"/>
      <c r="C96" s="52" t="s">
        <v>128</v>
      </c>
      <c r="D96" s="53">
        <f>'LOOKUP  telda'!E55</f>
        <v>0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0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0</v>
      </c>
      <c r="L96" s="53">
        <f>'LOOKUP  telda'!Y55</f>
        <v>0</v>
      </c>
      <c r="M96" s="53">
        <f>SUM('DATA MTD'!I96:L96)</f>
        <v>0</v>
      </c>
      <c r="N96" s="53">
        <f>'LOOKUP  telda'!Z55</f>
        <v>0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0</v>
      </c>
    </row>
    <row r="97" spans="2:18" ht="15.5">
      <c r="B97" s="172" t="s">
        <v>62</v>
      </c>
      <c r="C97" s="173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S10" sqref="S10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39" t="str">
        <f ca="1">"PROVISIONING NEW SALES INDIBIZ TR3 JBN MTD  "&amp;TEXT(TODAY()-1,"YYYY-MM-DD ")</f>
        <v xml:space="preserve">PROVISIONING NEW SALES INDIBIZ TR3 JBN MTD  2026-10-04 </v>
      </c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39" t="str">
        <f ca="1">"PERIODE ORDER &amp; PS : 2026-01-01 to  "&amp;TEXT(TODAY()-1,"YYYY-MM-DD ")</f>
        <v xml:space="preserve">PERIODE ORDER &amp; PS : 2026-01-01 to  2026-10-04 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6" t="s">
        <v>586</v>
      </c>
      <c r="D4" s="186"/>
      <c r="E4" s="186"/>
      <c r="F4" s="186"/>
      <c r="G4" s="186"/>
      <c r="H4" s="186"/>
      <c r="I4" s="186"/>
      <c r="J4" s="186"/>
      <c r="K4" s="186"/>
      <c r="L4" s="186"/>
      <c r="M4" s="186"/>
      <c r="N4" s="186"/>
      <c r="O4" s="186"/>
      <c r="P4" s="186"/>
      <c r="Q4" s="186"/>
      <c r="R4" s="186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7" t="s">
        <v>1</v>
      </c>
      <c r="D6" s="141" t="s">
        <v>129</v>
      </c>
      <c r="E6" s="141" t="s">
        <v>67</v>
      </c>
      <c r="F6" s="144" t="s">
        <v>12</v>
      </c>
      <c r="G6" s="145"/>
      <c r="H6" s="146"/>
      <c r="I6" s="153" t="s">
        <v>14</v>
      </c>
      <c r="J6" s="156" t="s">
        <v>8</v>
      </c>
      <c r="K6" s="156" t="s">
        <v>9</v>
      </c>
      <c r="L6" s="121" t="s">
        <v>10</v>
      </c>
      <c r="M6" s="122"/>
      <c r="N6" s="122"/>
      <c r="O6" s="123"/>
      <c r="P6" s="130" t="s">
        <v>11</v>
      </c>
      <c r="Q6" s="112" t="s">
        <v>130</v>
      </c>
      <c r="R6" s="112" t="s">
        <v>131</v>
      </c>
      <c r="S6" s="112" t="s">
        <v>132</v>
      </c>
    </row>
    <row r="7" spans="3:31" ht="15.65" customHeight="1">
      <c r="C7" s="188"/>
      <c r="D7" s="142"/>
      <c r="E7" s="142"/>
      <c r="F7" s="147"/>
      <c r="G7" s="148"/>
      <c r="H7" s="149"/>
      <c r="I7" s="154"/>
      <c r="J7" s="157"/>
      <c r="K7" s="157"/>
      <c r="L7" s="124"/>
      <c r="M7" s="125"/>
      <c r="N7" s="125"/>
      <c r="O7" s="126"/>
      <c r="P7" s="131"/>
      <c r="Q7" s="113"/>
      <c r="R7" s="113"/>
      <c r="S7" s="113"/>
    </row>
    <row r="8" spans="3:31" ht="14.5" customHeight="1">
      <c r="C8" s="188"/>
      <c r="D8" s="142"/>
      <c r="E8" s="142"/>
      <c r="F8" s="150"/>
      <c r="G8" s="151"/>
      <c r="H8" s="152"/>
      <c r="I8" s="154"/>
      <c r="J8" s="157"/>
      <c r="K8" s="157"/>
      <c r="L8" s="127"/>
      <c r="M8" s="128"/>
      <c r="N8" s="128"/>
      <c r="O8" s="129"/>
      <c r="P8" s="131"/>
      <c r="Q8" s="113"/>
      <c r="R8" s="113"/>
      <c r="S8" s="113"/>
    </row>
    <row r="9" spans="3:31" ht="49.5" customHeight="1">
      <c r="C9" s="189"/>
      <c r="D9" s="143"/>
      <c r="E9" s="143"/>
      <c r="F9" s="22" t="s">
        <v>133</v>
      </c>
      <c r="G9" s="22" t="s">
        <v>30</v>
      </c>
      <c r="H9" s="22" t="s">
        <v>69</v>
      </c>
      <c r="I9" s="155"/>
      <c r="J9" s="158"/>
      <c r="K9" s="158"/>
      <c r="L9" s="37" t="s">
        <v>2</v>
      </c>
      <c r="M9" s="37" t="s">
        <v>18</v>
      </c>
      <c r="N9" s="37" t="s">
        <v>20</v>
      </c>
      <c r="O9" s="37" t="s">
        <v>22</v>
      </c>
      <c r="P9" s="132"/>
      <c r="Q9" s="114"/>
      <c r="R9" s="114"/>
      <c r="S9" s="114"/>
      <c r="X9">
        <f>205/216</f>
        <v>0.94907407407407407</v>
      </c>
    </row>
    <row r="10" spans="3:31" ht="15.5">
      <c r="C10" s="23" t="s">
        <v>34</v>
      </c>
      <c r="D10" s="24">
        <f>'COPY DATA XPRO'!E63</f>
        <v>30</v>
      </c>
      <c r="E10" s="24">
        <f>'COPY DATA XPRO'!F63+'COPY DATA XPRO'!G63+'COPY DATA XPRO'!H63</f>
        <v>2</v>
      </c>
      <c r="F10" s="24">
        <f>'COPY DATA XPRO'!I63</f>
        <v>0</v>
      </c>
      <c r="G10" s="24">
        <f>'COPY DATA XPRO'!AA63</f>
        <v>0</v>
      </c>
      <c r="H10" s="24">
        <f>'COPY DATA XPRO'!AE63-HARIAN!G10</f>
        <v>0</v>
      </c>
      <c r="I10" s="24">
        <f>'COPY DATA XPRO'!AF63</f>
        <v>0</v>
      </c>
      <c r="J10" s="24">
        <f>'COPY DATA XPRO'!J63</f>
        <v>1</v>
      </c>
      <c r="K10" s="24">
        <f>'COPY DATA XPRO'!K63</f>
        <v>0</v>
      </c>
      <c r="L10" s="24">
        <f>'COPY DATA XPRO'!L63</f>
        <v>10</v>
      </c>
      <c r="M10" s="24">
        <f>'COPY DATA XPRO'!P63</f>
        <v>3</v>
      </c>
      <c r="N10" s="24">
        <f>'COPY DATA XPRO'!X63</f>
        <v>6</v>
      </c>
      <c r="O10" s="24">
        <f>'COPY DATA XPRO'!Y63</f>
        <v>0</v>
      </c>
      <c r="P10" s="24">
        <f>'COPY DATA XPRO'!Z63</f>
        <v>7</v>
      </c>
      <c r="Q10" s="40">
        <f t="shared" ref="Q10:R15" si="0">T10</f>
        <v>0.23333333333333334</v>
      </c>
      <c r="R10" s="40">
        <f>U10</f>
        <v>0.4375</v>
      </c>
      <c r="S10" s="40">
        <f>VLOOKUP(C10,Sheet3!$A$19:$G$81,7,FALSE)</f>
        <v>0.7142857142857143</v>
      </c>
      <c r="T10" s="8">
        <f t="shared" ref="T10:T15" si="1">P10/(D10-F10-K10-I10)</f>
        <v>0.23333333333333334</v>
      </c>
      <c r="U10" s="8">
        <f>P10/(M10+N10+O10+P10)</f>
        <v>0.4375</v>
      </c>
    </row>
    <row r="11" spans="3:31" ht="15.5">
      <c r="C11" s="23" t="s">
        <v>38</v>
      </c>
      <c r="D11" s="24">
        <f>'COPY DATA XPRO'!E64</f>
        <v>66</v>
      </c>
      <c r="E11" s="24">
        <f>'COPY DATA XPRO'!F64+'COPY DATA XPRO'!G64+'COPY DATA XPRO'!H64</f>
        <v>5</v>
      </c>
      <c r="F11" s="24">
        <f>'COPY DATA XPRO'!I64</f>
        <v>1</v>
      </c>
      <c r="G11" s="24">
        <f>'COPY DATA XPRO'!AA64</f>
        <v>0</v>
      </c>
      <c r="H11" s="24">
        <f>'COPY DATA XPRO'!AE64-HARIAN!G11</f>
        <v>1</v>
      </c>
      <c r="I11" s="24">
        <f>'COPY DATA XPRO'!AF64</f>
        <v>2</v>
      </c>
      <c r="J11" s="24">
        <f>'COPY DATA XPRO'!J64</f>
        <v>9</v>
      </c>
      <c r="K11" s="24">
        <f>'COPY DATA XPRO'!K64</f>
        <v>0</v>
      </c>
      <c r="L11" s="24">
        <f>'COPY DATA XPRO'!L64</f>
        <v>3</v>
      </c>
      <c r="M11" s="24">
        <f>'COPY DATA XPRO'!P64</f>
        <v>3</v>
      </c>
      <c r="N11" s="24">
        <f>'COPY DATA XPRO'!X64</f>
        <v>0</v>
      </c>
      <c r="O11" s="24">
        <f>'COPY DATA XPRO'!Y64</f>
        <v>0</v>
      </c>
      <c r="P11" s="24">
        <f>'COPY DATA XPRO'!Z64</f>
        <v>41</v>
      </c>
      <c r="Q11" s="40">
        <f t="shared" si="0"/>
        <v>0.65079365079365081</v>
      </c>
      <c r="R11" s="40">
        <f t="shared" si="0"/>
        <v>0.93181818181818177</v>
      </c>
      <c r="S11" s="40">
        <f>VLOOKUP(C11,Sheet3!$A$19:$G$81,7,FALSE)</f>
        <v>1</v>
      </c>
      <c r="T11" s="8">
        <f t="shared" si="1"/>
        <v>0.65079365079365081</v>
      </c>
      <c r="U11" s="8">
        <f t="shared" ref="U11:U15" si="2">P11/(M11+N11+O11+P11)</f>
        <v>0.93181818181818177</v>
      </c>
    </row>
    <row r="12" spans="3:31" ht="15.5">
      <c r="C12" s="23" t="s">
        <v>42</v>
      </c>
      <c r="D12" s="24">
        <f>'COPY DATA XPRO'!E65</f>
        <v>33</v>
      </c>
      <c r="E12" s="24">
        <f>'COPY DATA XPRO'!F65+'COPY DATA XPRO'!G65+'COPY DATA XPRO'!H65</f>
        <v>2</v>
      </c>
      <c r="F12" s="24">
        <f>'COPY DATA XPRO'!I65</f>
        <v>0</v>
      </c>
      <c r="G12" s="24">
        <f>'COPY DATA XPRO'!AA65</f>
        <v>0</v>
      </c>
      <c r="H12" s="24">
        <f>'COPY DATA XPRO'!AE65-HARIAN!G12</f>
        <v>0</v>
      </c>
      <c r="I12" s="24">
        <f>'COPY DATA XPRO'!AF65</f>
        <v>1</v>
      </c>
      <c r="J12" s="24">
        <f>'COPY DATA XPRO'!J65</f>
        <v>2</v>
      </c>
      <c r="K12" s="24">
        <f>'COPY DATA XPRO'!K65</f>
        <v>0</v>
      </c>
      <c r="L12" s="24">
        <f>'COPY DATA XPRO'!L65</f>
        <v>1</v>
      </c>
      <c r="M12" s="24">
        <f>'COPY DATA XPRO'!P65</f>
        <v>1</v>
      </c>
      <c r="N12" s="24">
        <f>'COPY DATA XPRO'!X65</f>
        <v>1</v>
      </c>
      <c r="O12" s="24">
        <f>'COPY DATA XPRO'!Y65</f>
        <v>0</v>
      </c>
      <c r="P12" s="24">
        <f>'COPY DATA XPRO'!Z65</f>
        <v>25</v>
      </c>
      <c r="Q12" s="40">
        <f t="shared" si="0"/>
        <v>0.78125</v>
      </c>
      <c r="R12" s="40">
        <f t="shared" si="0"/>
        <v>0.92592592592592593</v>
      </c>
      <c r="S12" s="40">
        <f>VLOOKUP(C12,Sheet3!$A$19:$G$81,7,FALSE)</f>
        <v>1</v>
      </c>
      <c r="T12" s="8">
        <f t="shared" si="1"/>
        <v>0.78125</v>
      </c>
      <c r="U12" s="8">
        <f t="shared" si="2"/>
        <v>0.92592592592592593</v>
      </c>
    </row>
    <row r="13" spans="3:31" ht="15.5">
      <c r="C13" s="23" t="s">
        <v>45</v>
      </c>
      <c r="D13" s="24">
        <f>'COPY DATA XPRO'!E66</f>
        <v>82</v>
      </c>
      <c r="E13" s="24">
        <f>'COPY DATA XPRO'!F66+'COPY DATA XPRO'!G66+'COPY DATA XPRO'!H66</f>
        <v>1</v>
      </c>
      <c r="F13" s="24">
        <f>'COPY DATA XPRO'!I66</f>
        <v>0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3</v>
      </c>
      <c r="J13" s="24">
        <f>'COPY DATA XPRO'!J66</f>
        <v>8</v>
      </c>
      <c r="K13" s="24">
        <f>'COPY DATA XPRO'!K66</f>
        <v>1</v>
      </c>
      <c r="L13" s="24">
        <f>'COPY DATA XPRO'!L66</f>
        <v>9</v>
      </c>
      <c r="M13" s="24">
        <f>'COPY DATA XPRO'!P66</f>
        <v>19</v>
      </c>
      <c r="N13" s="24">
        <f>'COPY DATA XPRO'!X66</f>
        <v>4</v>
      </c>
      <c r="O13" s="24">
        <f>'COPY DATA XPRO'!Y66</f>
        <v>3</v>
      </c>
      <c r="P13" s="24">
        <f>'COPY DATA XPRO'!Z66</f>
        <v>31</v>
      </c>
      <c r="Q13" s="40">
        <f t="shared" si="0"/>
        <v>0.39743589743589741</v>
      </c>
      <c r="R13" s="40">
        <f t="shared" si="0"/>
        <v>0.54385964912280704</v>
      </c>
      <c r="S13" s="40">
        <f>VLOOKUP(C13,Sheet3!$A$19:$G$81,7,FALSE)</f>
        <v>0.73529411764705888</v>
      </c>
      <c r="T13" s="8">
        <f t="shared" si="1"/>
        <v>0.39743589743589741</v>
      </c>
      <c r="U13" s="8">
        <f t="shared" si="2"/>
        <v>0.54385964912280704</v>
      </c>
    </row>
    <row r="14" spans="3:31" ht="15.5">
      <c r="C14" s="23" t="s">
        <v>55</v>
      </c>
      <c r="D14" s="24">
        <f>'COPY DATA XPRO'!E69</f>
        <v>72</v>
      </c>
      <c r="E14" s="24">
        <f>'COPY DATA XPRO'!F69+'COPY DATA XPRO'!G69+'COPY DATA XPRO'!H69</f>
        <v>0</v>
      </c>
      <c r="F14" s="24">
        <f>'COPY DATA XPRO'!I69</f>
        <v>0</v>
      </c>
      <c r="G14" s="24">
        <f>'COPY DATA XPRO'!AA69</f>
        <v>0</v>
      </c>
      <c r="H14" s="24">
        <f>'COPY DATA XPRO'!AE69-HARIAN!G14</f>
        <v>1</v>
      </c>
      <c r="I14" s="24">
        <f>'COPY DATA XPRO'!AF69</f>
        <v>1</v>
      </c>
      <c r="J14" s="24">
        <f>'COPY DATA XPRO'!J69</f>
        <v>10</v>
      </c>
      <c r="K14" s="24">
        <f>'COPY DATA XPRO'!K69</f>
        <v>1</v>
      </c>
      <c r="L14" s="24">
        <f>'COPY DATA XPRO'!L69</f>
        <v>5</v>
      </c>
      <c r="M14" s="24">
        <f>'COPY DATA XPRO'!P69</f>
        <v>4</v>
      </c>
      <c r="N14" s="24">
        <f>'COPY DATA XPRO'!X69</f>
        <v>8</v>
      </c>
      <c r="O14" s="24">
        <f>'COPY DATA XPRO'!Y69</f>
        <v>0</v>
      </c>
      <c r="P14" s="24">
        <f>'COPY DATA XPRO'!Z69</f>
        <v>42</v>
      </c>
      <c r="Q14" s="40">
        <f t="shared" si="0"/>
        <v>0.6</v>
      </c>
      <c r="R14" s="40">
        <f t="shared" si="0"/>
        <v>0.77777777777777779</v>
      </c>
      <c r="S14" s="40">
        <f>VLOOKUP(C14,Sheet3!$A$19:$G$81,7,FALSE)</f>
        <v>1</v>
      </c>
      <c r="T14" s="8">
        <f t="shared" si="1"/>
        <v>0.6</v>
      </c>
      <c r="U14" s="8">
        <f t="shared" si="2"/>
        <v>0.77777777777777779</v>
      </c>
    </row>
    <row r="15" spans="3:31" ht="15.5">
      <c r="C15" s="25" t="s">
        <v>62</v>
      </c>
      <c r="D15" s="26">
        <f>SUM(D10:D14)</f>
        <v>283</v>
      </c>
      <c r="E15" s="26">
        <f>SUM(E10:E14)</f>
        <v>10</v>
      </c>
      <c r="F15" s="26">
        <f>SUM(F10:F14)</f>
        <v>1</v>
      </c>
      <c r="G15" s="26">
        <f t="shared" ref="G15:P15" si="3">SUM(G10:G14)</f>
        <v>0</v>
      </c>
      <c r="H15" s="26">
        <f t="shared" si="3"/>
        <v>2</v>
      </c>
      <c r="I15" s="26">
        <f t="shared" si="3"/>
        <v>7</v>
      </c>
      <c r="J15" s="26">
        <f t="shared" si="3"/>
        <v>30</v>
      </c>
      <c r="K15" s="26">
        <f t="shared" si="3"/>
        <v>2</v>
      </c>
      <c r="L15" s="26">
        <f t="shared" si="3"/>
        <v>28</v>
      </c>
      <c r="M15" s="26">
        <f t="shared" si="3"/>
        <v>30</v>
      </c>
      <c r="N15" s="26">
        <f t="shared" si="3"/>
        <v>19</v>
      </c>
      <c r="O15" s="26">
        <f t="shared" si="3"/>
        <v>3</v>
      </c>
      <c r="P15" s="26">
        <f t="shared" si="3"/>
        <v>146</v>
      </c>
      <c r="Q15" s="41">
        <f t="shared" si="0"/>
        <v>0.53479853479853479</v>
      </c>
      <c r="R15" s="41">
        <f>U15</f>
        <v>0.73737373737373735</v>
      </c>
      <c r="S15" s="41">
        <f>Sheet3!G10</f>
        <v>0.9261744966442953</v>
      </c>
      <c r="T15" s="8">
        <f t="shared" si="1"/>
        <v>0.53479853479853479</v>
      </c>
      <c r="U15" s="8">
        <f t="shared" si="2"/>
        <v>0.73737373737373735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37" t="s">
        <v>72</v>
      </c>
      <c r="E17" s="138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3" t="s">
        <v>73</v>
      </c>
      <c r="E18" s="134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3" t="s">
        <v>74</v>
      </c>
      <c r="E19" s="134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3" t="s">
        <v>75</v>
      </c>
      <c r="E20" s="134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3" t="s">
        <v>76</v>
      </c>
      <c r="E21" s="134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35" t="s">
        <v>138</v>
      </c>
      <c r="E22" s="136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90" t="str">
        <f ca="1">C2</f>
        <v xml:space="preserve">PROVISIONING NEW SALES INDIBIZ TR3 JBN MTD  2026-10-04 </v>
      </c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  <c r="N24" s="190"/>
      <c r="O24" s="190"/>
      <c r="P24" s="190"/>
      <c r="Q24" s="190"/>
      <c r="R24" s="190"/>
      <c r="S24" s="34"/>
    </row>
    <row r="25" spans="2:22">
      <c r="B25" s="190" t="str">
        <f ca="1">C3</f>
        <v xml:space="preserve">PERIODE ORDER &amp; PS : 2026-01-01 to  2026-10-04 </v>
      </c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  <c r="N25" s="190"/>
      <c r="O25" s="190"/>
      <c r="P25" s="190"/>
      <c r="Q25" s="190"/>
      <c r="R25" s="190"/>
      <c r="S25" s="34"/>
    </row>
    <row r="26" spans="2:22" ht="18.5">
      <c r="B26" s="116" t="str">
        <f>C4</f>
        <v>Last update proses : 06-03-2026 15:19:48 WIB (Source: ETL XPRO)</v>
      </c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35"/>
    </row>
    <row r="27" spans="2:22" ht="15.5"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36"/>
    </row>
    <row r="29" spans="2:22" ht="15.65" customHeight="1">
      <c r="B29" s="119" t="s">
        <v>1</v>
      </c>
      <c r="C29" s="118" t="s">
        <v>78</v>
      </c>
      <c r="D29" s="119" t="s">
        <v>129</v>
      </c>
      <c r="E29" s="119" t="s">
        <v>67</v>
      </c>
      <c r="F29" s="180" t="s">
        <v>12</v>
      </c>
      <c r="G29" s="180"/>
      <c r="H29" s="180"/>
      <c r="I29" s="180" t="s">
        <v>14</v>
      </c>
      <c r="J29" s="103" t="s">
        <v>8</v>
      </c>
      <c r="K29" s="103" t="s">
        <v>9</v>
      </c>
      <c r="L29" s="103" t="s">
        <v>10</v>
      </c>
      <c r="M29" s="103"/>
      <c r="N29" s="103"/>
      <c r="O29" s="103"/>
      <c r="P29" s="105" t="s">
        <v>11</v>
      </c>
      <c r="Q29" s="106" t="s">
        <v>130</v>
      </c>
      <c r="R29" s="106" t="s">
        <v>131</v>
      </c>
      <c r="S29" s="106" t="s">
        <v>132</v>
      </c>
    </row>
    <row r="30" spans="2:22" ht="14.5" customHeight="1">
      <c r="B30" s="119"/>
      <c r="C30" s="118"/>
      <c r="D30" s="119"/>
      <c r="E30" s="119"/>
      <c r="F30" s="180"/>
      <c r="G30" s="180"/>
      <c r="H30" s="180"/>
      <c r="I30" s="180"/>
      <c r="J30" s="103"/>
      <c r="K30" s="103"/>
      <c r="L30" s="103"/>
      <c r="M30" s="103"/>
      <c r="N30" s="103"/>
      <c r="O30" s="103"/>
      <c r="P30" s="105"/>
      <c r="Q30" s="106"/>
      <c r="R30" s="106"/>
      <c r="S30" s="106"/>
    </row>
    <row r="31" spans="2:22" ht="14.5" customHeight="1">
      <c r="B31" s="119"/>
      <c r="C31" s="118"/>
      <c r="D31" s="119"/>
      <c r="E31" s="119"/>
      <c r="F31" s="180"/>
      <c r="G31" s="180"/>
      <c r="H31" s="180"/>
      <c r="I31" s="180"/>
      <c r="J31" s="103"/>
      <c r="K31" s="103"/>
      <c r="L31" s="103"/>
      <c r="M31" s="103"/>
      <c r="N31" s="103"/>
      <c r="O31" s="103"/>
      <c r="P31" s="105"/>
      <c r="Q31" s="106"/>
      <c r="R31" s="106"/>
      <c r="S31" s="106"/>
    </row>
    <row r="32" spans="2:22" ht="31">
      <c r="B32" s="119"/>
      <c r="C32" s="118"/>
      <c r="D32" s="119"/>
      <c r="E32" s="119"/>
      <c r="F32" s="22" t="s">
        <v>133</v>
      </c>
      <c r="G32" s="22" t="s">
        <v>30</v>
      </c>
      <c r="H32" s="22" t="s">
        <v>69</v>
      </c>
      <c r="I32" s="180"/>
      <c r="J32" s="103"/>
      <c r="K32" s="103"/>
      <c r="L32" s="37" t="s">
        <v>2</v>
      </c>
      <c r="M32" s="37" t="s">
        <v>18</v>
      </c>
      <c r="N32" s="37" t="s">
        <v>20</v>
      </c>
      <c r="O32" s="37" t="s">
        <v>22</v>
      </c>
      <c r="P32" s="105"/>
      <c r="Q32" s="106"/>
      <c r="R32" s="106"/>
      <c r="S32" s="106"/>
      <c r="V32" s="87" t="s">
        <v>796</v>
      </c>
    </row>
    <row r="33" spans="2:22" ht="15.5">
      <c r="B33" s="181" t="s">
        <v>34</v>
      </c>
      <c r="C33" s="64" t="s">
        <v>79</v>
      </c>
      <c r="D33" s="65">
        <f>'LOOKUP  telda'!E7</f>
        <v>0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0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0</v>
      </c>
      <c r="P33" s="65">
        <f>'LOOKUP  telda'!Z7</f>
        <v>0</v>
      </c>
      <c r="Q33" s="40">
        <f>T33</f>
        <v>0</v>
      </c>
      <c r="R33" s="40">
        <f>U33</f>
        <v>0</v>
      </c>
      <c r="S33" s="40">
        <f>VLOOKUP(C33,Sheet3!$A$19:$G$81,7,FALSE)</f>
        <v>1</v>
      </c>
      <c r="T33" s="8">
        <f>IFERROR(P33/(D33-F33-K33-I33),0)</f>
        <v>0</v>
      </c>
      <c r="U33" s="8">
        <f>IFERROR(P33/(M33+N33+O33+P33),0)</f>
        <v>0</v>
      </c>
      <c r="V33" t="str">
        <f>VLOOKUP(C33,Sheet5!$A$2:$J$270,8,FALSE)</f>
        <v>GIANYAR</v>
      </c>
    </row>
    <row r="34" spans="2:22" ht="15.5">
      <c r="B34" s="181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5">
      <c r="B35" s="181"/>
      <c r="C35" s="64" t="s">
        <v>81</v>
      </c>
      <c r="D35" s="65">
        <f>'LOOKUP  telda'!E9</f>
        <v>0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0</v>
      </c>
      <c r="P35" s="65">
        <f>'LOOKUP  telda'!Z9</f>
        <v>0</v>
      </c>
      <c r="Q35" s="40">
        <f t="shared" si="4"/>
        <v>0</v>
      </c>
      <c r="R35" s="40">
        <f t="shared" si="5"/>
        <v>0</v>
      </c>
      <c r="S35" s="40" t="e">
        <f>VLOOKUP(C35,Sheet3!$A$19:$G$81,7,FALSE)</f>
        <v>#DIV/0!</v>
      </c>
      <c r="T35" s="8">
        <f t="shared" si="6"/>
        <v>0</v>
      </c>
      <c r="U35" s="8">
        <f t="shared" si="7"/>
        <v>0</v>
      </c>
      <c r="V35" t="str">
        <f>VLOOKUP(C35,Sheet5!$A$2:$J$270,8,FALSE)</f>
        <v>JIMBARAN</v>
      </c>
    </row>
    <row r="36" spans="2:22" ht="15.5">
      <c r="B36" s="181"/>
      <c r="C36" s="64" t="s">
        <v>82</v>
      </c>
      <c r="D36" s="65">
        <f>'LOOKUP  telda'!E10</f>
        <v>0</v>
      </c>
      <c r="E36" s="65">
        <f>'LOOKUP  telda'!F10+'LOOKUP  telda'!G10+'LOOKUP  telda'!H10</f>
        <v>0</v>
      </c>
      <c r="F36" s="65">
        <f>'LOOKUP  telda'!I10</f>
        <v>0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0</v>
      </c>
      <c r="Q36" s="40">
        <f t="shared" si="4"/>
        <v>0</v>
      </c>
      <c r="R36" s="40">
        <f t="shared" si="5"/>
        <v>0</v>
      </c>
      <c r="S36" s="40" t="e">
        <f>VLOOKUP(C36,Sheet3!$A$19:$G$81,7,FALSE)</f>
        <v>#N/A</v>
      </c>
      <c r="T36" s="8">
        <f t="shared" si="6"/>
        <v>0</v>
      </c>
      <c r="U36" s="8">
        <f t="shared" si="7"/>
        <v>0</v>
      </c>
      <c r="V36" t="str">
        <f>VLOOKUP(C36,Sheet5!$A$2:$J$270,8,FALSE)</f>
        <v>KLUNGKUNG</v>
      </c>
    </row>
    <row r="37" spans="2:22" ht="15.5">
      <c r="B37" s="181"/>
      <c r="C37" s="64" t="s">
        <v>83</v>
      </c>
      <c r="D37" s="65">
        <f>'LOOKUP  telda'!E11</f>
        <v>0</v>
      </c>
      <c r="E37" s="65">
        <f>'LOOKUP  telda'!F11+'LOOKUP  telda'!G11+'LOOKUP  telda'!H11</f>
        <v>0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0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0</v>
      </c>
      <c r="Q37" s="40">
        <f t="shared" si="4"/>
        <v>0</v>
      </c>
      <c r="R37" s="40">
        <f t="shared" si="5"/>
        <v>0</v>
      </c>
      <c r="S37" s="40">
        <f>VLOOKUP(C37,Sheet3!$A$19:$G$81,7,FALSE)</f>
        <v>0</v>
      </c>
      <c r="T37" s="8">
        <f t="shared" si="6"/>
        <v>0</v>
      </c>
      <c r="U37" s="8">
        <f t="shared" si="7"/>
        <v>0</v>
      </c>
      <c r="V37" t="str">
        <f>VLOOKUP(C37,Sheet5!$A$2:$J$270,8,FALSE)</f>
        <v>SANUR</v>
      </c>
    </row>
    <row r="38" spans="2:22" ht="15.5">
      <c r="B38" s="181"/>
      <c r="C38" s="64" t="s">
        <v>84</v>
      </c>
      <c r="D38" s="65">
        <f>'LOOKUP  telda'!E12</f>
        <v>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0</v>
      </c>
      <c r="Q38" s="40">
        <f t="shared" si="4"/>
        <v>0</v>
      </c>
      <c r="R38" s="40">
        <f t="shared" si="5"/>
        <v>0</v>
      </c>
      <c r="S38" s="40">
        <f>VLOOKUP(C38,Sheet3!$A$19:$G$81,7,FALSE)</f>
        <v>0.5</v>
      </c>
      <c r="T38" s="8">
        <f t="shared" si="6"/>
        <v>0</v>
      </c>
      <c r="U38" s="8">
        <f t="shared" si="7"/>
        <v>0</v>
      </c>
      <c r="V38" t="str">
        <f>VLOOKUP(C38,Sheet5!$A$2:$J$270,8,FALSE)</f>
        <v>SINGARAJA</v>
      </c>
    </row>
    <row r="39" spans="2:22" ht="15.5">
      <c r="B39" s="181"/>
      <c r="C39" s="64" t="s">
        <v>85</v>
      </c>
      <c r="D39" s="65">
        <f>'LOOKUP  telda'!E13</f>
        <v>0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0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0</v>
      </c>
      <c r="Q39" s="40">
        <f t="shared" si="4"/>
        <v>0</v>
      </c>
      <c r="R39" s="40">
        <f t="shared" si="5"/>
        <v>0</v>
      </c>
      <c r="S39" s="40">
        <f>VLOOKUP(C39,Sheet3!$A$19:$G$81,7,FALSE)</f>
        <v>1</v>
      </c>
      <c r="T39" s="8">
        <f t="shared" si="6"/>
        <v>0</v>
      </c>
      <c r="U39" s="8">
        <f t="shared" si="7"/>
        <v>0</v>
      </c>
      <c r="V39" t="str">
        <f>VLOOKUP(C39,Sheet5!$A$2:$J$270,8,FALSE)</f>
        <v>TABANAN</v>
      </c>
    </row>
    <row r="40" spans="2:22" ht="15.5">
      <c r="B40" s="181"/>
      <c r="C40" s="64" t="s">
        <v>86</v>
      </c>
      <c r="D40" s="65">
        <f>'LOOKUP  telda'!E14</f>
        <v>0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0</v>
      </c>
      <c r="O40" s="65">
        <f>'LOOKUP  telda'!Y14</f>
        <v>0</v>
      </c>
      <c r="P40" s="65">
        <f>'LOOKUP  telda'!Z14</f>
        <v>0</v>
      </c>
      <c r="Q40" s="40">
        <f t="shared" si="4"/>
        <v>0</v>
      </c>
      <c r="R40" s="40">
        <f t="shared" si="5"/>
        <v>0</v>
      </c>
      <c r="S40" s="40">
        <f>VLOOKUP(C40,Sheet3!$A$19:$G$81,7,FALSE)</f>
        <v>1</v>
      </c>
      <c r="T40" s="8">
        <f t="shared" si="6"/>
        <v>0</v>
      </c>
      <c r="U40" s="8">
        <f t="shared" si="7"/>
        <v>0</v>
      </c>
      <c r="V40" t="str">
        <f>VLOOKUP(C40,Sheet5!$A$2:$J$270,8,FALSE)</f>
        <v>UBUNG</v>
      </c>
    </row>
    <row r="41" spans="2:22" ht="15.5">
      <c r="B41" s="182" t="s">
        <v>38</v>
      </c>
      <c r="C41" s="66" t="s">
        <v>87</v>
      </c>
      <c r="D41" s="67">
        <f>'LOOKUP  telda'!E15</f>
        <v>0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0</v>
      </c>
      <c r="J41" s="67">
        <f>'LOOKUP  telda'!J15</f>
        <v>0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0</v>
      </c>
      <c r="Q41" s="40">
        <f t="shared" si="4"/>
        <v>0</v>
      </c>
      <c r="R41" s="40">
        <f t="shared" si="5"/>
        <v>0</v>
      </c>
      <c r="S41" s="40">
        <f>VLOOKUP(C41,Sheet3!$A$19:$G$81,7,FALSE)</f>
        <v>1</v>
      </c>
      <c r="T41" s="8">
        <f t="shared" si="6"/>
        <v>0</v>
      </c>
      <c r="U41" s="8">
        <f t="shared" si="7"/>
        <v>0</v>
      </c>
      <c r="V41" t="str">
        <f>VLOOKUP(C41,Sheet5!$A$2:$J$270,8,FALSE)</f>
        <v>BATU</v>
      </c>
    </row>
    <row r="42" spans="2:22" ht="15.5">
      <c r="B42" s="182"/>
      <c r="C42" s="66" t="s">
        <v>88</v>
      </c>
      <c r="D42" s="67">
        <f>'LOOKUP  telda'!E16</f>
        <v>0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0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0</v>
      </c>
      <c r="Q42" s="40">
        <f t="shared" si="4"/>
        <v>0</v>
      </c>
      <c r="R42" s="40">
        <f t="shared" si="5"/>
        <v>0</v>
      </c>
      <c r="S42" s="40">
        <f>VLOOKUP(C42,Sheet3!$A$19:$G$81,7,FALSE)</f>
        <v>1</v>
      </c>
      <c r="T42" s="8">
        <f t="shared" si="6"/>
        <v>0</v>
      </c>
      <c r="U42" s="8">
        <f t="shared" si="7"/>
        <v>0</v>
      </c>
      <c r="V42" t="str">
        <f>VLOOKUP(C42,Sheet5!$A$2:$J$270,8,FALSE)</f>
        <v>BLITAR</v>
      </c>
    </row>
    <row r="43" spans="2:22" ht="15.5">
      <c r="B43" s="182"/>
      <c r="C43" s="66" t="s">
        <v>89</v>
      </c>
      <c r="D43" s="67">
        <f>'LOOKUP  telda'!E17</f>
        <v>0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0</v>
      </c>
      <c r="Q43" s="40">
        <f t="shared" si="4"/>
        <v>0</v>
      </c>
      <c r="R43" s="40">
        <f t="shared" si="5"/>
        <v>0</v>
      </c>
      <c r="S43" s="40">
        <f>VLOOKUP(C43,Sheet3!$A$19:$G$81,7,FALSE)</f>
        <v>1</v>
      </c>
      <c r="T43" s="8">
        <f t="shared" si="6"/>
        <v>0</v>
      </c>
      <c r="U43" s="8">
        <f t="shared" si="7"/>
        <v>0</v>
      </c>
      <c r="V43" t="str">
        <f>VLOOKUP(C43,Sheet5!$A$2:$J$270,8,FALSE)</f>
        <v>BOJONEGORO</v>
      </c>
    </row>
    <row r="44" spans="2:22" ht="15.5">
      <c r="B44" s="182"/>
      <c r="C44" s="66" t="s">
        <v>90</v>
      </c>
      <c r="D44" s="67">
        <f>'LOOKUP  telda'!E18</f>
        <v>0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0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0</v>
      </c>
      <c r="Q44" s="40">
        <f t="shared" si="4"/>
        <v>0</v>
      </c>
      <c r="R44" s="40">
        <f t="shared" si="5"/>
        <v>0</v>
      </c>
      <c r="S44" s="40">
        <f>VLOOKUP(C44,Sheet3!$A$19:$G$81,7,FALSE)</f>
        <v>1</v>
      </c>
      <c r="T44" s="8">
        <f t="shared" si="6"/>
        <v>0</v>
      </c>
      <c r="U44" s="8">
        <f t="shared" si="7"/>
        <v>0</v>
      </c>
      <c r="V44" t="str">
        <f>VLOOKUP(C44,Sheet5!$A$2:$J$270,8,FALSE)</f>
        <v>KEDIRI</v>
      </c>
    </row>
    <row r="45" spans="2:22" ht="15.5">
      <c r="B45" s="182"/>
      <c r="C45" s="66" t="s">
        <v>91</v>
      </c>
      <c r="D45" s="67">
        <f>'LOOKUP  telda'!E19</f>
        <v>0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0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0</v>
      </c>
      <c r="Q45" s="40">
        <f t="shared" si="4"/>
        <v>0</v>
      </c>
      <c r="R45" s="40">
        <f t="shared" si="5"/>
        <v>0</v>
      </c>
      <c r="S45" s="40" t="e">
        <f>VLOOKUP(C45,Sheet3!$A$19:$G$81,7,FALSE)</f>
        <v>#N/A</v>
      </c>
      <c r="T45" s="8">
        <f t="shared" si="6"/>
        <v>0</v>
      </c>
      <c r="U45" s="8">
        <f t="shared" si="7"/>
        <v>0</v>
      </c>
      <c r="V45" t="str">
        <f>VLOOKUP(C45,Sheet5!$A$2:$J$270,8,FALSE)</f>
        <v>MALANG</v>
      </c>
    </row>
    <row r="46" spans="2:22" ht="15.5">
      <c r="B46" s="182"/>
      <c r="C46" s="66" t="s">
        <v>92</v>
      </c>
      <c r="D46" s="67">
        <f>'LOOKUP  telda'!E20</f>
        <v>0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0</v>
      </c>
      <c r="Q46" s="40">
        <f t="shared" si="4"/>
        <v>0</v>
      </c>
      <c r="R46" s="40">
        <f t="shared" si="5"/>
        <v>0</v>
      </c>
      <c r="S46" s="40">
        <f>VLOOKUP(C46,Sheet3!$A$19:$G$81,7,FALSE)</f>
        <v>1</v>
      </c>
      <c r="T46" s="8">
        <f t="shared" si="6"/>
        <v>0</v>
      </c>
      <c r="U46" s="8">
        <f t="shared" si="7"/>
        <v>0</v>
      </c>
      <c r="V46" t="str">
        <f>VLOOKUP(C46,Sheet5!$A$2:$J$270,8,FALSE)</f>
        <v>MADIUN</v>
      </c>
    </row>
    <row r="47" spans="2:22" ht="15.5">
      <c r="B47" s="182"/>
      <c r="C47" s="66" t="s">
        <v>93</v>
      </c>
      <c r="D47" s="67">
        <f>'LOOKUP  telda'!E21</f>
        <v>0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0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0</v>
      </c>
      <c r="Q47" s="40">
        <f t="shared" si="4"/>
        <v>0</v>
      </c>
      <c r="R47" s="40">
        <f t="shared" si="5"/>
        <v>0</v>
      </c>
      <c r="S47" s="40">
        <f>VLOOKUP(C47,Sheet3!$A$19:$G$81,7,FALSE)</f>
        <v>1</v>
      </c>
      <c r="T47" s="8">
        <f t="shared" si="6"/>
        <v>0</v>
      </c>
      <c r="U47" s="8">
        <f t="shared" si="7"/>
        <v>0</v>
      </c>
      <c r="V47" t="str">
        <f>VLOOKUP(C47,Sheet5!$A$2:$J$270,8,FALSE)</f>
        <v>NGANJUK</v>
      </c>
    </row>
    <row r="48" spans="2:22" ht="15.5">
      <c r="B48" s="182"/>
      <c r="C48" s="66" t="s">
        <v>94</v>
      </c>
      <c r="D48" s="67">
        <f>'LOOKUP  telda'!E22</f>
        <v>0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0</v>
      </c>
      <c r="Q48" s="40">
        <f t="shared" si="4"/>
        <v>0</v>
      </c>
      <c r="R48" s="40">
        <f t="shared" si="5"/>
        <v>0</v>
      </c>
      <c r="S48" s="40" t="e">
        <f>VLOOKUP(C48,Sheet3!$A$19:$G$81,7,FALSE)</f>
        <v>#N/A</v>
      </c>
      <c r="T48" s="8">
        <f t="shared" si="6"/>
        <v>0</v>
      </c>
      <c r="U48" s="8">
        <f t="shared" si="7"/>
        <v>0</v>
      </c>
      <c r="V48" t="str">
        <f>VLOOKUP(C48,Sheet5!$A$2:$J$270,8,FALSE)</f>
        <v>MADIUN</v>
      </c>
    </row>
    <row r="49" spans="2:22" ht="15.5">
      <c r="B49" s="182"/>
      <c r="C49" s="66" t="s">
        <v>95</v>
      </c>
      <c r="D49" s="67">
        <f>'LOOKUP  telda'!E23</f>
        <v>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0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0</v>
      </c>
      <c r="Q49" s="40">
        <f t="shared" si="4"/>
        <v>0</v>
      </c>
      <c r="R49" s="40">
        <f t="shared" si="5"/>
        <v>0</v>
      </c>
      <c r="S49" s="40">
        <f>VLOOKUP(C49,Sheet3!$A$19:$G$81,7,FALSE)</f>
        <v>1</v>
      </c>
      <c r="T49" s="8">
        <f t="shared" si="6"/>
        <v>0</v>
      </c>
      <c r="U49" s="8">
        <f t="shared" si="7"/>
        <v>0</v>
      </c>
      <c r="V49" t="str">
        <f>VLOOKUP(C49,Sheet5!$A$2:$J$270,8,FALSE)</f>
        <v>PONOROGO</v>
      </c>
    </row>
    <row r="50" spans="2:22" ht="15.5">
      <c r="B50" s="182"/>
      <c r="C50" s="66" t="s">
        <v>96</v>
      </c>
      <c r="D50" s="67">
        <f>'LOOKUP  telda'!E24</f>
        <v>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0</v>
      </c>
      <c r="Q50" s="40">
        <f t="shared" si="4"/>
        <v>0</v>
      </c>
      <c r="R50" s="40">
        <f t="shared" si="5"/>
        <v>0</v>
      </c>
      <c r="S50" s="40" t="e">
        <f>VLOOKUP(C50,Sheet3!$A$19:$G$81,7,FALSE)</f>
        <v>#N/A</v>
      </c>
      <c r="T50" s="8">
        <f t="shared" si="6"/>
        <v>0</v>
      </c>
      <c r="U50" s="8">
        <f t="shared" si="7"/>
        <v>0</v>
      </c>
      <c r="V50" t="str">
        <f>VLOOKUP(C50,Sheet5!$A$2:$J$270,8,FALSE)</f>
        <v>PONOROGO</v>
      </c>
    </row>
    <row r="51" spans="2:22" ht="15.5">
      <c r="B51" s="182"/>
      <c r="C51" s="66" t="s">
        <v>97</v>
      </c>
      <c r="D51" s="67">
        <f>'LOOKUP  telda'!E25</f>
        <v>0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0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0</v>
      </c>
      <c r="Q51" s="40">
        <f t="shared" si="4"/>
        <v>0</v>
      </c>
      <c r="R51" s="40">
        <f t="shared" si="5"/>
        <v>0</v>
      </c>
      <c r="S51" s="40" t="e">
        <f>VLOOKUP(C51,Sheet3!$A$19:$G$81,7,FALSE)</f>
        <v>#N/A</v>
      </c>
      <c r="T51" s="8">
        <f t="shared" si="6"/>
        <v>0</v>
      </c>
      <c r="U51" s="8">
        <f t="shared" si="7"/>
        <v>0</v>
      </c>
      <c r="V51" t="str">
        <f>VLOOKUP(C51,Sheet5!$A$2:$J$270,8,FALSE)</f>
        <v>BOJONEGORO</v>
      </c>
    </row>
    <row r="52" spans="2:22" ht="15.5">
      <c r="B52" s="182"/>
      <c r="C52" s="66" t="s">
        <v>98</v>
      </c>
      <c r="D52" s="67">
        <f>'LOOKUP  telda'!E26</f>
        <v>0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0</v>
      </c>
      <c r="Q52" s="40">
        <f t="shared" si="4"/>
        <v>0</v>
      </c>
      <c r="R52" s="40">
        <f t="shared" si="5"/>
        <v>0</v>
      </c>
      <c r="S52" s="40" t="e">
        <f>VLOOKUP(C52,Sheet3!$A$19:$G$81,7,FALSE)</f>
        <v>#N/A</v>
      </c>
      <c r="T52" s="8">
        <f t="shared" si="6"/>
        <v>0</v>
      </c>
      <c r="U52" s="8">
        <f t="shared" si="7"/>
        <v>0</v>
      </c>
      <c r="V52" t="str">
        <f>VLOOKUP(C52,Sheet5!$A$2:$J$270,8,FALSE)</f>
        <v>BLITAR</v>
      </c>
    </row>
    <row r="53" spans="2:22" ht="15.5">
      <c r="B53" s="183" t="s">
        <v>42</v>
      </c>
      <c r="C53" s="62" t="s">
        <v>99</v>
      </c>
      <c r="D53" s="63">
        <f>'LOOKUP  telda'!E27</f>
        <v>0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0</v>
      </c>
      <c r="Q53" s="40">
        <f t="shared" si="4"/>
        <v>0</v>
      </c>
      <c r="R53" s="40">
        <f t="shared" si="5"/>
        <v>0</v>
      </c>
      <c r="S53" s="40">
        <f>VLOOKUP(C53,Sheet3!$A$19:$G$81,7,FALSE)</f>
        <v>1</v>
      </c>
      <c r="T53" s="8">
        <f t="shared" si="6"/>
        <v>0</v>
      </c>
      <c r="U53" s="8">
        <f t="shared" si="7"/>
        <v>0</v>
      </c>
      <c r="V53" t="str">
        <f>VLOOKUP(C53,Sheet5!$A$2:$J$270,8,FALSE)</f>
        <v>BANYUWANGI</v>
      </c>
    </row>
    <row r="54" spans="2:22" ht="15.5">
      <c r="B54" s="183"/>
      <c r="C54" s="62" t="s">
        <v>100</v>
      </c>
      <c r="D54" s="63">
        <f>'LOOKUP  telda'!E28</f>
        <v>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0</v>
      </c>
      <c r="Q54" s="40">
        <f t="shared" si="4"/>
        <v>0</v>
      </c>
      <c r="R54" s="40">
        <f t="shared" si="5"/>
        <v>0</v>
      </c>
      <c r="S54" s="40" t="e">
        <f>VLOOKUP(C54,Sheet3!$A$19:$G$81,7,FALSE)</f>
        <v>#N/A</v>
      </c>
      <c r="T54" s="8">
        <f t="shared" si="6"/>
        <v>0</v>
      </c>
      <c r="U54" s="8">
        <f t="shared" si="7"/>
        <v>0</v>
      </c>
      <c r="V54" t="str">
        <f>VLOOKUP(C54,Sheet5!$A$2:$J$270,8,FALSE)</f>
        <v>JEMBER</v>
      </c>
    </row>
    <row r="55" spans="2:22" ht="34.5" customHeight="1">
      <c r="B55" s="183"/>
      <c r="C55" s="62" t="s">
        <v>101</v>
      </c>
      <c r="D55" s="63">
        <f>'LOOKUP  telda'!E29</f>
        <v>0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0</v>
      </c>
      <c r="I55" s="63">
        <f>'LOOKUP  telda'!AF29</f>
        <v>0</v>
      </c>
      <c r="J55" s="63">
        <f>'LOOKUP  telda'!J29</f>
        <v>0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0</v>
      </c>
      <c r="Q55" s="40">
        <f t="shared" si="4"/>
        <v>0</v>
      </c>
      <c r="R55" s="40">
        <f t="shared" si="5"/>
        <v>0</v>
      </c>
      <c r="S55" s="40" t="e">
        <f>VLOOKUP(C55,Sheet3!$A$19:$G$81,7,FALSE)</f>
        <v>#N/A</v>
      </c>
      <c r="T55" s="8">
        <f t="shared" si="6"/>
        <v>0</v>
      </c>
      <c r="U55" s="8">
        <f t="shared" si="7"/>
        <v>0</v>
      </c>
      <c r="V55" t="str">
        <f>VLOOKUP(C55,Sheet5!$A$2:$J$270,8,FALSE)</f>
        <v>SIDOARJO</v>
      </c>
    </row>
    <row r="56" spans="2:22" ht="15.5">
      <c r="B56" s="183"/>
      <c r="C56" s="62" t="s">
        <v>102</v>
      </c>
      <c r="D56" s="63">
        <f>'LOOKUP  telda'!E30</f>
        <v>0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0</v>
      </c>
      <c r="Q56" s="40">
        <f t="shared" si="4"/>
        <v>0</v>
      </c>
      <c r="R56" s="40">
        <f t="shared" si="5"/>
        <v>0</v>
      </c>
      <c r="S56" s="40">
        <f>VLOOKUP(C56,Sheet3!$A$19:$G$81,7,FALSE)</f>
        <v>1</v>
      </c>
      <c r="T56" s="8">
        <f t="shared" si="6"/>
        <v>0</v>
      </c>
      <c r="U56" s="8">
        <f t="shared" si="7"/>
        <v>0</v>
      </c>
      <c r="V56" t="str">
        <f>VLOOKUP(C56,Sheet5!$A$2:$J$270,8,FALSE)</f>
        <v>JEMBER</v>
      </c>
    </row>
    <row r="57" spans="2:22" ht="15.5">
      <c r="B57" s="183"/>
      <c r="C57" s="62" t="s">
        <v>103</v>
      </c>
      <c r="D57" s="63">
        <f>'LOOKUP  telda'!E31</f>
        <v>0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0</v>
      </c>
      <c r="Q57" s="40">
        <f t="shared" si="4"/>
        <v>0</v>
      </c>
      <c r="R57" s="40">
        <f t="shared" si="5"/>
        <v>0</v>
      </c>
      <c r="S57" s="40" t="e">
        <f>VLOOKUP(C57,Sheet3!$A$19:$G$81,7,FALSE)</f>
        <v>#N/A</v>
      </c>
      <c r="T57" s="8">
        <f t="shared" si="6"/>
        <v>0</v>
      </c>
      <c r="U57" s="8">
        <f t="shared" si="7"/>
        <v>0</v>
      </c>
      <c r="V57" t="str">
        <f>VLOOKUP(C57,Sheet5!$A$2:$J$270,8,FALSE)</f>
        <v>MOJOKERTO</v>
      </c>
    </row>
    <row r="58" spans="2:22" ht="15.5">
      <c r="B58" s="183"/>
      <c r="C58" s="62" t="s">
        <v>104</v>
      </c>
      <c r="D58" s="63">
        <f>'LOOKUP  telda'!E32</f>
        <v>0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0</v>
      </c>
      <c r="Q58" s="40">
        <f t="shared" si="4"/>
        <v>0</v>
      </c>
      <c r="R58" s="40">
        <f t="shared" si="5"/>
        <v>0</v>
      </c>
      <c r="S58" s="40" t="e">
        <f>VLOOKUP(C58,Sheet3!$A$19:$G$81,7,FALSE)</f>
        <v>#N/A</v>
      </c>
      <c r="T58" s="8">
        <f t="shared" si="6"/>
        <v>0</v>
      </c>
      <c r="U58" s="8">
        <f t="shared" si="7"/>
        <v>0</v>
      </c>
      <c r="V58" t="str">
        <f>VLOOKUP(C58,Sheet5!$A$2:$J$270,8,FALSE)</f>
        <v>PROBOLINGGO</v>
      </c>
    </row>
    <row r="59" spans="2:22" ht="15.5">
      <c r="B59" s="183"/>
      <c r="C59" s="62" t="s">
        <v>105</v>
      </c>
      <c r="D59" s="63">
        <f>'LOOKUP  telda'!E33</f>
        <v>0</v>
      </c>
      <c r="E59" s="63">
        <f>'LOOKUP  telda'!F33+'LOOKUP  telda'!G33+'LOOKUP  telda'!H33</f>
        <v>0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0</v>
      </c>
      <c r="Q59" s="40">
        <f t="shared" si="4"/>
        <v>0</v>
      </c>
      <c r="R59" s="40">
        <f t="shared" si="5"/>
        <v>0</v>
      </c>
      <c r="S59" s="40">
        <f>VLOOKUP(C59,Sheet3!$A$19:$G$81,7,FALSE)</f>
        <v>1</v>
      </c>
      <c r="T59" s="8">
        <f t="shared" si="6"/>
        <v>0</v>
      </c>
      <c r="U59" s="8">
        <f t="shared" si="7"/>
        <v>0</v>
      </c>
      <c r="V59" t="str">
        <f>VLOOKUP(C59,Sheet5!$A$2:$J$270,8,FALSE)</f>
        <v>MOJOKERTO</v>
      </c>
    </row>
    <row r="60" spans="2:22" ht="15.5">
      <c r="B60" s="183"/>
      <c r="C60" s="62" t="s">
        <v>106</v>
      </c>
      <c r="D60" s="63">
        <f>'LOOKUP  telda'!E34</f>
        <v>0</v>
      </c>
      <c r="E60" s="63">
        <f>'LOOKUP  telda'!F34+'LOOKUP  telda'!G34+'LOOKUP  telda'!H34</f>
        <v>0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0</v>
      </c>
      <c r="Q60" s="40">
        <f t="shared" si="4"/>
        <v>0</v>
      </c>
      <c r="R60" s="40">
        <f t="shared" si="5"/>
        <v>0</v>
      </c>
      <c r="S60" s="40">
        <f>VLOOKUP(C60,Sheet3!$A$19:$G$81,7,FALSE)</f>
        <v>1</v>
      </c>
      <c r="T60" s="8">
        <f t="shared" si="6"/>
        <v>0</v>
      </c>
      <c r="U60" s="8">
        <f t="shared" si="7"/>
        <v>0</v>
      </c>
      <c r="V60" t="str">
        <f>VLOOKUP(C60,Sheet5!$A$2:$J$270,8,FALSE)</f>
        <v>PASURUAN</v>
      </c>
    </row>
    <row r="61" spans="2:22" ht="15.5">
      <c r="B61" s="183"/>
      <c r="C61" s="62" t="s">
        <v>107</v>
      </c>
      <c r="D61" s="63">
        <f>'LOOKUP  telda'!E35</f>
        <v>0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0</v>
      </c>
      <c r="Q61" s="40">
        <f t="shared" si="4"/>
        <v>0</v>
      </c>
      <c r="R61" s="40">
        <f t="shared" si="5"/>
        <v>0</v>
      </c>
      <c r="S61" s="40">
        <f>VLOOKUP(C61,Sheet3!$A$19:$G$81,7,FALSE)</f>
        <v>1</v>
      </c>
      <c r="T61" s="8">
        <f t="shared" si="6"/>
        <v>0</v>
      </c>
      <c r="U61" s="8">
        <f t="shared" si="7"/>
        <v>0</v>
      </c>
      <c r="V61" t="str">
        <f>VLOOKUP(C61,Sheet5!$A$2:$J$270,8,FALSE)</f>
        <v>PROBOLINGGO</v>
      </c>
    </row>
    <row r="62" spans="2:22" ht="15.5">
      <c r="B62" s="183"/>
      <c r="C62" s="62" t="s">
        <v>108</v>
      </c>
      <c r="D62" s="63">
        <f>'LOOKUP  telda'!E36</f>
        <v>0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0</v>
      </c>
      <c r="Q62" s="40">
        <f t="shared" si="4"/>
        <v>0</v>
      </c>
      <c r="R62" s="40">
        <f t="shared" si="5"/>
        <v>0</v>
      </c>
      <c r="S62" s="40" t="e">
        <f>VLOOKUP(C62,Sheet3!$A$19:$G$81,7,FALSE)</f>
        <v>#N/A</v>
      </c>
      <c r="T62" s="8">
        <f t="shared" si="6"/>
        <v>0</v>
      </c>
      <c r="U62" s="8">
        <f t="shared" si="7"/>
        <v>0</v>
      </c>
      <c r="V62" t="str">
        <f>VLOOKUP(C62,Sheet5!$A$2:$J$270,8,FALSE)</f>
        <v>BANYUWANGI</v>
      </c>
    </row>
    <row r="63" spans="2:22" ht="15.5">
      <c r="B63" s="184" t="s">
        <v>70</v>
      </c>
      <c r="C63" s="68" t="s">
        <v>109</v>
      </c>
      <c r="D63" s="69">
        <f>'LOOKUP  telda'!E37</f>
        <v>0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0</v>
      </c>
      <c r="Q63" s="40">
        <f t="shared" si="4"/>
        <v>0</v>
      </c>
      <c r="R63" s="40">
        <f t="shared" si="5"/>
        <v>0</v>
      </c>
      <c r="S63" s="40">
        <f>VLOOKUP(C63,Sheet3!$A$19:$G$81,7,FALSE)</f>
        <v>1</v>
      </c>
      <c r="T63" s="8">
        <f t="shared" si="6"/>
        <v>0</v>
      </c>
      <c r="U63" s="8">
        <f t="shared" si="7"/>
        <v>0</v>
      </c>
      <c r="V63" t="str">
        <f>VLOOKUP(C63,Sheet5!$A$2:$J$270,8,FALSE)</f>
        <v>ATAMBUA</v>
      </c>
    </row>
    <row r="64" spans="2:22" ht="15.5">
      <c r="B64" s="184"/>
      <c r="C64" s="68" t="s">
        <v>110</v>
      </c>
      <c r="D64" s="69">
        <f>'LOOKUP  telda'!E38</f>
        <v>0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0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0</v>
      </c>
      <c r="O64" s="69">
        <f>'LOOKUP  telda'!Y38</f>
        <v>0</v>
      </c>
      <c r="P64" s="69">
        <f>'LOOKUP  telda'!Z38</f>
        <v>0</v>
      </c>
      <c r="Q64" s="40">
        <f t="shared" si="4"/>
        <v>0</v>
      </c>
      <c r="R64" s="40">
        <f t="shared" si="5"/>
        <v>0</v>
      </c>
      <c r="S64" s="40">
        <f>VLOOKUP(C64,Sheet3!$A$19:$G$81,7,FALSE)</f>
        <v>0.33333333333333331</v>
      </c>
      <c r="T64" s="8">
        <f t="shared" si="6"/>
        <v>0</v>
      </c>
      <c r="U64" s="8">
        <f t="shared" si="7"/>
        <v>0</v>
      </c>
      <c r="V64" t="str">
        <f>VLOOKUP(C64,Sheet5!$A$2:$J$270,8,FALSE)</f>
        <v>BIMA</v>
      </c>
    </row>
    <row r="65" spans="2:22" ht="15.5">
      <c r="B65" s="184"/>
      <c r="C65" s="68" t="s">
        <v>111</v>
      </c>
      <c r="D65" s="69">
        <f>'LOOKUP  telda'!E39</f>
        <v>0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0</v>
      </c>
      <c r="Q65" s="40">
        <f t="shared" si="4"/>
        <v>0</v>
      </c>
      <c r="R65" s="40">
        <f t="shared" si="5"/>
        <v>0</v>
      </c>
      <c r="S65" s="40">
        <f>VLOOKUP(C65,Sheet3!$A$19:$G$81,7,FALSE)</f>
        <v>1</v>
      </c>
      <c r="T65" s="8">
        <f t="shared" si="6"/>
        <v>0</v>
      </c>
      <c r="U65" s="8">
        <f t="shared" si="7"/>
        <v>0</v>
      </c>
      <c r="V65" t="str">
        <f>VLOOKUP(C65,Sheet5!$A$2:$J$270,8,FALSE)</f>
        <v>ENDE</v>
      </c>
    </row>
    <row r="66" spans="2:22" ht="29">
      <c r="B66" s="184"/>
      <c r="C66" s="68" t="s">
        <v>112</v>
      </c>
      <c r="D66" s="69">
        <f>'LOOKUP  telda'!E40</f>
        <v>0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0</v>
      </c>
      <c r="J66" s="69">
        <f>'LOOKUP  telda'!J40</f>
        <v>0</v>
      </c>
      <c r="K66" s="69">
        <f>'LOOKUP  telda'!K40</f>
        <v>0</v>
      </c>
      <c r="L66" s="69">
        <f>'LOOKUP  telda'!L40</f>
        <v>0</v>
      </c>
      <c r="M66" s="69">
        <f>'LOOKUP  telda'!P40</f>
        <v>0</v>
      </c>
      <c r="N66" s="69">
        <f>'LOOKUP  telda'!X40</f>
        <v>0</v>
      </c>
      <c r="O66" s="69">
        <f>'LOOKUP  telda'!Y40</f>
        <v>0</v>
      </c>
      <c r="P66" s="69">
        <f>'LOOKUP  telda'!Z40</f>
        <v>0</v>
      </c>
      <c r="Q66" s="40">
        <f t="shared" si="4"/>
        <v>0</v>
      </c>
      <c r="R66" s="40">
        <f t="shared" si="5"/>
        <v>0</v>
      </c>
      <c r="S66" s="40" t="e">
        <f>VLOOKUP(C66,Sheet3!$A$19:$G$81,7,FALSE)</f>
        <v>#N/A</v>
      </c>
      <c r="T66" s="8">
        <f t="shared" si="6"/>
        <v>0</v>
      </c>
      <c r="U66" s="8">
        <f t="shared" si="7"/>
        <v>0</v>
      </c>
      <c r="V66" t="str">
        <f>VLOOKUP(C66,Sheet5!$A$2:$J$270,8,FALSE)</f>
        <v>MATARAM</v>
      </c>
    </row>
    <row r="67" spans="2:22" ht="15.5">
      <c r="B67" s="184"/>
      <c r="C67" s="68" t="s">
        <v>113</v>
      </c>
      <c r="D67" s="69">
        <f>'LOOKUP  telda'!E41</f>
        <v>0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0</v>
      </c>
      <c r="N67" s="69">
        <f>'LOOKUP  telda'!X41</f>
        <v>0</v>
      </c>
      <c r="O67" s="69">
        <f>'LOOKUP  telda'!Y41</f>
        <v>0</v>
      </c>
      <c r="P67" s="69">
        <f>'LOOKUP  telda'!Z41</f>
        <v>0</v>
      </c>
      <c r="Q67" s="40">
        <f t="shared" si="4"/>
        <v>0</v>
      </c>
      <c r="R67" s="40">
        <f t="shared" si="5"/>
        <v>0</v>
      </c>
      <c r="S67" s="40">
        <f>VLOOKUP(C67,Sheet3!$A$19:$G$81,7,FALSE)</f>
        <v>1</v>
      </c>
      <c r="T67" s="8">
        <f t="shared" si="6"/>
        <v>0</v>
      </c>
      <c r="U67" s="8">
        <f t="shared" si="7"/>
        <v>0</v>
      </c>
      <c r="V67" t="str">
        <f>VLOOKUP(C67,Sheet5!$A$2:$J$270,8,FALSE)</f>
        <v>KUPANG</v>
      </c>
    </row>
    <row r="68" spans="2:22" ht="15.5">
      <c r="B68" s="184"/>
      <c r="C68" s="68" t="s">
        <v>114</v>
      </c>
      <c r="D68" s="69">
        <f>'LOOKUP  telda'!E42</f>
        <v>0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0</v>
      </c>
      <c r="Q68" s="40">
        <f t="shared" si="4"/>
        <v>0</v>
      </c>
      <c r="R68" s="40">
        <f t="shared" si="5"/>
        <v>0</v>
      </c>
      <c r="S68" s="40">
        <f>VLOOKUP(C68,Sheet3!$A$19:$G$81,7,FALSE)</f>
        <v>1</v>
      </c>
      <c r="T68" s="8">
        <f t="shared" si="6"/>
        <v>0</v>
      </c>
      <c r="U68" s="8">
        <f t="shared" si="7"/>
        <v>0</v>
      </c>
      <c r="V68" t="str">
        <f>VLOOKUP(C68,Sheet5!$A$2:$J$270,8,FALSE)</f>
        <v>LABOAN BAJO</v>
      </c>
    </row>
    <row r="69" spans="2:22" ht="29">
      <c r="B69" s="184"/>
      <c r="C69" s="68" t="s">
        <v>115</v>
      </c>
      <c r="D69" s="69">
        <f>'LOOKUP  telda'!E43</f>
        <v>0</v>
      </c>
      <c r="E69" s="69">
        <f>'LOOKUP  telda'!F43+'LOOKUP  telda'!G43+'LOOKUP  telda'!H43</f>
        <v>0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0</v>
      </c>
      <c r="J69" s="69">
        <f>'LOOKUP  telda'!J43</f>
        <v>0</v>
      </c>
      <c r="K69" s="69">
        <f>'LOOKUP  telda'!K43</f>
        <v>0</v>
      </c>
      <c r="L69" s="69">
        <f>'LOOKUP  telda'!L43</f>
        <v>0</v>
      </c>
      <c r="M69" s="69">
        <f>'LOOKUP  telda'!P43</f>
        <v>0</v>
      </c>
      <c r="N69" s="69">
        <f>'LOOKUP  telda'!X43</f>
        <v>0</v>
      </c>
      <c r="O69" s="69">
        <f>'LOOKUP  telda'!Y43</f>
        <v>0</v>
      </c>
      <c r="P69" s="69">
        <f>'LOOKUP  telda'!Z43</f>
        <v>0</v>
      </c>
      <c r="Q69" s="40">
        <f t="shared" si="4"/>
        <v>0</v>
      </c>
      <c r="R69" s="40">
        <f t="shared" si="5"/>
        <v>0</v>
      </c>
      <c r="S69" s="40" t="e">
        <f>VLOOKUP(C69,Sheet3!$A$19:$G$81,7,FALSE)</f>
        <v>#N/A</v>
      </c>
      <c r="T69" s="8">
        <f t="shared" si="6"/>
        <v>0</v>
      </c>
      <c r="U69" s="8">
        <f t="shared" si="7"/>
        <v>0</v>
      </c>
      <c r="V69" t="str">
        <f>VLOOKUP(C69,Sheet5!$A$2:$J$270,8,FALSE)</f>
        <v>SELONG</v>
      </c>
    </row>
    <row r="70" spans="2:22" ht="15.5">
      <c r="B70" s="184"/>
      <c r="C70" s="68" t="s">
        <v>116</v>
      </c>
      <c r="D70" s="69">
        <f>'LOOKUP  telda'!E44</f>
        <v>0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0</v>
      </c>
      <c r="J70" s="69">
        <f>'LOOKUP  telda'!J44</f>
        <v>0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0</v>
      </c>
      <c r="P70" s="69">
        <f>'LOOKUP  telda'!Z44</f>
        <v>0</v>
      </c>
      <c r="Q70" s="40">
        <f t="shared" si="4"/>
        <v>0</v>
      </c>
      <c r="R70" s="40">
        <f t="shared" si="5"/>
        <v>0</v>
      </c>
      <c r="S70" s="40" t="e">
        <f>VLOOKUP(C70,Sheet3!$A$19:$G$81,7,FALSE)</f>
        <v>#N/A</v>
      </c>
      <c r="T70" s="8">
        <f t="shared" si="6"/>
        <v>0</v>
      </c>
      <c r="U70" s="8">
        <f t="shared" si="7"/>
        <v>0</v>
      </c>
      <c r="V70" t="str">
        <f>VLOOKUP(C70,Sheet5!$A$2:$J$270,8,FALSE)</f>
        <v>SELONG</v>
      </c>
    </row>
    <row r="71" spans="2:22" ht="15.5">
      <c r="B71" s="184"/>
      <c r="C71" s="68" t="s">
        <v>117</v>
      </c>
      <c r="D71" s="69">
        <f>'LOOKUP  telda'!E45</f>
        <v>0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0</v>
      </c>
      <c r="N71" s="69">
        <f>'LOOKUP  telda'!X45</f>
        <v>0</v>
      </c>
      <c r="O71" s="69">
        <f>'LOOKUP  telda'!Y45</f>
        <v>0</v>
      </c>
      <c r="P71" s="69">
        <f>'LOOKUP  telda'!Z45</f>
        <v>0</v>
      </c>
      <c r="Q71" s="40">
        <f t="shared" si="4"/>
        <v>0</v>
      </c>
      <c r="R71" s="40">
        <f t="shared" si="5"/>
        <v>0</v>
      </c>
      <c r="S71" s="40" t="e">
        <f>VLOOKUP(C71,Sheet3!$A$19:$G$81,7,FALSE)</f>
        <v>#DIV/0!</v>
      </c>
      <c r="T71" s="8">
        <f t="shared" si="6"/>
        <v>0</v>
      </c>
      <c r="U71" s="8">
        <f t="shared" si="7"/>
        <v>0</v>
      </c>
      <c r="V71" t="str">
        <f>VLOOKUP(C71,Sheet5!$A$2:$J$270,8,FALSE)</f>
        <v>MAUMERE</v>
      </c>
    </row>
    <row r="72" spans="2:22" ht="15.5">
      <c r="B72" s="184"/>
      <c r="C72" s="68" t="s">
        <v>118</v>
      </c>
      <c r="D72" s="69">
        <f>'LOOKUP  telda'!E46</f>
        <v>0</v>
      </c>
      <c r="E72" s="69">
        <f>'LOOKUP  telda'!F46+'LOOKUP  telda'!G46+'LOOKUP  telda'!H46</f>
        <v>0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0</v>
      </c>
      <c r="J72" s="69">
        <f>'LOOKUP  telda'!J46</f>
        <v>0</v>
      </c>
      <c r="K72" s="69">
        <f>'LOOKUP  telda'!K46</f>
        <v>0</v>
      </c>
      <c r="L72" s="69">
        <f>'LOOKUP  telda'!L46</f>
        <v>0</v>
      </c>
      <c r="M72" s="69">
        <f>'LOOKUP  telda'!P46</f>
        <v>0</v>
      </c>
      <c r="N72" s="69">
        <f>'LOOKUP  telda'!X46</f>
        <v>0</v>
      </c>
      <c r="O72" s="69">
        <f>'LOOKUP  telda'!Y46</f>
        <v>0</v>
      </c>
      <c r="P72" s="69">
        <f>'LOOKUP  telda'!Z46</f>
        <v>0</v>
      </c>
      <c r="Q72" s="40">
        <f t="shared" si="4"/>
        <v>0</v>
      </c>
      <c r="R72" s="40">
        <f t="shared" si="5"/>
        <v>0</v>
      </c>
      <c r="S72" s="40">
        <f>VLOOKUP(C72,Sheet3!$A$19:$G$81,7,FALSE)</f>
        <v>0.53846153846153844</v>
      </c>
      <c r="T72" s="8">
        <f t="shared" si="6"/>
        <v>0</v>
      </c>
      <c r="U72" s="8">
        <f t="shared" si="7"/>
        <v>0</v>
      </c>
      <c r="V72" t="str">
        <f>VLOOKUP(C72,Sheet5!$A$2:$J$270,8,FALSE)</f>
        <v>SUMBAWA</v>
      </c>
    </row>
    <row r="73" spans="2:22" ht="15.5">
      <c r="B73" s="184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5">
      <c r="B74" s="184"/>
      <c r="C74" s="68" t="s">
        <v>120</v>
      </c>
      <c r="D74" s="69">
        <f>'LOOKUP  telda'!E48</f>
        <v>0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0</v>
      </c>
      <c r="Q74" s="40">
        <f t="shared" si="4"/>
        <v>0</v>
      </c>
      <c r="R74" s="40">
        <f t="shared" si="5"/>
        <v>0</v>
      </c>
      <c r="S74" s="40">
        <f>VLOOKUP(C74,Sheet3!$A$19:$G$81,7,FALSE)</f>
        <v>1</v>
      </c>
      <c r="T74" s="8">
        <f t="shared" si="6"/>
        <v>0</v>
      </c>
      <c r="U74" s="8">
        <f t="shared" si="7"/>
        <v>0</v>
      </c>
      <c r="V74" t="str">
        <f>VLOOKUP(C74,Sheet5!$A$2:$J$270,8,FALSE)</f>
        <v>WAINGAPU</v>
      </c>
    </row>
    <row r="75" spans="2:22" ht="15.5">
      <c r="B75" s="185" t="s">
        <v>55</v>
      </c>
      <c r="C75" s="70" t="s">
        <v>121</v>
      </c>
      <c r="D75" s="99">
        <f>'LOOKUP  telda'!E49</f>
        <v>0</v>
      </c>
      <c r="E75" s="99">
        <f>'LOOKUP  telda'!F49+'LOOKUP  telda'!G49+'LOOKUP  telda'!H49</f>
        <v>0</v>
      </c>
      <c r="F75" s="99">
        <f>'LOOKUP  telda'!I49</f>
        <v>0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0</v>
      </c>
      <c r="J75" s="99">
        <f>'LOOKUP  telda'!J49</f>
        <v>0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0</v>
      </c>
      <c r="O75" s="99">
        <f>'LOOKUP  telda'!Y49</f>
        <v>0</v>
      </c>
      <c r="P75" s="99">
        <f>'LOOKUP  telda'!Z49</f>
        <v>0</v>
      </c>
      <c r="Q75" s="40">
        <f t="shared" si="4"/>
        <v>0</v>
      </c>
      <c r="R75" s="40">
        <f t="shared" si="5"/>
        <v>0</v>
      </c>
      <c r="S75" s="40" t="e">
        <f>VLOOKUP(C75,Sheet3!$A$19:$G$81,7,FALSE)</f>
        <v>#N/A</v>
      </c>
      <c r="T75" s="8">
        <f t="shared" si="6"/>
        <v>0</v>
      </c>
      <c r="U75" s="8">
        <f t="shared" si="7"/>
        <v>0</v>
      </c>
      <c r="V75" t="str">
        <f>VLOOKUP(C75,Sheet5!$A$2:$J$270,8,FALSE)</f>
        <v>MADURA</v>
      </c>
    </row>
    <row r="76" spans="2:22" ht="15.5">
      <c r="B76" s="185"/>
      <c r="C76" s="70" t="s">
        <v>122</v>
      </c>
      <c r="D76" s="99">
        <f>'LOOKUP  telda'!E50</f>
        <v>0</v>
      </c>
      <c r="E76" s="99">
        <f>'LOOKUP  telda'!F50+'LOOKUP  telda'!G50+'LOOKUP  telda'!H50</f>
        <v>0</v>
      </c>
      <c r="F76" s="99">
        <f>'LOOKUP  telda'!I50</f>
        <v>0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0</v>
      </c>
      <c r="J76" s="99">
        <f>'LOOKUP  telda'!J50</f>
        <v>0</v>
      </c>
      <c r="K76" s="99">
        <f>'LOOKUP  telda'!K50</f>
        <v>0</v>
      </c>
      <c r="L76" s="99">
        <f>'LOOKUP  telda'!L50</f>
        <v>0</v>
      </c>
      <c r="M76" s="99">
        <f>'LOOKUP  telda'!P50</f>
        <v>0</v>
      </c>
      <c r="N76" s="99">
        <f>'LOOKUP  telda'!X50</f>
        <v>0</v>
      </c>
      <c r="O76" s="99">
        <f>'LOOKUP  telda'!Y50</f>
        <v>0</v>
      </c>
      <c r="P76" s="99">
        <f>'LOOKUP  telda'!Z50</f>
        <v>0</v>
      </c>
      <c r="Q76" s="40">
        <f t="shared" si="4"/>
        <v>0</v>
      </c>
      <c r="R76" s="40">
        <f t="shared" si="5"/>
        <v>0</v>
      </c>
      <c r="S76" s="40">
        <f>VLOOKUP(C76,Sheet3!$A$19:$G$81,7,FALSE)</f>
        <v>1</v>
      </c>
      <c r="T76" s="8">
        <f t="shared" si="6"/>
        <v>0</v>
      </c>
      <c r="U76" s="8">
        <f t="shared" si="7"/>
        <v>0</v>
      </c>
      <c r="V76" t="str">
        <f>VLOOKUP(C76,Sheet5!$A$2:$J$270,8,FALSE)</f>
        <v>GRESIK</v>
      </c>
    </row>
    <row r="77" spans="2:22" ht="15.5">
      <c r="B77" s="185"/>
      <c r="C77" s="70" t="s">
        <v>123</v>
      </c>
      <c r="D77" s="99">
        <f>'LOOKUP  telda'!E51</f>
        <v>0</v>
      </c>
      <c r="E77" s="99">
        <f>'LOOKUP  telda'!F51+'LOOKUP  telda'!G51+'LOOKUP  telda'!H51</f>
        <v>0</v>
      </c>
      <c r="F77" s="99">
        <f>'LOOKUP  telda'!I51</f>
        <v>0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0</v>
      </c>
      <c r="J77" s="99">
        <f>'LOOKUP  telda'!J51</f>
        <v>0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0</v>
      </c>
      <c r="Q77" s="40">
        <f t="shared" si="4"/>
        <v>0</v>
      </c>
      <c r="R77" s="40">
        <f t="shared" si="5"/>
        <v>0</v>
      </c>
      <c r="S77" s="40" t="e">
        <f>VLOOKUP(C77,Sheet3!$A$19:$G$81,7,FALSE)</f>
        <v>#N/A</v>
      </c>
      <c r="T77" s="8">
        <f t="shared" si="6"/>
        <v>0</v>
      </c>
      <c r="U77" s="8">
        <f t="shared" si="7"/>
        <v>0</v>
      </c>
      <c r="V77" t="str">
        <f>VLOOKUP(C77,Sheet5!$A$2:$J$270,8,FALSE)</f>
        <v>SURABAYA UTARA</v>
      </c>
    </row>
    <row r="78" spans="2:22" ht="15.5">
      <c r="B78" s="185"/>
      <c r="C78" s="70" t="s">
        <v>124</v>
      </c>
      <c r="D78" s="99">
        <f>'LOOKUP  telda'!E52</f>
        <v>0</v>
      </c>
      <c r="E78" s="99">
        <f>'LOOKUP  telda'!F52+'LOOKUP  telda'!G52+'LOOKUP  telda'!H52</f>
        <v>0</v>
      </c>
      <c r="F78" s="99">
        <f>'LOOKUP  telda'!I52</f>
        <v>0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0</v>
      </c>
      <c r="J78" s="99">
        <f>'LOOKUP  telda'!J52</f>
        <v>0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0</v>
      </c>
      <c r="O78" s="99">
        <f>'LOOKUP  telda'!Y52</f>
        <v>0</v>
      </c>
      <c r="P78" s="99">
        <f>'LOOKUP  telda'!Z52</f>
        <v>0</v>
      </c>
      <c r="Q78" s="40">
        <f t="shared" si="4"/>
        <v>0</v>
      </c>
      <c r="R78" s="40">
        <f t="shared" si="5"/>
        <v>0</v>
      </c>
      <c r="S78" s="40" t="e">
        <f>VLOOKUP(C78,Sheet3!$A$19:$G$81,7,FALSE)</f>
        <v>#N/A</v>
      </c>
      <c r="T78" s="8">
        <f t="shared" si="6"/>
        <v>0</v>
      </c>
      <c r="U78" s="8">
        <f t="shared" si="7"/>
        <v>0</v>
      </c>
      <c r="V78" t="str">
        <f>VLOOKUP(C78,Sheet5!$A$2:$J$270,8,FALSE)</f>
        <v>SURABAYA SELATAN</v>
      </c>
    </row>
    <row r="79" spans="2:22" ht="15.5">
      <c r="B79" s="185"/>
      <c r="C79" s="70" t="s">
        <v>125</v>
      </c>
      <c r="D79" s="99">
        <f>'LOOKUP  telda'!E53</f>
        <v>0</v>
      </c>
      <c r="E79" s="99">
        <f>'LOOKUP  telda'!F53+'LOOKUP  telda'!G53+'LOOKUP  telda'!H53</f>
        <v>0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0</v>
      </c>
      <c r="J79" s="99">
        <f>'LOOKUP  telda'!J53</f>
        <v>0</v>
      </c>
      <c r="K79" s="99">
        <f>'LOOKUP  telda'!K53</f>
        <v>0</v>
      </c>
      <c r="L79" s="99">
        <f>'LOOKUP  telda'!L53</f>
        <v>0</v>
      </c>
      <c r="M79" s="99">
        <f>'LOOKUP  telda'!P53</f>
        <v>0</v>
      </c>
      <c r="N79" s="99">
        <f>'LOOKUP  telda'!X53</f>
        <v>0</v>
      </c>
      <c r="O79" s="99">
        <f>'LOOKUP  telda'!Y53</f>
        <v>0</v>
      </c>
      <c r="P79" s="99">
        <f>'LOOKUP  telda'!Z53</f>
        <v>0</v>
      </c>
      <c r="Q79" s="40">
        <f t="shared" si="4"/>
        <v>0</v>
      </c>
      <c r="R79" s="40">
        <f t="shared" si="5"/>
        <v>0</v>
      </c>
      <c r="S79" s="40" t="e">
        <f>VLOOKUP(C79,Sheet3!$A$19:$G$81,7,FALSE)</f>
        <v>#N/A</v>
      </c>
      <c r="T79" s="8">
        <f t="shared" si="6"/>
        <v>0</v>
      </c>
      <c r="U79" s="8">
        <f t="shared" si="7"/>
        <v>0</v>
      </c>
      <c r="V79" t="str">
        <f>VLOOKUP(C79,Sheet5!$A$2:$J$270,8,FALSE)</f>
        <v>GRESIK</v>
      </c>
    </row>
    <row r="80" spans="2:22" ht="15.5">
      <c r="B80" s="185"/>
      <c r="C80" s="70" t="s">
        <v>126</v>
      </c>
      <c r="D80" s="99">
        <f>'LOOKUP  telda'!E54</f>
        <v>0</v>
      </c>
      <c r="E80" s="99">
        <f>'LOOKUP  telda'!F54+'LOOKUP  telda'!G54+'LOOKUP  telda'!H54</f>
        <v>0</v>
      </c>
      <c r="F80" s="99">
        <f>'LOOKUP  telda'!I54</f>
        <v>0</v>
      </c>
      <c r="G80" s="99">
        <f>'LOOKUP  telda'!AA54</f>
        <v>0</v>
      </c>
      <c r="H80" s="99">
        <f>'LOOKUP  telda'!AE54-'LOOKUP  telda'!AA54</f>
        <v>0</v>
      </c>
      <c r="I80" s="99">
        <f>'LOOKUP  telda'!AF54</f>
        <v>0</v>
      </c>
      <c r="J80" s="99">
        <f>'LOOKUP  telda'!J54</f>
        <v>0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0</v>
      </c>
      <c r="Q80" s="40">
        <f t="shared" si="4"/>
        <v>0</v>
      </c>
      <c r="R80" s="40">
        <f t="shared" si="5"/>
        <v>0</v>
      </c>
      <c r="S80" s="40" t="e">
        <f>VLOOKUP(C80,Sheet3!$A$19:$G$81,7,FALSE)</f>
        <v>#N/A</v>
      </c>
      <c r="T80" s="8">
        <f t="shared" si="6"/>
        <v>0</v>
      </c>
      <c r="U80" s="8">
        <f t="shared" si="7"/>
        <v>0</v>
      </c>
      <c r="V80" t="str">
        <f>VLOOKUP(C80,Sheet5!$A$2:$J$270,8,FALSE)</f>
        <v>SURABAYA SELATAN</v>
      </c>
    </row>
    <row r="81" spans="2:22" ht="15.5">
      <c r="B81" s="185"/>
      <c r="C81" s="70" t="s">
        <v>127</v>
      </c>
      <c r="D81" s="99">
        <f>'LOOKUP  telda'!E55</f>
        <v>0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0</v>
      </c>
      <c r="I81" s="99">
        <f>'LOOKUP  telda'!AF55</f>
        <v>0</v>
      </c>
      <c r="J81" s="99">
        <f>'LOOKUP  telda'!J55</f>
        <v>0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0</v>
      </c>
      <c r="O81" s="99">
        <f>'LOOKUP  telda'!Y55</f>
        <v>0</v>
      </c>
      <c r="P81" s="99">
        <f>'LOOKUP  telda'!Z55</f>
        <v>0</v>
      </c>
      <c r="Q81" s="40">
        <f t="shared" si="4"/>
        <v>0</v>
      </c>
      <c r="R81" s="40">
        <f t="shared" si="5"/>
        <v>0</v>
      </c>
      <c r="S81" s="40" t="e">
        <f>VLOOKUP(C81,Sheet3!$A$19:$G$81,7,FALSE)</f>
        <v>#N/A</v>
      </c>
      <c r="T81" s="8">
        <f t="shared" si="6"/>
        <v>0</v>
      </c>
      <c r="U81" s="8">
        <f t="shared" si="7"/>
        <v>0</v>
      </c>
      <c r="V81" t="str">
        <f>VLOOKUP(C81,Sheet5!$A$2:$J$270,8,FALSE)</f>
        <v>MADURA</v>
      </c>
    </row>
    <row r="82" spans="2:22" ht="15.5">
      <c r="B82" s="185"/>
      <c r="C82" s="70" t="s">
        <v>128</v>
      </c>
      <c r="D82" s="99">
        <f>'LOOKUP  telda'!E56</f>
        <v>0</v>
      </c>
      <c r="E82" s="99">
        <f>'LOOKUP  telda'!F56+'LOOKUP  telda'!G56+'LOOKUP  telda'!H56</f>
        <v>0</v>
      </c>
      <c r="F82" s="99">
        <f>'LOOKUP  telda'!I56</f>
        <v>0</v>
      </c>
      <c r="G82" s="99">
        <f>'LOOKUP  telda'!AA56</f>
        <v>0</v>
      </c>
      <c r="H82" s="99">
        <f>'LOOKUP  telda'!AE56-'LOOKUP  telda'!AA56</f>
        <v>0</v>
      </c>
      <c r="I82" s="99">
        <f>'LOOKUP  telda'!AF56</f>
        <v>0</v>
      </c>
      <c r="J82" s="99">
        <f>'LOOKUP  telda'!J56</f>
        <v>0</v>
      </c>
      <c r="K82" s="99">
        <f>'LOOKUP  telda'!K56</f>
        <v>0</v>
      </c>
      <c r="L82" s="99">
        <f>'LOOKUP  telda'!L56</f>
        <v>0</v>
      </c>
      <c r="M82" s="99">
        <f>'LOOKUP  telda'!P56</f>
        <v>0</v>
      </c>
      <c r="N82" s="99">
        <f>'LOOKUP  telda'!X56</f>
        <v>0</v>
      </c>
      <c r="O82" s="99">
        <f>'LOOKUP  telda'!Y56</f>
        <v>0</v>
      </c>
      <c r="P82" s="99">
        <f>'LOOKUP  telda'!Z56</f>
        <v>0</v>
      </c>
      <c r="Q82" s="40">
        <f t="shared" si="4"/>
        <v>0</v>
      </c>
      <c r="R82" s="40">
        <f t="shared" si="5"/>
        <v>0</v>
      </c>
      <c r="S82" s="40" t="e">
        <f>VLOOKUP(C82,Sheet3!$A$19:$G$81,7,FALSE)</f>
        <v>#N/A</v>
      </c>
      <c r="T82" s="8">
        <f t="shared" si="6"/>
        <v>0</v>
      </c>
      <c r="U82" s="8">
        <f t="shared" si="7"/>
        <v>0</v>
      </c>
      <c r="V82" t="str">
        <f>VLOOKUP(C82,Sheet5!$A$2:$J$270,8,FALSE)</f>
        <v>SURABAYA UTARA</v>
      </c>
    </row>
    <row r="83" spans="2:22" ht="15.5">
      <c r="B83" s="102" t="s">
        <v>62</v>
      </c>
      <c r="C83" s="102"/>
      <c r="D83" s="26">
        <f>SUM(D33:D82)</f>
        <v>0</v>
      </c>
      <c r="E83" s="26">
        <f>SUM(E33:E82)</f>
        <v>0</v>
      </c>
      <c r="F83" s="26">
        <f>SUM(F33:F82)</f>
        <v>0</v>
      </c>
      <c r="G83" s="26">
        <f t="shared" ref="G83:P83" si="8">SUM(G33:G82)</f>
        <v>0</v>
      </c>
      <c r="H83" s="26">
        <f t="shared" si="8"/>
        <v>0</v>
      </c>
      <c r="I83" s="26">
        <f t="shared" si="8"/>
        <v>0</v>
      </c>
      <c r="J83" s="26">
        <f t="shared" si="8"/>
        <v>0</v>
      </c>
      <c r="K83" s="26">
        <f t="shared" si="8"/>
        <v>0</v>
      </c>
      <c r="L83" s="26">
        <f t="shared" si="8"/>
        <v>0</v>
      </c>
      <c r="M83" s="26">
        <f t="shared" si="8"/>
        <v>0</v>
      </c>
      <c r="N83" s="26">
        <f t="shared" si="8"/>
        <v>0</v>
      </c>
      <c r="O83" s="26">
        <f t="shared" si="8"/>
        <v>0</v>
      </c>
      <c r="P83" s="26">
        <f t="shared" si="8"/>
        <v>0</v>
      </c>
      <c r="Q83" s="41" t="e">
        <f>T83</f>
        <v>#DIV/0!</v>
      </c>
      <c r="R83" s="41" t="e">
        <f>U83</f>
        <v>#DIV/0!</v>
      </c>
      <c r="S83" s="41">
        <f>S15</f>
        <v>0.9261744966442953</v>
      </c>
      <c r="T83" s="8" t="e">
        <f>P83/(D83-F83-K83-I83)</f>
        <v>#DIV/0!</v>
      </c>
      <c r="U83" s="8" t="e">
        <f>P83/(M83+N83+O83+P83)</f>
        <v>#DIV/0!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15" t="str">
        <f ca="1">LAPORAN!C1</f>
        <v xml:space="preserve">PROVISIONING NEW SALES INDIBIZ TR3 JBN MTD H-1  2026-10-04 </v>
      </c>
      <c r="B1" s="115"/>
      <c r="C1" s="115"/>
      <c r="D1" s="115"/>
      <c r="E1" s="115"/>
      <c r="F1" s="115"/>
      <c r="G1" s="115"/>
      <c r="H1" s="115"/>
    </row>
    <row r="2" spans="1:8">
      <c r="A2" s="115" t="str">
        <f ca="1">LAPORAN!C2</f>
        <v xml:space="preserve">PERIODE ORDER &amp; PS : 2026-10-01 to  2026-10-04 </v>
      </c>
      <c r="B2" s="115"/>
      <c r="C2" s="115"/>
      <c r="D2" s="115"/>
      <c r="E2" s="115"/>
      <c r="F2" s="115"/>
      <c r="G2" s="115"/>
      <c r="H2" s="115"/>
    </row>
    <row r="3" spans="1:8">
      <c r="A3" s="115" t="str">
        <f>LAPORAN!C3</f>
        <v>Last update proses : 05-10-2026 09:04:14 WIB (Source: ETL XPRO)</v>
      </c>
      <c r="B3" s="115"/>
      <c r="C3" s="115"/>
      <c r="D3" s="115"/>
      <c r="E3" s="115"/>
      <c r="F3" s="115"/>
      <c r="G3" s="115"/>
      <c r="H3" s="115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30</v>
      </c>
      <c r="C6" s="4">
        <f>HARIAN!I10</f>
        <v>0</v>
      </c>
      <c r="D6" s="4">
        <f>HARIAN!P10</f>
        <v>7</v>
      </c>
      <c r="E6" s="77">
        <f t="shared" ref="E6:E11" si="0">C6/B6</f>
        <v>0</v>
      </c>
      <c r="F6" s="78">
        <f>HARIAN!Q10</f>
        <v>0.23333333333333334</v>
      </c>
      <c r="G6" s="78">
        <f>HARIAN!R10</f>
        <v>0.4375</v>
      </c>
      <c r="H6" s="78">
        <f>HARIAN!S10</f>
        <v>0.7142857142857143</v>
      </c>
    </row>
    <row r="7" spans="1:8">
      <c r="A7" s="76" t="str">
        <f>HARIAN!C11</f>
        <v>JATIM BARAT</v>
      </c>
      <c r="B7" s="4">
        <f>HARIAN!D11</f>
        <v>66</v>
      </c>
      <c r="C7" s="4">
        <f>HARIAN!I11</f>
        <v>2</v>
      </c>
      <c r="D7" s="4">
        <f>HARIAN!P11</f>
        <v>41</v>
      </c>
      <c r="E7" s="77">
        <f t="shared" si="0"/>
        <v>3.0303030303030304E-2</v>
      </c>
      <c r="F7" s="78">
        <f>HARIAN!Q11</f>
        <v>0.65079365079365081</v>
      </c>
      <c r="G7" s="78">
        <f>HARIAN!R11</f>
        <v>0.93181818181818177</v>
      </c>
      <c r="H7" s="78">
        <f>HARIAN!S11</f>
        <v>1</v>
      </c>
    </row>
    <row r="8" spans="1:8">
      <c r="A8" s="76" t="str">
        <f>HARIAN!C12</f>
        <v>JATIM TIMUR</v>
      </c>
      <c r="B8" s="4">
        <f>HARIAN!D12</f>
        <v>33</v>
      </c>
      <c r="C8" s="4">
        <f>HARIAN!I12</f>
        <v>1</v>
      </c>
      <c r="D8" s="4">
        <f>HARIAN!P12</f>
        <v>25</v>
      </c>
      <c r="E8" s="77">
        <f t="shared" si="0"/>
        <v>3.0303030303030304E-2</v>
      </c>
      <c r="F8" s="78">
        <f>HARIAN!Q12</f>
        <v>0.78125</v>
      </c>
      <c r="G8" s="78">
        <f>HARIAN!R12</f>
        <v>0.92592592592592593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82</v>
      </c>
      <c r="C9" s="4">
        <f>HARIAN!I13</f>
        <v>3</v>
      </c>
      <c r="D9" s="4">
        <f>HARIAN!P13</f>
        <v>31</v>
      </c>
      <c r="E9" s="77">
        <f t="shared" si="0"/>
        <v>3.6585365853658534E-2</v>
      </c>
      <c r="F9" s="78">
        <f>HARIAN!Q13</f>
        <v>0.39743589743589741</v>
      </c>
      <c r="G9" s="78">
        <f>HARIAN!R13</f>
        <v>0.54385964912280704</v>
      </c>
      <c r="H9" s="78">
        <f>HARIAN!S13</f>
        <v>0.73529411764705888</v>
      </c>
    </row>
    <row r="10" spans="1:8">
      <c r="A10" s="76" t="str">
        <f>HARIAN!C14</f>
        <v>SURAMADU</v>
      </c>
      <c r="B10" s="4">
        <f>HARIAN!D14</f>
        <v>72</v>
      </c>
      <c r="C10" s="4">
        <f>HARIAN!I14</f>
        <v>1</v>
      </c>
      <c r="D10" s="4">
        <f>HARIAN!P14</f>
        <v>42</v>
      </c>
      <c r="E10" s="77">
        <f t="shared" si="0"/>
        <v>1.3888888888888888E-2</v>
      </c>
      <c r="F10" s="78">
        <f>HARIAN!Q14</f>
        <v>0.6</v>
      </c>
      <c r="G10" s="78">
        <f>HARIAN!R14</f>
        <v>0.77777777777777779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283</v>
      </c>
      <c r="C11" s="80">
        <f>HARIAN!I15</f>
        <v>7</v>
      </c>
      <c r="D11" s="80">
        <f>HARIAN!P15</f>
        <v>146</v>
      </c>
      <c r="E11" s="81">
        <f t="shared" si="0"/>
        <v>2.4734982332155476E-2</v>
      </c>
      <c r="F11" s="82">
        <f>HARIAN!Q15</f>
        <v>0.53479853479853479</v>
      </c>
      <c r="G11" s="82">
        <f>HARIAN!R15</f>
        <v>0.73737373737373735</v>
      </c>
      <c r="H11" s="82">
        <f>HARIAN!S15</f>
        <v>0.9261744966442953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C1" zoomScale="90" zoomScaleNormal="90" workbookViewId="0">
      <selection activeCell="S2" sqref="S2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39" t="str">
        <f ca="1">"PROVISIONING NEW SALES INDIBIZ TR3 JBN MTD H-1  "&amp;TEXT(TODAY()-1,"YYYY-MM-DD ")</f>
        <v xml:space="preserve">PROVISIONING NEW SALES INDIBIZ TR3 JBN MTD H-1  2026-10-04 </v>
      </c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20"/>
    </row>
    <row r="2" spans="3:19" ht="18.5">
      <c r="C2" s="139" t="str">
        <f ca="1">"PERIODE ORDER &amp; PS : 2026-10-01 to  "&amp;TEXT(TODAY()-1,"YYYY-MM-DD ")</f>
        <v xml:space="preserve">PERIODE ORDER &amp; PS : 2026-10-01 to  2026-10-04 </v>
      </c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20"/>
    </row>
    <row r="3" spans="3:19" ht="15.5">
      <c r="C3" s="140" t="s">
        <v>2880</v>
      </c>
      <c r="D3" s="140"/>
      <c r="E3" s="140"/>
      <c r="F3" s="140"/>
      <c r="G3" s="140"/>
      <c r="H3" s="140"/>
      <c r="I3" s="140"/>
      <c r="J3" s="140"/>
      <c r="K3" s="140"/>
      <c r="L3" s="140"/>
      <c r="M3" s="140"/>
      <c r="N3" s="140"/>
      <c r="O3" s="140"/>
      <c r="P3" s="140"/>
      <c r="Q3" s="140"/>
      <c r="R3" s="140"/>
      <c r="S3" s="93"/>
    </row>
    <row r="5" spans="3:19" ht="15" customHeight="1">
      <c r="C5" s="141" t="s">
        <v>1</v>
      </c>
      <c r="D5" s="141" t="s">
        <v>129</v>
      </c>
      <c r="E5" s="141" t="s">
        <v>67</v>
      </c>
      <c r="F5" s="144" t="s">
        <v>12</v>
      </c>
      <c r="G5" s="145"/>
      <c r="H5" s="146"/>
      <c r="I5" s="153" t="s">
        <v>14</v>
      </c>
      <c r="J5" s="156" t="s">
        <v>8</v>
      </c>
      <c r="K5" s="156" t="s">
        <v>9</v>
      </c>
      <c r="L5" s="121" t="s">
        <v>10</v>
      </c>
      <c r="M5" s="122"/>
      <c r="N5" s="122"/>
      <c r="O5" s="123"/>
      <c r="P5" s="130" t="s">
        <v>11</v>
      </c>
      <c r="Q5" s="112" t="s">
        <v>130</v>
      </c>
      <c r="R5" s="112" t="s">
        <v>806</v>
      </c>
      <c r="S5" s="112" t="s">
        <v>807</v>
      </c>
    </row>
    <row r="6" spans="3:19" ht="6.75" customHeight="1">
      <c r="C6" s="142"/>
      <c r="D6" s="142"/>
      <c r="E6" s="142"/>
      <c r="F6" s="147"/>
      <c r="G6" s="148"/>
      <c r="H6" s="149"/>
      <c r="I6" s="154"/>
      <c r="J6" s="157"/>
      <c r="K6" s="157"/>
      <c r="L6" s="124"/>
      <c r="M6" s="125"/>
      <c r="N6" s="125"/>
      <c r="O6" s="126"/>
      <c r="P6" s="131"/>
      <c r="Q6" s="113"/>
      <c r="R6" s="113"/>
      <c r="S6" s="113"/>
    </row>
    <row r="7" spans="3:19" ht="4.5" customHeight="1">
      <c r="C7" s="142"/>
      <c r="D7" s="142"/>
      <c r="E7" s="142"/>
      <c r="F7" s="150"/>
      <c r="G7" s="151"/>
      <c r="H7" s="152"/>
      <c r="I7" s="154"/>
      <c r="J7" s="157"/>
      <c r="K7" s="157"/>
      <c r="L7" s="127"/>
      <c r="M7" s="128"/>
      <c r="N7" s="128"/>
      <c r="O7" s="129"/>
      <c r="P7" s="131"/>
      <c r="Q7" s="113"/>
      <c r="R7" s="113"/>
      <c r="S7" s="113"/>
    </row>
    <row r="8" spans="3:19" ht="45" customHeight="1">
      <c r="C8" s="143"/>
      <c r="D8" s="143"/>
      <c r="E8" s="143"/>
      <c r="F8" s="22" t="s">
        <v>133</v>
      </c>
      <c r="G8" s="22" t="s">
        <v>30</v>
      </c>
      <c r="H8" s="22" t="s">
        <v>69</v>
      </c>
      <c r="I8" s="155"/>
      <c r="J8" s="158"/>
      <c r="K8" s="158"/>
      <c r="L8" s="37" t="s">
        <v>2</v>
      </c>
      <c r="M8" s="37" t="s">
        <v>18</v>
      </c>
      <c r="N8" s="37" t="s">
        <v>20</v>
      </c>
      <c r="O8" s="37" t="s">
        <v>22</v>
      </c>
      <c r="P8" s="132"/>
      <c r="Q8" s="114"/>
      <c r="R8" s="114"/>
      <c r="S8" s="114"/>
    </row>
    <row r="9" spans="3:19" ht="15.5">
      <c r="C9" s="23" t="s">
        <v>34</v>
      </c>
      <c r="D9" s="24">
        <f>HARIAN!D10</f>
        <v>30</v>
      </c>
      <c r="E9" s="24">
        <f>HARIAN!E10</f>
        <v>2</v>
      </c>
      <c r="F9" s="24">
        <f>HARIAN!F10</f>
        <v>0</v>
      </c>
      <c r="G9" s="24">
        <f>HARIAN!G10</f>
        <v>0</v>
      </c>
      <c r="H9" s="24">
        <f>HARIAN!H10</f>
        <v>0</v>
      </c>
      <c r="I9" s="24">
        <f>HARIAN!I10</f>
        <v>0</v>
      </c>
      <c r="J9" s="24">
        <f>HARIAN!J10</f>
        <v>1</v>
      </c>
      <c r="K9" s="24">
        <f>HARIAN!K10</f>
        <v>0</v>
      </c>
      <c r="L9" s="24">
        <f>HARIAN!L10</f>
        <v>10</v>
      </c>
      <c r="M9" s="24">
        <f>HARIAN!M10</f>
        <v>3</v>
      </c>
      <c r="N9" s="24">
        <f>HARIAN!N10</f>
        <v>6</v>
      </c>
      <c r="O9" s="24">
        <f>HARIAN!O10</f>
        <v>0</v>
      </c>
      <c r="P9" s="24">
        <f>HARIAN!P10</f>
        <v>7</v>
      </c>
      <c r="Q9" s="40">
        <f>HARIAN!Q10</f>
        <v>0.23333333333333334</v>
      </c>
      <c r="R9" s="40">
        <f>HARIAN!R10</f>
        <v>0.4375</v>
      </c>
      <c r="S9" s="40">
        <f>HARIAN!S10</f>
        <v>0.7142857142857143</v>
      </c>
    </row>
    <row r="10" spans="3:19" ht="15.5">
      <c r="C10" s="23" t="s">
        <v>38</v>
      </c>
      <c r="D10" s="24">
        <f>HARIAN!D11</f>
        <v>66</v>
      </c>
      <c r="E10" s="24">
        <f>HARIAN!E11</f>
        <v>5</v>
      </c>
      <c r="F10" s="24">
        <f>HARIAN!F11</f>
        <v>1</v>
      </c>
      <c r="G10" s="24">
        <f>HARIAN!G11</f>
        <v>0</v>
      </c>
      <c r="H10" s="24">
        <f>HARIAN!H11</f>
        <v>1</v>
      </c>
      <c r="I10" s="24">
        <f>HARIAN!I11</f>
        <v>2</v>
      </c>
      <c r="J10" s="24">
        <f>HARIAN!J11</f>
        <v>9</v>
      </c>
      <c r="K10" s="24">
        <f>HARIAN!K11</f>
        <v>0</v>
      </c>
      <c r="L10" s="24">
        <f>HARIAN!L11</f>
        <v>3</v>
      </c>
      <c r="M10" s="24">
        <f>HARIAN!M11</f>
        <v>3</v>
      </c>
      <c r="N10" s="24">
        <f>HARIAN!N11</f>
        <v>0</v>
      </c>
      <c r="O10" s="24">
        <f>HARIAN!O11</f>
        <v>0</v>
      </c>
      <c r="P10" s="24">
        <f>HARIAN!P11</f>
        <v>41</v>
      </c>
      <c r="Q10" s="40">
        <f>HARIAN!Q11</f>
        <v>0.65079365079365081</v>
      </c>
      <c r="R10" s="40">
        <f>HARIAN!R11</f>
        <v>0.93181818181818177</v>
      </c>
      <c r="S10" s="40">
        <f>HARIAN!S11</f>
        <v>1</v>
      </c>
    </row>
    <row r="11" spans="3:19" ht="15.5">
      <c r="C11" s="23" t="s">
        <v>42</v>
      </c>
      <c r="D11" s="24">
        <f>HARIAN!D12</f>
        <v>33</v>
      </c>
      <c r="E11" s="24">
        <f>HARIAN!E12</f>
        <v>2</v>
      </c>
      <c r="F11" s="24">
        <f>HARIAN!F12</f>
        <v>0</v>
      </c>
      <c r="G11" s="24">
        <f>HARIAN!G12</f>
        <v>0</v>
      </c>
      <c r="H11" s="24">
        <f>HARIAN!H12</f>
        <v>0</v>
      </c>
      <c r="I11" s="24">
        <f>HARIAN!I12</f>
        <v>1</v>
      </c>
      <c r="J11" s="24">
        <f>HARIAN!J12</f>
        <v>2</v>
      </c>
      <c r="K11" s="24">
        <f>HARIAN!K12</f>
        <v>0</v>
      </c>
      <c r="L11" s="24">
        <f>HARIAN!L12</f>
        <v>1</v>
      </c>
      <c r="M11" s="24">
        <f>HARIAN!M12</f>
        <v>1</v>
      </c>
      <c r="N11" s="24">
        <f>HARIAN!N12</f>
        <v>1</v>
      </c>
      <c r="O11" s="24">
        <f>HARIAN!O12</f>
        <v>0</v>
      </c>
      <c r="P11" s="24">
        <f>HARIAN!P12</f>
        <v>25</v>
      </c>
      <c r="Q11" s="40">
        <f>HARIAN!Q12</f>
        <v>0.78125</v>
      </c>
      <c r="R11" s="40">
        <f>HARIAN!R12</f>
        <v>0.92592592592592593</v>
      </c>
      <c r="S11" s="40">
        <f>HARIAN!S12</f>
        <v>1</v>
      </c>
    </row>
    <row r="12" spans="3:19" ht="15.5">
      <c r="C12" s="23" t="s">
        <v>45</v>
      </c>
      <c r="D12" s="24">
        <f>HARIAN!D13</f>
        <v>82</v>
      </c>
      <c r="E12" s="24">
        <f>HARIAN!E13</f>
        <v>1</v>
      </c>
      <c r="F12" s="24">
        <f>HARIAN!F13</f>
        <v>0</v>
      </c>
      <c r="G12" s="24">
        <f>HARIAN!G13</f>
        <v>0</v>
      </c>
      <c r="H12" s="24">
        <f>HARIAN!H13</f>
        <v>0</v>
      </c>
      <c r="I12" s="24">
        <f>HARIAN!I13</f>
        <v>3</v>
      </c>
      <c r="J12" s="24">
        <f>HARIAN!J13</f>
        <v>8</v>
      </c>
      <c r="K12" s="24">
        <f>HARIAN!K13</f>
        <v>1</v>
      </c>
      <c r="L12" s="24">
        <f>HARIAN!L13</f>
        <v>9</v>
      </c>
      <c r="M12" s="24">
        <f>HARIAN!M13</f>
        <v>19</v>
      </c>
      <c r="N12" s="24">
        <f>HARIAN!N13</f>
        <v>4</v>
      </c>
      <c r="O12" s="24">
        <f>HARIAN!O13</f>
        <v>3</v>
      </c>
      <c r="P12" s="24">
        <f>HARIAN!P13</f>
        <v>31</v>
      </c>
      <c r="Q12" s="40">
        <f>HARIAN!Q13</f>
        <v>0.39743589743589741</v>
      </c>
      <c r="R12" s="40">
        <f>HARIAN!R13</f>
        <v>0.54385964912280704</v>
      </c>
      <c r="S12" s="40">
        <f>HARIAN!S13</f>
        <v>0.73529411764705888</v>
      </c>
    </row>
    <row r="13" spans="3:19" ht="15.5">
      <c r="C13" s="23" t="s">
        <v>55</v>
      </c>
      <c r="D13" s="24">
        <f>HARIAN!D14</f>
        <v>72</v>
      </c>
      <c r="E13" s="24">
        <f>HARIAN!E14</f>
        <v>0</v>
      </c>
      <c r="F13" s="24">
        <f>HARIAN!F14</f>
        <v>0</v>
      </c>
      <c r="G13" s="24">
        <f>HARIAN!G14</f>
        <v>0</v>
      </c>
      <c r="H13" s="24">
        <f>HARIAN!H14</f>
        <v>1</v>
      </c>
      <c r="I13" s="24">
        <f>HARIAN!I14</f>
        <v>1</v>
      </c>
      <c r="J13" s="24">
        <f>HARIAN!J14</f>
        <v>10</v>
      </c>
      <c r="K13" s="24">
        <f>HARIAN!K14</f>
        <v>1</v>
      </c>
      <c r="L13" s="24">
        <f>HARIAN!L14</f>
        <v>5</v>
      </c>
      <c r="M13" s="24">
        <f>HARIAN!M14</f>
        <v>4</v>
      </c>
      <c r="N13" s="24">
        <f>HARIAN!N14</f>
        <v>8</v>
      </c>
      <c r="O13" s="24">
        <f>HARIAN!O14</f>
        <v>0</v>
      </c>
      <c r="P13" s="24">
        <f>HARIAN!P14</f>
        <v>42</v>
      </c>
      <c r="Q13" s="40">
        <f>HARIAN!Q14</f>
        <v>0.6</v>
      </c>
      <c r="R13" s="40">
        <f>HARIAN!R14</f>
        <v>0.77777777777777779</v>
      </c>
      <c r="S13" s="40">
        <f>HARIAN!S14</f>
        <v>1</v>
      </c>
    </row>
    <row r="14" spans="3:19" ht="15.5">
      <c r="C14" s="25" t="s">
        <v>62</v>
      </c>
      <c r="D14" s="26">
        <f>SUM(D9:D13)</f>
        <v>283</v>
      </c>
      <c r="E14" s="26">
        <f>SUM(E9:E13)</f>
        <v>10</v>
      </c>
      <c r="F14" s="26">
        <f>SUM(F9:F13)</f>
        <v>1</v>
      </c>
      <c r="G14" s="26">
        <f t="shared" ref="G14:P14" si="0">SUM(G9:G13)</f>
        <v>0</v>
      </c>
      <c r="H14" s="26">
        <f t="shared" si="0"/>
        <v>2</v>
      </c>
      <c r="I14" s="26">
        <f t="shared" si="0"/>
        <v>7</v>
      </c>
      <c r="J14" s="26">
        <f t="shared" si="0"/>
        <v>30</v>
      </c>
      <c r="K14" s="26">
        <f t="shared" si="0"/>
        <v>2</v>
      </c>
      <c r="L14" s="26">
        <f t="shared" si="0"/>
        <v>28</v>
      </c>
      <c r="M14" s="26">
        <f t="shared" si="0"/>
        <v>30</v>
      </c>
      <c r="N14" s="26">
        <f t="shared" si="0"/>
        <v>19</v>
      </c>
      <c r="O14" s="26">
        <f t="shared" si="0"/>
        <v>3</v>
      </c>
      <c r="P14" s="26">
        <f t="shared" si="0"/>
        <v>146</v>
      </c>
      <c r="Q14" s="41">
        <f>HARIAN!Q15</f>
        <v>0.53479853479853479</v>
      </c>
      <c r="R14" s="41">
        <f>HARIAN!R15</f>
        <v>0.73737373737373735</v>
      </c>
      <c r="S14" s="41">
        <f>HARIAN!S15</f>
        <v>0.9261744966442953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37" t="s">
        <v>72</v>
      </c>
      <c r="E16" s="138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3" t="s">
        <v>73</v>
      </c>
      <c r="E17" s="134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3" t="s">
        <v>74</v>
      </c>
      <c r="E18" s="134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3" t="s">
        <v>75</v>
      </c>
      <c r="E19" s="134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3" t="s">
        <v>76</v>
      </c>
      <c r="E20" s="134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35" t="s">
        <v>138</v>
      </c>
      <c r="E21" s="136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15" t="str">
        <f ca="1">C1</f>
        <v xml:space="preserve">PROVISIONING NEW SALES INDIBIZ TR3 JBN MTD H-1  2026-10-04 </v>
      </c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83"/>
    </row>
    <row r="24" spans="2:21">
      <c r="B24" s="115" t="str">
        <f ca="1">C2</f>
        <v xml:space="preserve">PERIODE ORDER &amp; PS : 2026-10-01 to  2026-10-04 </v>
      </c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83"/>
    </row>
    <row r="25" spans="2:21" ht="18.5">
      <c r="B25" s="116" t="str">
        <f>C3</f>
        <v>Last update proses : 05-10-2026 09:04:14 WIB (Source: ETL XPRO)</v>
      </c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35"/>
    </row>
    <row r="26" spans="2:21" ht="6.75" customHeight="1"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36"/>
    </row>
    <row r="27" spans="2:21" ht="9" customHeight="1"/>
    <row r="28" spans="2:21" ht="15" customHeight="1">
      <c r="B28" s="118" t="s">
        <v>1</v>
      </c>
      <c r="C28" s="118" t="s">
        <v>78</v>
      </c>
      <c r="D28" s="118" t="s">
        <v>129</v>
      </c>
      <c r="E28" s="119" t="s">
        <v>67</v>
      </c>
      <c r="F28" s="120" t="s">
        <v>12</v>
      </c>
      <c r="G28" s="120"/>
      <c r="H28" s="120"/>
      <c r="I28" s="120" t="s">
        <v>14</v>
      </c>
      <c r="J28" s="103" t="s">
        <v>8</v>
      </c>
      <c r="K28" s="103" t="s">
        <v>9</v>
      </c>
      <c r="L28" s="104" t="s">
        <v>10</v>
      </c>
      <c r="M28" s="104"/>
      <c r="N28" s="104"/>
      <c r="O28" s="104"/>
      <c r="P28" s="105" t="s">
        <v>11</v>
      </c>
      <c r="Q28" s="106" t="s">
        <v>130</v>
      </c>
      <c r="R28" s="112" t="s">
        <v>806</v>
      </c>
      <c r="S28" s="112" t="s">
        <v>807</v>
      </c>
    </row>
    <row r="29" spans="2:21" ht="15" customHeight="1">
      <c r="B29" s="118"/>
      <c r="C29" s="118"/>
      <c r="D29" s="118"/>
      <c r="E29" s="119"/>
      <c r="F29" s="120"/>
      <c r="G29" s="120"/>
      <c r="H29" s="120"/>
      <c r="I29" s="120"/>
      <c r="J29" s="103"/>
      <c r="K29" s="103"/>
      <c r="L29" s="104"/>
      <c r="M29" s="104"/>
      <c r="N29" s="104"/>
      <c r="O29" s="104"/>
      <c r="P29" s="105"/>
      <c r="Q29" s="106"/>
      <c r="R29" s="113"/>
      <c r="S29" s="113"/>
    </row>
    <row r="30" spans="2:21" ht="15" customHeight="1">
      <c r="B30" s="118"/>
      <c r="C30" s="118"/>
      <c r="D30" s="118"/>
      <c r="E30" s="119"/>
      <c r="F30" s="120"/>
      <c r="G30" s="120"/>
      <c r="H30" s="120"/>
      <c r="I30" s="120"/>
      <c r="J30" s="103"/>
      <c r="K30" s="103"/>
      <c r="L30" s="104"/>
      <c r="M30" s="104"/>
      <c r="N30" s="104"/>
      <c r="O30" s="104"/>
      <c r="P30" s="105"/>
      <c r="Q30" s="106"/>
      <c r="R30" s="113"/>
      <c r="S30" s="113"/>
    </row>
    <row r="31" spans="2:21" s="19" customFormat="1" ht="48" customHeight="1">
      <c r="B31" s="118"/>
      <c r="C31" s="118"/>
      <c r="D31" s="118"/>
      <c r="E31" s="119"/>
      <c r="F31" s="22" t="s">
        <v>133</v>
      </c>
      <c r="G31" s="22" t="s">
        <v>30</v>
      </c>
      <c r="H31" s="22" t="s">
        <v>69</v>
      </c>
      <c r="I31" s="120"/>
      <c r="J31" s="103"/>
      <c r="K31" s="103"/>
      <c r="L31" s="37" t="s">
        <v>2</v>
      </c>
      <c r="M31" s="37" t="s">
        <v>18</v>
      </c>
      <c r="N31" s="37" t="s">
        <v>20</v>
      </c>
      <c r="O31" s="37" t="s">
        <v>22</v>
      </c>
      <c r="P31" s="105"/>
      <c r="Q31" s="106"/>
      <c r="R31" s="114"/>
      <c r="S31" s="114"/>
    </row>
    <row r="32" spans="2:21" ht="15.5">
      <c r="B32" s="107" t="s">
        <v>34</v>
      </c>
      <c r="C32" s="88" t="s">
        <v>79</v>
      </c>
      <c r="D32" s="65">
        <f>HARIAN!D33</f>
        <v>0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0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0</v>
      </c>
      <c r="P32" s="65">
        <f>HARIAN!P33</f>
        <v>0</v>
      </c>
      <c r="Q32" s="40" t="e">
        <f>T32</f>
        <v>#DIV/0!</v>
      </c>
      <c r="R32" s="40" t="e">
        <f t="shared" ref="R32:R67" si="1">U32</f>
        <v>#DIV/0!</v>
      </c>
      <c r="S32" s="40">
        <f>VLOOKUP(C32,Sheet3!$A$19:$G$81,7,FALSE)</f>
        <v>1</v>
      </c>
      <c r="T32" s="10" t="e">
        <f>P32/(D32-F32-K32-I32)</f>
        <v>#DIV/0!</v>
      </c>
      <c r="U32" s="10" t="e">
        <f>P32/(M32+N32+O32+P32)</f>
        <v>#DIV/0!</v>
      </c>
    </row>
    <row r="33" spans="2:21" ht="15.5">
      <c r="B33" s="107"/>
      <c r="C33" s="88" t="s">
        <v>85</v>
      </c>
      <c r="D33" s="65">
        <f>HARIAN!D34+HARIAN!D39</f>
        <v>0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0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0</v>
      </c>
      <c r="Q33" s="40" t="e">
        <f t="shared" ref="Q33:Q67" si="2">T33</f>
        <v>#DIV/0!</v>
      </c>
      <c r="R33" s="40" t="e">
        <f t="shared" si="1"/>
        <v>#DIV/0!</v>
      </c>
      <c r="S33" s="40">
        <f>VLOOKUP(C33,Sheet3!$A$19:$G$81,7,FALSE)</f>
        <v>1</v>
      </c>
      <c r="T33" s="10" t="e">
        <f t="shared" ref="T33:T67" si="3">P33/(D33-F33-K33-I33)</f>
        <v>#DIV/0!</v>
      </c>
      <c r="U33" s="10" t="e">
        <f t="shared" ref="U33:U67" si="4">P33/(M33+N33+O33+P33)</f>
        <v>#DIV/0!</v>
      </c>
    </row>
    <row r="34" spans="2:21" ht="15.5">
      <c r="B34" s="107"/>
      <c r="C34" s="88" t="s">
        <v>81</v>
      </c>
      <c r="D34" s="65">
        <f>HARIAN!D35</f>
        <v>0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0</v>
      </c>
      <c r="P34" s="65">
        <f>HARIAN!P35</f>
        <v>0</v>
      </c>
      <c r="Q34" s="40" t="e">
        <f t="shared" si="2"/>
        <v>#DIV/0!</v>
      </c>
      <c r="R34" s="40" t="e">
        <f t="shared" si="1"/>
        <v>#DIV/0!</v>
      </c>
      <c r="S34" s="40" t="e">
        <f>VLOOKUP(C34,Sheet3!$A$19:$G$81,7,FALSE)</f>
        <v>#DIV/0!</v>
      </c>
      <c r="T34" s="10" t="e">
        <f t="shared" si="3"/>
        <v>#DIV/0!</v>
      </c>
      <c r="U34" s="10" t="e">
        <f t="shared" si="4"/>
        <v>#DIV/0!</v>
      </c>
    </row>
    <row r="35" spans="2:21" ht="15.5">
      <c r="B35" s="107"/>
      <c r="C35" s="88" t="s">
        <v>82</v>
      </c>
      <c r="D35" s="65">
        <f>HARIAN!D36</f>
        <v>0</v>
      </c>
      <c r="E35" s="65">
        <f>HARIAN!E36</f>
        <v>0</v>
      </c>
      <c r="F35" s="65">
        <f>HARIAN!F36</f>
        <v>0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0</v>
      </c>
      <c r="Q35" s="40" t="e">
        <f t="shared" si="2"/>
        <v>#DIV/0!</v>
      </c>
      <c r="R35" s="40" t="e">
        <f t="shared" si="1"/>
        <v>#DIV/0!</v>
      </c>
      <c r="S35" s="40" t="e">
        <f>VLOOKUP(C35,Sheet3!$A$19:$G$81,7,FALSE)</f>
        <v>#N/A</v>
      </c>
      <c r="T35" s="10" t="e">
        <f t="shared" si="3"/>
        <v>#DIV/0!</v>
      </c>
      <c r="U35" s="10" t="e">
        <f t="shared" si="4"/>
        <v>#DIV/0!</v>
      </c>
    </row>
    <row r="36" spans="2:21" ht="15.5">
      <c r="B36" s="107"/>
      <c r="C36" s="88" t="s">
        <v>83</v>
      </c>
      <c r="D36" s="65">
        <f>HARIAN!D37</f>
        <v>0</v>
      </c>
      <c r="E36" s="65">
        <f>HARIAN!E37</f>
        <v>0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0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0</v>
      </c>
      <c r="Q36" s="40" t="e">
        <f t="shared" si="2"/>
        <v>#DIV/0!</v>
      </c>
      <c r="R36" s="40" t="e">
        <f t="shared" si="1"/>
        <v>#DIV/0!</v>
      </c>
      <c r="S36" s="40">
        <f>VLOOKUP(C36,Sheet3!$A$19:$G$81,7,FALSE)</f>
        <v>0</v>
      </c>
      <c r="T36" s="10" t="e">
        <f t="shared" si="3"/>
        <v>#DIV/0!</v>
      </c>
      <c r="U36" s="10" t="e">
        <f t="shared" si="4"/>
        <v>#DIV/0!</v>
      </c>
    </row>
    <row r="37" spans="2:21" ht="15.5">
      <c r="B37" s="107"/>
      <c r="C37" s="88" t="s">
        <v>84</v>
      </c>
      <c r="D37" s="65">
        <f>HARIAN!D38</f>
        <v>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0</v>
      </c>
      <c r="Q37" s="40" t="e">
        <f t="shared" si="2"/>
        <v>#DIV/0!</v>
      </c>
      <c r="R37" s="40" t="e">
        <f t="shared" si="1"/>
        <v>#DIV/0!</v>
      </c>
      <c r="S37" s="40">
        <f>VLOOKUP(C37,Sheet3!$A$19:$G$81,7,FALSE)</f>
        <v>0.5</v>
      </c>
      <c r="T37" s="10" t="e">
        <f t="shared" si="3"/>
        <v>#DIV/0!</v>
      </c>
      <c r="U37" s="10" t="e">
        <f t="shared" si="4"/>
        <v>#DIV/0!</v>
      </c>
    </row>
    <row r="38" spans="2:21" ht="15.5">
      <c r="B38" s="107"/>
      <c r="C38" s="88" t="s">
        <v>86</v>
      </c>
      <c r="D38" s="65">
        <f>HARIAN!D40</f>
        <v>0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0</v>
      </c>
      <c r="O38" s="65">
        <f>HARIAN!O40</f>
        <v>0</v>
      </c>
      <c r="P38" s="65">
        <f>HARIAN!P40</f>
        <v>0</v>
      </c>
      <c r="Q38" s="40" t="e">
        <f t="shared" si="2"/>
        <v>#DIV/0!</v>
      </c>
      <c r="R38" s="40" t="e">
        <f t="shared" si="1"/>
        <v>#DIV/0!</v>
      </c>
      <c r="S38" s="40">
        <f>VLOOKUP(C38,Sheet3!$A$19:$G$81,7,FALSE)</f>
        <v>1</v>
      </c>
      <c r="T38" s="10" t="e">
        <f t="shared" si="3"/>
        <v>#DIV/0!</v>
      </c>
      <c r="U38" s="10" t="e">
        <f t="shared" si="4"/>
        <v>#DIV/0!</v>
      </c>
    </row>
    <row r="39" spans="2:21" ht="15.5">
      <c r="B39" s="108" t="s">
        <v>38</v>
      </c>
      <c r="C39" s="89" t="s">
        <v>87</v>
      </c>
      <c r="D39" s="67">
        <f>HARIAN!D41</f>
        <v>0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0</v>
      </c>
      <c r="J39" s="67">
        <f>HARIAN!J41</f>
        <v>0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0</v>
      </c>
      <c r="Q39" s="40" t="e">
        <f t="shared" si="2"/>
        <v>#DIV/0!</v>
      </c>
      <c r="R39" s="40" t="e">
        <f t="shared" si="1"/>
        <v>#DIV/0!</v>
      </c>
      <c r="S39" s="40">
        <f>VLOOKUP(C39,Sheet3!$A$19:$G$81,7,FALSE)</f>
        <v>1</v>
      </c>
      <c r="T39" s="10" t="e">
        <f t="shared" ref="T39" si="5">P39/(D39-F39-K39-I39)</f>
        <v>#DIV/0!</v>
      </c>
      <c r="U39" s="10" t="e">
        <f t="shared" ref="U39" si="6">P39/(M39+N39+O39+P39)</f>
        <v>#DIV/0!</v>
      </c>
    </row>
    <row r="40" spans="2:21" ht="15.5">
      <c r="B40" s="108"/>
      <c r="C40" s="89" t="s">
        <v>88</v>
      </c>
      <c r="D40" s="67">
        <f>HARIAN!D42+HARIAN!D52</f>
        <v>0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0</v>
      </c>
      <c r="J40" s="67">
        <f>HARIAN!J42+HARIAN!J52</f>
        <v>0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0</v>
      </c>
      <c r="Q40" s="40" t="e">
        <f t="shared" si="2"/>
        <v>#DIV/0!</v>
      </c>
      <c r="R40" s="40" t="e">
        <f t="shared" si="1"/>
        <v>#DIV/0!</v>
      </c>
      <c r="S40" s="40">
        <f>VLOOKUP(C40,Sheet3!$A$19:$G$81,7,FALSE)</f>
        <v>1</v>
      </c>
      <c r="T40" s="10" t="e">
        <f t="shared" si="3"/>
        <v>#DIV/0!</v>
      </c>
      <c r="U40" s="10" t="e">
        <f t="shared" si="4"/>
        <v>#DIV/0!</v>
      </c>
    </row>
    <row r="41" spans="2:21" ht="15.5">
      <c r="B41" s="108"/>
      <c r="C41" s="89" t="s">
        <v>89</v>
      </c>
      <c r="D41" s="67">
        <f>HARIAN!D43+HARIAN!D51</f>
        <v>0</v>
      </c>
      <c r="E41" s="67">
        <f>HARIAN!E43+HARIAN!E51</f>
        <v>0</v>
      </c>
      <c r="F41" s="67">
        <f>HARIAN!F43+HARIAN!F51</f>
        <v>0</v>
      </c>
      <c r="G41" s="67">
        <f>HARIAN!G43+HARIAN!G51</f>
        <v>0</v>
      </c>
      <c r="H41" s="67">
        <f>HARIAN!H43+HARIAN!H51</f>
        <v>0</v>
      </c>
      <c r="I41" s="67">
        <f>HARIAN!I43+HARIAN!I51</f>
        <v>0</v>
      </c>
      <c r="J41" s="67">
        <f>HARIAN!J43+HARIAN!J51</f>
        <v>0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0</v>
      </c>
      <c r="Q41" s="40" t="e">
        <f t="shared" si="2"/>
        <v>#DIV/0!</v>
      </c>
      <c r="R41" s="40" t="e">
        <f t="shared" si="1"/>
        <v>#DIV/0!</v>
      </c>
      <c r="S41" s="40">
        <f>VLOOKUP(C41,Sheet3!$A$19:$G$81,7,FALSE)</f>
        <v>1</v>
      </c>
      <c r="T41" s="10" t="e">
        <f t="shared" si="3"/>
        <v>#DIV/0!</v>
      </c>
      <c r="U41" s="10" t="e">
        <f t="shared" si="4"/>
        <v>#DIV/0!</v>
      </c>
    </row>
    <row r="42" spans="2:21" ht="15.5">
      <c r="B42" s="108"/>
      <c r="C42" s="89" t="s">
        <v>90</v>
      </c>
      <c r="D42" s="67">
        <f>HARIAN!D44</f>
        <v>0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0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0</v>
      </c>
      <c r="Q42" s="40" t="e">
        <f t="shared" si="2"/>
        <v>#DIV/0!</v>
      </c>
      <c r="R42" s="40" t="e">
        <f t="shared" si="1"/>
        <v>#DIV/0!</v>
      </c>
      <c r="S42" s="40">
        <f>VLOOKUP(C42,Sheet3!$A$19:$G$81,7,FALSE)</f>
        <v>1</v>
      </c>
      <c r="T42" s="10" t="e">
        <f t="shared" si="3"/>
        <v>#DIV/0!</v>
      </c>
      <c r="U42" s="10" t="e">
        <f t="shared" si="4"/>
        <v>#DIV/0!</v>
      </c>
    </row>
    <row r="43" spans="2:21" ht="15.5">
      <c r="B43" s="108"/>
      <c r="C43" s="89" t="s">
        <v>247</v>
      </c>
      <c r="D43" s="67">
        <f>HARIAN!D45</f>
        <v>0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0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0</v>
      </c>
      <c r="Q43" s="40" t="e">
        <f t="shared" si="2"/>
        <v>#DIV/0!</v>
      </c>
      <c r="R43" s="40" t="e">
        <f t="shared" si="1"/>
        <v>#DIV/0!</v>
      </c>
      <c r="S43" s="40">
        <f>VLOOKUP(C43,Sheet3!$A$19:$G$81,7,FALSE)</f>
        <v>1</v>
      </c>
      <c r="T43" s="10" t="e">
        <f t="shared" si="3"/>
        <v>#DIV/0!</v>
      </c>
      <c r="U43" s="10" t="e">
        <f t="shared" si="4"/>
        <v>#DIV/0!</v>
      </c>
    </row>
    <row r="44" spans="2:21" ht="15.5">
      <c r="B44" s="108"/>
      <c r="C44" s="89" t="s">
        <v>92</v>
      </c>
      <c r="D44" s="67">
        <f>HARIAN!D46</f>
        <v>0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0</v>
      </c>
      <c r="Q44" s="40" t="e">
        <f t="shared" si="2"/>
        <v>#DIV/0!</v>
      </c>
      <c r="R44" s="40" t="e">
        <f t="shared" si="1"/>
        <v>#DIV/0!</v>
      </c>
      <c r="S44" s="40">
        <f>VLOOKUP(C44,Sheet3!$A$19:$G$81,7,FALSE)</f>
        <v>1</v>
      </c>
      <c r="T44" s="10" t="e">
        <f t="shared" si="3"/>
        <v>#DIV/0!</v>
      </c>
      <c r="U44" s="10" t="e">
        <f t="shared" si="4"/>
        <v>#DIV/0!</v>
      </c>
    </row>
    <row r="45" spans="2:21" ht="15.5">
      <c r="B45" s="108"/>
      <c r="C45" s="89" t="s">
        <v>93</v>
      </c>
      <c r="D45" s="67">
        <f>HARIAN!D47</f>
        <v>0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0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0</v>
      </c>
      <c r="Q45" s="40" t="e">
        <f t="shared" si="2"/>
        <v>#DIV/0!</v>
      </c>
      <c r="R45" s="40" t="e">
        <f t="shared" si="1"/>
        <v>#DIV/0!</v>
      </c>
      <c r="S45" s="40">
        <f>VLOOKUP(C45,Sheet3!$A$19:$G$81,7,FALSE)</f>
        <v>1</v>
      </c>
      <c r="T45" s="10" t="e">
        <f t="shared" si="3"/>
        <v>#DIV/0!</v>
      </c>
      <c r="U45" s="10" t="e">
        <f t="shared" si="4"/>
        <v>#DIV/0!</v>
      </c>
    </row>
    <row r="46" spans="2:21" ht="15.5">
      <c r="B46" s="108"/>
      <c r="C46" s="89" t="s">
        <v>92</v>
      </c>
      <c r="D46" s="67">
        <f>HARIAN!D48</f>
        <v>0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0</v>
      </c>
      <c r="Q46" s="40" t="e">
        <f t="shared" si="2"/>
        <v>#DIV/0!</v>
      </c>
      <c r="R46" s="40" t="e">
        <f t="shared" si="1"/>
        <v>#DIV/0!</v>
      </c>
      <c r="S46" s="40">
        <f>VLOOKUP(C46,Sheet3!$A$19:$G$81,7,FALSE)</f>
        <v>1</v>
      </c>
      <c r="T46" s="10" t="e">
        <f t="shared" si="3"/>
        <v>#DIV/0!</v>
      </c>
      <c r="U46" s="10" t="e">
        <f t="shared" si="4"/>
        <v>#DIV/0!</v>
      </c>
    </row>
    <row r="47" spans="2:21" ht="15.5">
      <c r="B47" s="108"/>
      <c r="C47" s="89" t="s">
        <v>95</v>
      </c>
      <c r="D47" s="67">
        <f>HARIAN!D49+HARIAN!D50</f>
        <v>0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0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0</v>
      </c>
      <c r="Q47" s="40" t="e">
        <f t="shared" si="2"/>
        <v>#DIV/0!</v>
      </c>
      <c r="R47" s="40" t="e">
        <f t="shared" si="1"/>
        <v>#DIV/0!</v>
      </c>
      <c r="S47" s="40">
        <f>VLOOKUP(C47,Sheet3!$A$19:$G$81,7,FALSE)</f>
        <v>1</v>
      </c>
      <c r="T47" s="10" t="e">
        <f t="shared" si="3"/>
        <v>#DIV/0!</v>
      </c>
      <c r="U47" s="10" t="e">
        <f t="shared" si="4"/>
        <v>#DIV/0!</v>
      </c>
    </row>
    <row r="48" spans="2:21" ht="15.5">
      <c r="B48" s="109" t="s">
        <v>42</v>
      </c>
      <c r="C48" s="90" t="s">
        <v>99</v>
      </c>
      <c r="D48" s="63">
        <f>HARIAN!D53+HARIAN!D62</f>
        <v>0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0</v>
      </c>
      <c r="Q48" s="40" t="e">
        <f t="shared" si="2"/>
        <v>#DIV/0!</v>
      </c>
      <c r="R48" s="40" t="e">
        <f t="shared" si="1"/>
        <v>#DIV/0!</v>
      </c>
      <c r="S48" s="40">
        <f>VLOOKUP(C48,Sheet3!$A$19:$G$81,7,FALSE)</f>
        <v>1</v>
      </c>
      <c r="T48" s="10" t="e">
        <f t="shared" si="3"/>
        <v>#DIV/0!</v>
      </c>
      <c r="U48" s="10" t="e">
        <f t="shared" si="4"/>
        <v>#DIV/0!</v>
      </c>
    </row>
    <row r="49" spans="2:21" ht="15.5">
      <c r="B49" s="109"/>
      <c r="C49" s="90" t="s">
        <v>102</v>
      </c>
      <c r="D49" s="63">
        <f>HARIAN!D54+HARIAN!D56</f>
        <v>0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0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0</v>
      </c>
      <c r="Q49" s="40" t="e">
        <f t="shared" si="2"/>
        <v>#DIV/0!</v>
      </c>
      <c r="R49" s="40" t="e">
        <f t="shared" si="1"/>
        <v>#DIV/0!</v>
      </c>
      <c r="S49" s="40">
        <f>VLOOKUP(C49,Sheet3!$A$19:$G$81,7,FALSE)</f>
        <v>1</v>
      </c>
      <c r="T49" s="10" t="e">
        <f t="shared" si="3"/>
        <v>#DIV/0!</v>
      </c>
      <c r="U49" s="10" t="e">
        <f t="shared" si="4"/>
        <v>#DIV/0!</v>
      </c>
    </row>
    <row r="50" spans="2:21" ht="15.5">
      <c r="B50" s="109"/>
      <c r="C50" s="90" t="s">
        <v>232</v>
      </c>
      <c r="D50" s="63">
        <f>HARIAN!D55</f>
        <v>0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0</v>
      </c>
      <c r="I50" s="63">
        <f>HARIAN!I55</f>
        <v>0</v>
      </c>
      <c r="J50" s="63">
        <f>HARIAN!J55</f>
        <v>0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0</v>
      </c>
      <c r="Q50" s="40" t="e">
        <f t="shared" si="2"/>
        <v>#DIV/0!</v>
      </c>
      <c r="R50" s="40" t="e">
        <f t="shared" si="1"/>
        <v>#DIV/0!</v>
      </c>
      <c r="S50" s="40">
        <f>VLOOKUP(C50,Sheet3!$A$19:$G$81,7,FALSE)</f>
        <v>1</v>
      </c>
      <c r="T50" s="10" t="e">
        <f t="shared" si="3"/>
        <v>#DIV/0!</v>
      </c>
      <c r="U50" s="10" t="e">
        <f t="shared" si="4"/>
        <v>#DIV/0!</v>
      </c>
    </row>
    <row r="51" spans="2:21" ht="15.5">
      <c r="B51" s="109"/>
      <c r="C51" s="90" t="s">
        <v>105</v>
      </c>
      <c r="D51" s="63">
        <f>HARIAN!D57+HARIAN!D59</f>
        <v>0</v>
      </c>
      <c r="E51" s="63">
        <f>HARIAN!E57+HARIAN!E59</f>
        <v>0</v>
      </c>
      <c r="F51" s="63">
        <f>HARIAN!F57+HARIAN!F59</f>
        <v>0</v>
      </c>
      <c r="G51" s="63">
        <f>HARIAN!G57+HARIAN!G59</f>
        <v>0</v>
      </c>
      <c r="H51" s="63">
        <f>HARIAN!H57+HARIAN!H59</f>
        <v>0</v>
      </c>
      <c r="I51" s="63">
        <f>HARIAN!I57+HARIAN!I59</f>
        <v>0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0</v>
      </c>
      <c r="Q51" s="40" t="e">
        <f t="shared" si="2"/>
        <v>#DIV/0!</v>
      </c>
      <c r="R51" s="40" t="e">
        <f t="shared" si="1"/>
        <v>#DIV/0!</v>
      </c>
      <c r="S51" s="40">
        <f>VLOOKUP(C51,Sheet3!$A$19:$G$81,7,FALSE)</f>
        <v>1</v>
      </c>
      <c r="T51" s="10" t="e">
        <f t="shared" si="3"/>
        <v>#DIV/0!</v>
      </c>
      <c r="U51" s="10" t="e">
        <f t="shared" si="4"/>
        <v>#DIV/0!</v>
      </c>
    </row>
    <row r="52" spans="2:21" ht="15.5">
      <c r="B52" s="109"/>
      <c r="C52" s="90" t="s">
        <v>106</v>
      </c>
      <c r="D52" s="63">
        <f>HARIAN!D60</f>
        <v>0</v>
      </c>
      <c r="E52" s="63">
        <f>HARIAN!E60</f>
        <v>0</v>
      </c>
      <c r="F52" s="63">
        <f>HARIAN!F60</f>
        <v>0</v>
      </c>
      <c r="G52" s="63">
        <f>HARIAN!G60</f>
        <v>0</v>
      </c>
      <c r="H52" s="63">
        <f>HARIAN!H60</f>
        <v>0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0</v>
      </c>
      <c r="Q52" s="40" t="e">
        <f t="shared" si="2"/>
        <v>#DIV/0!</v>
      </c>
      <c r="R52" s="40" t="e">
        <f t="shared" si="1"/>
        <v>#DIV/0!</v>
      </c>
      <c r="S52" s="40">
        <f>VLOOKUP(C52,Sheet3!$A$19:$G$81,7,FALSE)</f>
        <v>1</v>
      </c>
      <c r="T52" s="10" t="e">
        <f t="shared" si="3"/>
        <v>#DIV/0!</v>
      </c>
      <c r="U52" s="10" t="e">
        <f t="shared" si="4"/>
        <v>#DIV/0!</v>
      </c>
    </row>
    <row r="53" spans="2:21" ht="15.5">
      <c r="B53" s="109"/>
      <c r="C53" s="90" t="s">
        <v>107</v>
      </c>
      <c r="D53" s="63">
        <f>HARIAN!D61+HARIAN!D58</f>
        <v>0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0</v>
      </c>
      <c r="Q53" s="40" t="e">
        <f t="shared" si="2"/>
        <v>#DIV/0!</v>
      </c>
      <c r="R53" s="40" t="e">
        <f t="shared" si="1"/>
        <v>#DIV/0!</v>
      </c>
      <c r="S53" s="40">
        <f>VLOOKUP(C53,Sheet3!$A$19:$G$81,7,FALSE)</f>
        <v>1</v>
      </c>
      <c r="T53" s="10" t="e">
        <f t="shared" si="3"/>
        <v>#DIV/0!</v>
      </c>
      <c r="U53" s="10" t="e">
        <f t="shared" si="4"/>
        <v>#DIV/0!</v>
      </c>
    </row>
    <row r="54" spans="2:21" ht="15.5">
      <c r="B54" s="110" t="s">
        <v>70</v>
      </c>
      <c r="C54" s="91" t="s">
        <v>109</v>
      </c>
      <c r="D54" s="69">
        <f>HARIAN!D63</f>
        <v>0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0</v>
      </c>
      <c r="Q54" s="40" t="e">
        <f t="shared" si="2"/>
        <v>#DIV/0!</v>
      </c>
      <c r="R54" s="40" t="e">
        <f t="shared" si="1"/>
        <v>#DIV/0!</v>
      </c>
      <c r="S54" s="40">
        <f>VLOOKUP(C54,Sheet3!$A$19:$G$81,7,FALSE)</f>
        <v>1</v>
      </c>
      <c r="T54" s="10" t="e">
        <f t="shared" si="3"/>
        <v>#DIV/0!</v>
      </c>
      <c r="U54" s="10" t="e">
        <f t="shared" si="4"/>
        <v>#DIV/0!</v>
      </c>
    </row>
    <row r="55" spans="2:21" ht="15.5">
      <c r="B55" s="110"/>
      <c r="C55" s="91" t="s">
        <v>110</v>
      </c>
      <c r="D55" s="69">
        <f>HARIAN!D64</f>
        <v>0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0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0</v>
      </c>
      <c r="O55" s="69">
        <f>HARIAN!O64</f>
        <v>0</v>
      </c>
      <c r="P55" s="69">
        <f>HARIAN!P64</f>
        <v>0</v>
      </c>
      <c r="Q55" s="40" t="e">
        <f t="shared" si="2"/>
        <v>#DIV/0!</v>
      </c>
      <c r="R55" s="40" t="e">
        <f t="shared" si="1"/>
        <v>#DIV/0!</v>
      </c>
      <c r="S55" s="40">
        <f>VLOOKUP(C55,Sheet3!$A$19:$G$81,7,FALSE)</f>
        <v>0.33333333333333331</v>
      </c>
      <c r="T55" s="10" t="e">
        <f t="shared" si="3"/>
        <v>#DIV/0!</v>
      </c>
      <c r="U55" s="10" t="e">
        <f t="shared" si="4"/>
        <v>#DIV/0!</v>
      </c>
    </row>
    <row r="56" spans="2:21" ht="15.5">
      <c r="B56" s="110"/>
      <c r="C56" s="91" t="s">
        <v>111</v>
      </c>
      <c r="D56" s="69">
        <f>HARIAN!D65</f>
        <v>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0</v>
      </c>
      <c r="Q56" s="40" t="e">
        <f t="shared" si="2"/>
        <v>#DIV/0!</v>
      </c>
      <c r="R56" s="40" t="e">
        <f t="shared" si="1"/>
        <v>#DIV/0!</v>
      </c>
      <c r="S56" s="40">
        <f>VLOOKUP(C56,Sheet3!$A$19:$G$81,7,FALSE)</f>
        <v>1</v>
      </c>
      <c r="T56" s="10" t="e">
        <f t="shared" si="3"/>
        <v>#DIV/0!</v>
      </c>
      <c r="U56" s="10" t="e">
        <f t="shared" si="4"/>
        <v>#DIV/0!</v>
      </c>
    </row>
    <row r="57" spans="2:21" ht="15.5">
      <c r="B57" s="110"/>
      <c r="C57" s="91" t="s">
        <v>210</v>
      </c>
      <c r="D57" s="69">
        <f>HARIAN!D66</f>
        <v>0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0</v>
      </c>
      <c r="J57" s="69">
        <f>HARIAN!J66</f>
        <v>0</v>
      </c>
      <c r="K57" s="69">
        <f>HARIAN!K66</f>
        <v>0</v>
      </c>
      <c r="L57" s="69">
        <f>HARIAN!L66</f>
        <v>0</v>
      </c>
      <c r="M57" s="69">
        <f>HARIAN!M66</f>
        <v>0</v>
      </c>
      <c r="N57" s="69">
        <f>HARIAN!N66</f>
        <v>0</v>
      </c>
      <c r="O57" s="69">
        <f>HARIAN!O66</f>
        <v>0</v>
      </c>
      <c r="P57" s="69">
        <f>HARIAN!P66</f>
        <v>0</v>
      </c>
      <c r="Q57" s="40" t="e">
        <f t="shared" si="2"/>
        <v>#DIV/0!</v>
      </c>
      <c r="R57" s="40" t="e">
        <f t="shared" si="1"/>
        <v>#DIV/0!</v>
      </c>
      <c r="S57" s="40">
        <f>VLOOKUP(C57,Sheet3!$A$19:$G$81,7,FALSE)</f>
        <v>0.5</v>
      </c>
      <c r="T57" s="10" t="e">
        <f t="shared" si="3"/>
        <v>#DIV/0!</v>
      </c>
      <c r="U57" s="10" t="e">
        <f t="shared" si="4"/>
        <v>#DIV/0!</v>
      </c>
    </row>
    <row r="58" spans="2:21" ht="15.5">
      <c r="B58" s="110"/>
      <c r="C58" s="91" t="s">
        <v>113</v>
      </c>
      <c r="D58" s="69">
        <f>HARIAN!D67</f>
        <v>0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0</v>
      </c>
      <c r="N58" s="69">
        <f>HARIAN!N67</f>
        <v>0</v>
      </c>
      <c r="O58" s="69">
        <f>HARIAN!O67</f>
        <v>0</v>
      </c>
      <c r="P58" s="69">
        <f>HARIAN!P67</f>
        <v>0</v>
      </c>
      <c r="Q58" s="40" t="e">
        <f t="shared" si="2"/>
        <v>#DIV/0!</v>
      </c>
      <c r="R58" s="40" t="e">
        <f t="shared" si="1"/>
        <v>#DIV/0!</v>
      </c>
      <c r="S58" s="40">
        <f>VLOOKUP(C58,Sheet3!$A$19:$G$81,7,FALSE)</f>
        <v>1</v>
      </c>
      <c r="T58" s="10" t="e">
        <f t="shared" si="3"/>
        <v>#DIV/0!</v>
      </c>
      <c r="U58" s="10" t="e">
        <f t="shared" si="4"/>
        <v>#DIV/0!</v>
      </c>
    </row>
    <row r="59" spans="2:21" ht="15.5">
      <c r="B59" s="110"/>
      <c r="C59" s="91" t="s">
        <v>114</v>
      </c>
      <c r="D59" s="69">
        <f>HARIAN!D68</f>
        <v>0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0</v>
      </c>
      <c r="Q59" s="40" t="e">
        <f t="shared" si="2"/>
        <v>#DIV/0!</v>
      </c>
      <c r="R59" s="40" t="e">
        <f t="shared" si="1"/>
        <v>#DIV/0!</v>
      </c>
      <c r="S59" s="40">
        <f>VLOOKUP(C59,Sheet3!$A$19:$G$81,7,FALSE)</f>
        <v>1</v>
      </c>
      <c r="T59" s="10" t="e">
        <f t="shared" si="3"/>
        <v>#DIV/0!</v>
      </c>
      <c r="U59" s="10" t="e">
        <f t="shared" si="4"/>
        <v>#DIV/0!</v>
      </c>
    </row>
    <row r="60" spans="2:21" ht="15.5">
      <c r="B60" s="110"/>
      <c r="C60" s="91" t="s">
        <v>755</v>
      </c>
      <c r="D60" s="69">
        <f>HARIAN!D69+HARIAN!D70</f>
        <v>0</v>
      </c>
      <c r="E60" s="69">
        <f>HARIAN!E69+HARIAN!E70</f>
        <v>0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0</v>
      </c>
      <c r="J60" s="69">
        <f>HARIAN!J69+HARIAN!J70</f>
        <v>0</v>
      </c>
      <c r="K60" s="69">
        <f>HARIAN!K69+HARIAN!K70</f>
        <v>0</v>
      </c>
      <c r="L60" s="69">
        <f>HARIAN!L69+HARIAN!L70</f>
        <v>0</v>
      </c>
      <c r="M60" s="69">
        <f>HARIAN!M69+HARIAN!M70</f>
        <v>0</v>
      </c>
      <c r="N60" s="69">
        <f>HARIAN!N69+HARIAN!N70</f>
        <v>0</v>
      </c>
      <c r="O60" s="69">
        <f>HARIAN!O69+HARIAN!O70</f>
        <v>0</v>
      </c>
      <c r="P60" s="69">
        <f>HARIAN!P69+HARIAN!P70</f>
        <v>0</v>
      </c>
      <c r="Q60" s="40" t="e">
        <f t="shared" si="2"/>
        <v>#DIV/0!</v>
      </c>
      <c r="R60" s="40" t="e">
        <f t="shared" si="1"/>
        <v>#DIV/0!</v>
      </c>
      <c r="S60" s="40">
        <f>VLOOKUP(C60,Sheet3!$A$19:$G$81,7,FALSE)</f>
        <v>1</v>
      </c>
      <c r="T60" s="10" t="e">
        <f t="shared" si="3"/>
        <v>#DIV/0!</v>
      </c>
      <c r="U60" s="10" t="e">
        <f t="shared" si="4"/>
        <v>#DIV/0!</v>
      </c>
    </row>
    <row r="61" spans="2:21" ht="15.5">
      <c r="B61" s="110"/>
      <c r="C61" s="91" t="s">
        <v>117</v>
      </c>
      <c r="D61" s="69">
        <f>HARIAN!D71</f>
        <v>0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0</v>
      </c>
      <c r="N61" s="69">
        <f>HARIAN!N71</f>
        <v>0</v>
      </c>
      <c r="O61" s="69">
        <f>HARIAN!O71</f>
        <v>0</v>
      </c>
      <c r="P61" s="69">
        <f>HARIAN!P71</f>
        <v>0</v>
      </c>
      <c r="Q61" s="40" t="e">
        <f t="shared" si="2"/>
        <v>#DIV/0!</v>
      </c>
      <c r="R61" s="40" t="e">
        <f t="shared" si="1"/>
        <v>#DIV/0!</v>
      </c>
      <c r="S61" s="40" t="e">
        <f>VLOOKUP(C61,Sheet3!$A$19:$G$81,7,FALSE)</f>
        <v>#DIV/0!</v>
      </c>
      <c r="T61" s="10" t="e">
        <f t="shared" si="3"/>
        <v>#DIV/0!</v>
      </c>
      <c r="U61" s="10" t="e">
        <f t="shared" si="4"/>
        <v>#DIV/0!</v>
      </c>
    </row>
    <row r="62" spans="2:21" ht="15.5">
      <c r="B62" s="110"/>
      <c r="C62" s="91" t="s">
        <v>118</v>
      </c>
      <c r="D62" s="69">
        <f>HARIAN!D72</f>
        <v>0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0</v>
      </c>
      <c r="J62" s="69">
        <f>HARIAN!J72</f>
        <v>0</v>
      </c>
      <c r="K62" s="69">
        <f>HARIAN!K72</f>
        <v>0</v>
      </c>
      <c r="L62" s="69">
        <f>HARIAN!L72</f>
        <v>0</v>
      </c>
      <c r="M62" s="69">
        <f>HARIAN!M72</f>
        <v>0</v>
      </c>
      <c r="N62" s="69">
        <f>HARIAN!N72</f>
        <v>0</v>
      </c>
      <c r="O62" s="69">
        <f>HARIAN!O72</f>
        <v>0</v>
      </c>
      <c r="P62" s="69">
        <f>HARIAN!P72</f>
        <v>0</v>
      </c>
      <c r="Q62" s="40" t="e">
        <f t="shared" si="2"/>
        <v>#DIV/0!</v>
      </c>
      <c r="R62" s="40" t="e">
        <f t="shared" si="1"/>
        <v>#DIV/0!</v>
      </c>
      <c r="S62" s="40">
        <f>VLOOKUP(C62,Sheet3!$A$19:$G$81,7,FALSE)</f>
        <v>0.53846153846153844</v>
      </c>
      <c r="T62" s="10" t="e">
        <f t="shared" si="3"/>
        <v>#DIV/0!</v>
      </c>
      <c r="U62" s="10" t="e">
        <f t="shared" si="4"/>
        <v>#DIV/0!</v>
      </c>
    </row>
    <row r="63" spans="2:21" ht="15.5">
      <c r="B63" s="110"/>
      <c r="C63" s="91" t="s">
        <v>120</v>
      </c>
      <c r="D63" s="69">
        <f>HARIAN!D73+HARIAN!D74</f>
        <v>0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0</v>
      </c>
      <c r="Q63" s="40" t="e">
        <f t="shared" si="2"/>
        <v>#DIV/0!</v>
      </c>
      <c r="R63" s="40" t="e">
        <f t="shared" si="1"/>
        <v>#DIV/0!</v>
      </c>
      <c r="S63" s="40">
        <f>VLOOKUP(C63,Sheet3!$A$19:$G$81,7,FALSE)</f>
        <v>1</v>
      </c>
      <c r="T63" s="10" t="e">
        <f t="shared" si="3"/>
        <v>#DIV/0!</v>
      </c>
      <c r="U63" s="10" t="e">
        <f t="shared" si="4"/>
        <v>#DIV/0!</v>
      </c>
    </row>
    <row r="64" spans="2:21" ht="15.5">
      <c r="B64" s="111" t="s">
        <v>55</v>
      </c>
      <c r="C64" s="92" t="s">
        <v>227</v>
      </c>
      <c r="D64" s="71">
        <f>HARIAN!D75+HARIAN!D81</f>
        <v>0</v>
      </c>
      <c r="E64" s="71">
        <f>HARIAN!E75+HARIAN!E81</f>
        <v>0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0</v>
      </c>
      <c r="J64" s="71">
        <f>HARIAN!J75+HARIAN!J81</f>
        <v>0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0</v>
      </c>
      <c r="O64" s="71">
        <f>HARIAN!O75+HARIAN!O81</f>
        <v>0</v>
      </c>
      <c r="P64" s="71">
        <f>HARIAN!P75+HARIAN!P81</f>
        <v>0</v>
      </c>
      <c r="Q64" s="40" t="e">
        <f t="shared" si="2"/>
        <v>#DIV/0!</v>
      </c>
      <c r="R64" s="40" t="e">
        <f t="shared" si="1"/>
        <v>#DIV/0!</v>
      </c>
      <c r="S64" s="40">
        <f>VLOOKUP(C64,Sheet3!$A$19:$G$81,7,FALSE)</f>
        <v>1</v>
      </c>
      <c r="T64" s="10" t="e">
        <f t="shared" si="3"/>
        <v>#DIV/0!</v>
      </c>
      <c r="U64" s="10" t="e">
        <f t="shared" si="4"/>
        <v>#DIV/0!</v>
      </c>
    </row>
    <row r="65" spans="2:21" ht="15.5">
      <c r="B65" s="111"/>
      <c r="C65" s="92" t="s">
        <v>122</v>
      </c>
      <c r="D65" s="71">
        <f>HARIAN!D76+HARIAN!D79</f>
        <v>0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0</v>
      </c>
      <c r="J65" s="71">
        <f>HARIAN!J76+HARIAN!J79</f>
        <v>0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0</v>
      </c>
      <c r="O65" s="71">
        <f>HARIAN!O76+HARIAN!O79</f>
        <v>0</v>
      </c>
      <c r="P65" s="71">
        <f>HARIAN!P76+HARIAN!P79</f>
        <v>0</v>
      </c>
      <c r="Q65" s="40" t="e">
        <f t="shared" si="2"/>
        <v>#DIV/0!</v>
      </c>
      <c r="R65" s="40" t="e">
        <f t="shared" si="1"/>
        <v>#DIV/0!</v>
      </c>
      <c r="S65" s="40">
        <f>VLOOKUP(C65,Sheet3!$A$19:$G$81,7,FALSE)</f>
        <v>1</v>
      </c>
      <c r="T65" s="10" t="e">
        <f t="shared" si="3"/>
        <v>#DIV/0!</v>
      </c>
      <c r="U65" s="10" t="e">
        <f t="shared" si="4"/>
        <v>#DIV/0!</v>
      </c>
    </row>
    <row r="66" spans="2:21" ht="15.5">
      <c r="B66" s="111"/>
      <c r="C66" s="92" t="s">
        <v>637</v>
      </c>
      <c r="D66" s="71">
        <f>HARIAN!D77+HARIAN!D82</f>
        <v>0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0</v>
      </c>
      <c r="J66" s="71">
        <f>HARIAN!J77+HARIAN!J82</f>
        <v>0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0</v>
      </c>
      <c r="O66" s="71">
        <f>HARIAN!O77+HARIAN!O82</f>
        <v>0</v>
      </c>
      <c r="P66" s="71">
        <f>HARIAN!P77+HARIAN!P82</f>
        <v>0</v>
      </c>
      <c r="Q66" s="40" t="e">
        <f t="shared" si="2"/>
        <v>#DIV/0!</v>
      </c>
      <c r="R66" s="40" t="e">
        <f t="shared" si="1"/>
        <v>#DIV/0!</v>
      </c>
      <c r="S66" s="40">
        <f>VLOOKUP(C66,Sheet3!$A$19:$G$81,7,FALSE)</f>
        <v>1</v>
      </c>
      <c r="T66" s="10" t="e">
        <f t="shared" si="3"/>
        <v>#DIV/0!</v>
      </c>
      <c r="U66" s="10" t="e">
        <f t="shared" si="4"/>
        <v>#DIV/0!</v>
      </c>
    </row>
    <row r="67" spans="2:21" ht="15.5">
      <c r="B67" s="111"/>
      <c r="C67" s="92" t="s">
        <v>640</v>
      </c>
      <c r="D67" s="71">
        <f>HARIAN!D78+HARIAN!D80</f>
        <v>0</v>
      </c>
      <c r="E67" s="71">
        <f>HARIAN!E78+HARIAN!E80</f>
        <v>0</v>
      </c>
      <c r="F67" s="71">
        <f>HARIAN!F78+HARIAN!F80</f>
        <v>0</v>
      </c>
      <c r="G67" s="71">
        <f>HARIAN!G78+HARIAN!G80</f>
        <v>0</v>
      </c>
      <c r="H67" s="71">
        <f>HARIAN!H78+HARIAN!H80</f>
        <v>0</v>
      </c>
      <c r="I67" s="71">
        <f>HARIAN!I78+HARIAN!I80</f>
        <v>0</v>
      </c>
      <c r="J67" s="71">
        <f>HARIAN!J78+HARIAN!J80</f>
        <v>0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0</v>
      </c>
      <c r="Q67" s="40" t="e">
        <f t="shared" si="2"/>
        <v>#DIV/0!</v>
      </c>
      <c r="R67" s="40" t="e">
        <f t="shared" si="1"/>
        <v>#DIV/0!</v>
      </c>
      <c r="S67" s="40">
        <f>VLOOKUP(C67,Sheet3!$A$19:$G$81,7,FALSE)</f>
        <v>1</v>
      </c>
      <c r="T67" s="10" t="e">
        <f t="shared" si="3"/>
        <v>#DIV/0!</v>
      </c>
      <c r="U67" s="10" t="e">
        <f t="shared" si="4"/>
        <v>#DIV/0!</v>
      </c>
    </row>
    <row r="68" spans="2:21" ht="15.5">
      <c r="B68" s="102" t="s">
        <v>62</v>
      </c>
      <c r="C68" s="102"/>
      <c r="D68" s="26">
        <f t="shared" ref="D68:P68" si="7">SUM(D32:D67)</f>
        <v>0</v>
      </c>
      <c r="E68" s="26">
        <f t="shared" si="7"/>
        <v>0</v>
      </c>
      <c r="F68" s="26">
        <f t="shared" si="7"/>
        <v>0</v>
      </c>
      <c r="G68" s="26">
        <f t="shared" si="7"/>
        <v>0</v>
      </c>
      <c r="H68" s="26">
        <f t="shared" si="7"/>
        <v>0</v>
      </c>
      <c r="I68" s="26">
        <f t="shared" si="7"/>
        <v>0</v>
      </c>
      <c r="J68" s="26">
        <f t="shared" si="7"/>
        <v>0</v>
      </c>
      <c r="K68" s="26">
        <f t="shared" si="7"/>
        <v>0</v>
      </c>
      <c r="L68" s="26">
        <f t="shared" si="7"/>
        <v>0</v>
      </c>
      <c r="M68" s="26">
        <f t="shared" si="7"/>
        <v>0</v>
      </c>
      <c r="N68" s="26">
        <f t="shared" si="7"/>
        <v>0</v>
      </c>
      <c r="O68" s="26">
        <f t="shared" si="7"/>
        <v>0</v>
      </c>
      <c r="P68" s="26">
        <f t="shared" si="7"/>
        <v>0</v>
      </c>
      <c r="Q68" s="41">
        <f>Q14</f>
        <v>0.53479853479853479</v>
      </c>
      <c r="R68" s="41">
        <f>R14</f>
        <v>0.73737373737373735</v>
      </c>
      <c r="S68" s="41">
        <f>S14</f>
        <v>0.9261744966442953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zoomScale="85" zoomScaleNormal="85" workbookViewId="0">
      <selection activeCell="C2" sqref="C2:N2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1" t="s">
        <v>809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</row>
    <row r="2" spans="3:14">
      <c r="C2" s="133" t="str">
        <f ca="1">LAPORAN!C2</f>
        <v xml:space="preserve">PERIODE ORDER &amp; PS : 2026-10-01 to  2026-10-04 </v>
      </c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</row>
    <row r="3" spans="3:14">
      <c r="C3" s="133" t="str">
        <f>LAPORAN!C3</f>
        <v>Last update proses : 05-10-2026 09:04:14 WIB (Source: ETL XPRO)</v>
      </c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30</v>
      </c>
      <c r="E6" s="94">
        <f>LAPORAN!J9</f>
        <v>1</v>
      </c>
      <c r="F6" s="94">
        <f>LAPORAN!K9</f>
        <v>0</v>
      </c>
      <c r="G6" s="94">
        <f>LAPORAN!L9</f>
        <v>10</v>
      </c>
      <c r="H6" s="94">
        <f>LAPORAN!M9</f>
        <v>3</v>
      </c>
      <c r="I6" s="94">
        <f>LAPORAN!N9</f>
        <v>6</v>
      </c>
      <c r="J6" s="94">
        <f>LAPORAN!O9</f>
        <v>0</v>
      </c>
      <c r="K6" s="94">
        <f>LAPORAN!P9</f>
        <v>7</v>
      </c>
      <c r="L6" s="40">
        <f>LAPORAN!Q9</f>
        <v>0.23333333333333334</v>
      </c>
      <c r="M6" s="40">
        <f>LAPORAN!R9</f>
        <v>0.4375</v>
      </c>
      <c r="N6" s="40">
        <f>LAPORAN!S9</f>
        <v>0.7142857142857143</v>
      </c>
    </row>
    <row r="7" spans="3:14" ht="15.5">
      <c r="C7" s="76" t="str">
        <f>[1]LAPORAN!C10</f>
        <v>JATIM BARAT</v>
      </c>
      <c r="D7" s="4">
        <f>LAPORAN!D10</f>
        <v>66</v>
      </c>
      <c r="E7" s="94">
        <f>LAPORAN!J10</f>
        <v>9</v>
      </c>
      <c r="F7" s="94">
        <f>LAPORAN!K10</f>
        <v>0</v>
      </c>
      <c r="G7" s="94">
        <f>LAPORAN!L10</f>
        <v>3</v>
      </c>
      <c r="H7" s="94">
        <f>LAPORAN!M10</f>
        <v>3</v>
      </c>
      <c r="I7" s="94">
        <f>LAPORAN!N10</f>
        <v>0</v>
      </c>
      <c r="J7" s="94">
        <f>LAPORAN!O10</f>
        <v>0</v>
      </c>
      <c r="K7" s="94">
        <f>LAPORAN!P10</f>
        <v>41</v>
      </c>
      <c r="L7" s="40">
        <f>LAPORAN!Q10</f>
        <v>0.65079365079365081</v>
      </c>
      <c r="M7" s="40">
        <f>LAPORAN!R10</f>
        <v>0.93181818181818177</v>
      </c>
      <c r="N7" s="40">
        <f>LAPORAN!S10</f>
        <v>1</v>
      </c>
    </row>
    <row r="8" spans="3:14" ht="15.5">
      <c r="C8" s="76" t="str">
        <f>[1]LAPORAN!C11</f>
        <v>JATIM TIMUR</v>
      </c>
      <c r="D8" s="4">
        <f>LAPORAN!D11</f>
        <v>33</v>
      </c>
      <c r="E8" s="94">
        <f>LAPORAN!J11</f>
        <v>2</v>
      </c>
      <c r="F8" s="94">
        <f>LAPORAN!K11</f>
        <v>0</v>
      </c>
      <c r="G8" s="94">
        <f>LAPORAN!L11</f>
        <v>1</v>
      </c>
      <c r="H8" s="94">
        <f>LAPORAN!M11</f>
        <v>1</v>
      </c>
      <c r="I8" s="94">
        <f>LAPORAN!N11</f>
        <v>1</v>
      </c>
      <c r="J8" s="94">
        <f>LAPORAN!O11</f>
        <v>0</v>
      </c>
      <c r="K8" s="94">
        <f>LAPORAN!P11</f>
        <v>25</v>
      </c>
      <c r="L8" s="40">
        <f>LAPORAN!Q11</f>
        <v>0.78125</v>
      </c>
      <c r="M8" s="40">
        <f>LAPORAN!R11</f>
        <v>0.92592592592592593</v>
      </c>
      <c r="N8" s="40">
        <f>LAPORAN!S11</f>
        <v>1</v>
      </c>
    </row>
    <row r="9" spans="3:14" ht="15.5">
      <c r="C9" s="76" t="str">
        <f>[1]LAPORAN!C12</f>
        <v>NUSA TENGGARA</v>
      </c>
      <c r="D9" s="4">
        <f>LAPORAN!D12</f>
        <v>82</v>
      </c>
      <c r="E9" s="94">
        <f>LAPORAN!J12</f>
        <v>8</v>
      </c>
      <c r="F9" s="94">
        <f>LAPORAN!K12</f>
        <v>1</v>
      </c>
      <c r="G9" s="94">
        <f>LAPORAN!L12</f>
        <v>9</v>
      </c>
      <c r="H9" s="94">
        <f>LAPORAN!M12</f>
        <v>19</v>
      </c>
      <c r="I9" s="94">
        <f>LAPORAN!N12</f>
        <v>4</v>
      </c>
      <c r="J9" s="94">
        <f>LAPORAN!O12</f>
        <v>3</v>
      </c>
      <c r="K9" s="94">
        <f>LAPORAN!P12</f>
        <v>31</v>
      </c>
      <c r="L9" s="40">
        <f>LAPORAN!Q12</f>
        <v>0.39743589743589741</v>
      </c>
      <c r="M9" s="40">
        <f>LAPORAN!R12</f>
        <v>0.54385964912280704</v>
      </c>
      <c r="N9" s="40">
        <f>LAPORAN!S12</f>
        <v>0.73529411764705888</v>
      </c>
    </row>
    <row r="10" spans="3:14" ht="15.5">
      <c r="C10" s="76" t="str">
        <f>[1]LAPORAN!C13</f>
        <v>SURAMADU</v>
      </c>
      <c r="D10" s="4">
        <f>LAPORAN!D13</f>
        <v>72</v>
      </c>
      <c r="E10" s="94">
        <f>LAPORAN!J13</f>
        <v>10</v>
      </c>
      <c r="F10" s="94">
        <f>LAPORAN!K13</f>
        <v>1</v>
      </c>
      <c r="G10" s="94">
        <f>LAPORAN!L13</f>
        <v>5</v>
      </c>
      <c r="H10" s="94">
        <f>LAPORAN!M13</f>
        <v>4</v>
      </c>
      <c r="I10" s="94">
        <f>LAPORAN!N13</f>
        <v>8</v>
      </c>
      <c r="J10" s="94">
        <f>LAPORAN!O13</f>
        <v>0</v>
      </c>
      <c r="K10" s="94">
        <f>LAPORAN!P13</f>
        <v>42</v>
      </c>
      <c r="L10" s="40">
        <f>LAPORAN!Q13</f>
        <v>0.6</v>
      </c>
      <c r="M10" s="40">
        <f>LAPORAN!R13</f>
        <v>0.77777777777777779</v>
      </c>
      <c r="N10" s="40">
        <f>LAPORAN!S13</f>
        <v>1</v>
      </c>
    </row>
    <row r="11" spans="3:14" ht="15.5">
      <c r="C11" s="95" t="str">
        <f>[1]LAPORAN!C14</f>
        <v>TOTAL</v>
      </c>
      <c r="D11" s="98">
        <f>LAPORAN!D14</f>
        <v>283</v>
      </c>
      <c r="E11" s="96">
        <f>LAPORAN!J14</f>
        <v>30</v>
      </c>
      <c r="F11" s="96">
        <f>LAPORAN!K14</f>
        <v>2</v>
      </c>
      <c r="G11" s="96">
        <f>LAPORAN!L14</f>
        <v>28</v>
      </c>
      <c r="H11" s="96">
        <f>LAPORAN!M14</f>
        <v>30</v>
      </c>
      <c r="I11" s="96">
        <f>LAPORAN!N14</f>
        <v>19</v>
      </c>
      <c r="J11" s="96">
        <f>LAPORAN!O14</f>
        <v>3</v>
      </c>
      <c r="K11" s="96">
        <f>LAPORAN!P14</f>
        <v>146</v>
      </c>
      <c r="L11" s="97">
        <f>LAPORAN!Q14</f>
        <v>0.53479853479853479</v>
      </c>
      <c r="M11" s="97">
        <f>LAPORAN!R14</f>
        <v>0.73737373737373735</v>
      </c>
      <c r="N11" s="97">
        <f>LAPORAN!S14</f>
        <v>0.9261744966442953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2" t="s">
        <v>140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</row>
    <row r="2" spans="2:35"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  <c r="AG2" s="193"/>
      <c r="AH2" s="193"/>
      <c r="AI2" s="193"/>
    </row>
    <row r="3" spans="2:35">
      <c r="C3" s="179" t="s">
        <v>1</v>
      </c>
      <c r="D3" s="159" t="s">
        <v>2</v>
      </c>
      <c r="E3" s="159" t="s">
        <v>3</v>
      </c>
      <c r="F3" s="159" t="s">
        <v>4</v>
      </c>
      <c r="G3" s="159" t="s">
        <v>5</v>
      </c>
      <c r="H3" s="159" t="s">
        <v>6</v>
      </c>
      <c r="I3" s="159" t="s">
        <v>7</v>
      </c>
      <c r="J3" s="159" t="s">
        <v>8</v>
      </c>
      <c r="K3" s="159" t="s">
        <v>9</v>
      </c>
      <c r="L3" s="159" t="s">
        <v>10</v>
      </c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 t="s">
        <v>11</v>
      </c>
      <c r="AA3" s="159" t="s">
        <v>12</v>
      </c>
      <c r="AB3" s="159"/>
      <c r="AC3" s="159"/>
      <c r="AD3" s="159"/>
      <c r="AE3" s="159" t="s">
        <v>13</v>
      </c>
      <c r="AF3" s="159" t="s">
        <v>14</v>
      </c>
      <c r="AG3" s="159" t="s">
        <v>15</v>
      </c>
      <c r="AH3" s="159" t="s">
        <v>16</v>
      </c>
      <c r="AI3" s="159" t="s">
        <v>17</v>
      </c>
    </row>
    <row r="4" spans="2:35">
      <c r="C4" s="179"/>
      <c r="D4" s="159"/>
      <c r="E4" s="159"/>
      <c r="F4" s="159"/>
      <c r="G4" s="159"/>
      <c r="H4" s="159"/>
      <c r="I4" s="159"/>
      <c r="J4" s="159"/>
      <c r="K4" s="159"/>
      <c r="L4" s="159" t="s">
        <v>2</v>
      </c>
      <c r="M4" s="159" t="s">
        <v>18</v>
      </c>
      <c r="N4" s="159"/>
      <c r="O4" s="159"/>
      <c r="P4" s="159" t="s">
        <v>19</v>
      </c>
      <c r="Q4" s="159" t="s">
        <v>20</v>
      </c>
      <c r="R4" s="159"/>
      <c r="S4" s="159"/>
      <c r="T4" s="159"/>
      <c r="U4" s="159"/>
      <c r="V4" s="159"/>
      <c r="W4" s="159"/>
      <c r="X4" s="159" t="s">
        <v>21</v>
      </c>
      <c r="Y4" s="159" t="s">
        <v>22</v>
      </c>
      <c r="Z4" s="159"/>
      <c r="AA4" s="159"/>
      <c r="AB4" s="159"/>
      <c r="AC4" s="159"/>
      <c r="AD4" s="159"/>
      <c r="AE4" s="159"/>
      <c r="AF4" s="159"/>
      <c r="AG4" s="159"/>
      <c r="AH4" s="159"/>
      <c r="AI4" s="159"/>
    </row>
    <row r="5" spans="2:35" ht="15.65" customHeight="1">
      <c r="C5" s="17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 t="s">
        <v>23</v>
      </c>
      <c r="R5" s="159"/>
      <c r="S5" s="159"/>
      <c r="T5" s="159"/>
      <c r="U5" s="159" t="s">
        <v>24</v>
      </c>
      <c r="V5" s="159" t="s">
        <v>25</v>
      </c>
      <c r="W5" s="159" t="s">
        <v>26</v>
      </c>
      <c r="X5" s="159"/>
      <c r="Y5" s="159"/>
      <c r="Z5" s="159"/>
      <c r="AA5" s="159"/>
      <c r="AB5" s="159"/>
      <c r="AC5" s="159"/>
      <c r="AD5" s="159"/>
      <c r="AE5" s="159"/>
      <c r="AF5" s="159"/>
      <c r="AG5" s="159"/>
      <c r="AH5" s="159"/>
      <c r="AI5" s="159"/>
    </row>
    <row r="6" spans="2:35" ht="29">
      <c r="C6" s="179"/>
      <c r="D6" s="159"/>
      <c r="E6" s="159"/>
      <c r="F6" s="159"/>
      <c r="G6" s="159"/>
      <c r="H6" s="159"/>
      <c r="I6" s="159"/>
      <c r="J6" s="159"/>
      <c r="K6" s="159"/>
      <c r="L6" s="13"/>
      <c r="M6" s="13" t="s">
        <v>27</v>
      </c>
      <c r="N6" s="13" t="s">
        <v>28</v>
      </c>
      <c r="O6" s="13" t="s">
        <v>29</v>
      </c>
      <c r="P6" s="159"/>
      <c r="Q6" s="13" t="s">
        <v>30</v>
      </c>
      <c r="R6" s="13" t="s">
        <v>31</v>
      </c>
      <c r="S6" s="13" t="s">
        <v>32</v>
      </c>
      <c r="T6" s="13" t="s">
        <v>33</v>
      </c>
      <c r="U6" s="159"/>
      <c r="V6" s="159"/>
      <c r="W6" s="159"/>
      <c r="X6" s="159"/>
      <c r="Y6" s="159"/>
      <c r="Z6" s="159"/>
      <c r="AA6" s="13" t="s">
        <v>30</v>
      </c>
      <c r="AB6" s="13" t="s">
        <v>31</v>
      </c>
      <c r="AC6" s="13" t="s">
        <v>32</v>
      </c>
      <c r="AD6" s="13" t="s">
        <v>33</v>
      </c>
      <c r="AE6" s="159"/>
      <c r="AF6" s="159"/>
      <c r="AG6" s="159"/>
      <c r="AH6" s="159"/>
      <c r="AI6" s="159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0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0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0</v>
      </c>
      <c r="AG7">
        <f>IFERROR(VLOOKUP(C7,'COPY DATA XPRO'!$C$7:$AI$58,31,FALSE),0)</f>
        <v>0</v>
      </c>
      <c r="AH7">
        <f>IFERROR(VLOOKUP(C7,'COPY DATA XPRO'!$C$7:$AI$58,32,FALSE),0)</f>
        <v>0</v>
      </c>
      <c r="AI7">
        <f>IFERROR(VLOOKUP(C7,'COPY DATA XPRO'!$C$7:$AI$58,33,FALSE),0)</f>
        <v>0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0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0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0</v>
      </c>
      <c r="AH9">
        <f>IFERROR(VLOOKUP(C9,'COPY DATA XPRO'!$C$7:$AI$58,32,FALSE),0)</f>
        <v>0</v>
      </c>
      <c r="AI9">
        <f>IFERROR(VLOOKUP(C9,'COPY DATA XPRO'!$C$7:$AI$58,33,FALSE),0)</f>
        <v>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0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0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0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0</v>
      </c>
      <c r="AH10">
        <f>IFERROR(VLOOKUP(C10,'COPY DATA XPRO'!$C$7:$AI$58,32,FALSE),0)</f>
        <v>0</v>
      </c>
      <c r="AI10">
        <f>IFERROR(VLOOKUP(C10,'COPY DATA XPRO'!$C$7:$AI$58,33,FALSE),0)</f>
        <v>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0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0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0</v>
      </c>
      <c r="AG11">
        <f>IFERROR(VLOOKUP(C11,'COPY DATA XPRO'!$C$7:$AI$58,31,FALSE),0)</f>
        <v>0</v>
      </c>
      <c r="AH11">
        <f>IFERROR(VLOOKUP(C11,'COPY DATA XPRO'!$C$7:$AI$58,32,FALSE),0)</f>
        <v>0</v>
      </c>
      <c r="AI11">
        <f>IFERROR(VLOOKUP(C11,'COPY DATA XPRO'!$C$7:$AI$58,33,FALSE),0)</f>
        <v>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0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0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0</v>
      </c>
      <c r="AG13">
        <f>IFERROR(VLOOKUP(C13,'COPY DATA XPRO'!$C$7:$AI$58,31,FALSE),0)</f>
        <v>0</v>
      </c>
      <c r="AH13">
        <f>IFERROR(VLOOKUP(C13,'COPY DATA XPRO'!$C$7:$AI$58,32,FALSE),0)</f>
        <v>0</v>
      </c>
      <c r="AI13">
        <f>IFERROR(VLOOKUP(C13,'COPY DATA XPRO'!$C$7:$AI$58,33,FALSE),0)</f>
        <v>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0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0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0</v>
      </c>
      <c r="AH14">
        <f>IFERROR(VLOOKUP(C14,'COPY DATA XPRO'!$C$7:$AI$58,32,FALSE),0)</f>
        <v>0</v>
      </c>
      <c r="AI14">
        <f>IFERROR(VLOOKUP(C14,'COPY DATA XPRO'!$C$7:$AI$58,33,FALSE),0)</f>
        <v>0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0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0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0</v>
      </c>
      <c r="AG15">
        <f>IFERROR(VLOOKUP(C15,'COPY DATA XPRO'!$C$7:$AI$58,31,FALSE),0)</f>
        <v>0</v>
      </c>
      <c r="AH15">
        <f>IFERROR(VLOOKUP(C15,'COPY DATA XPRO'!$C$7:$AI$58,32,FALSE),0)</f>
        <v>0</v>
      </c>
      <c r="AI15">
        <f>IFERROR(VLOOKUP(C15,'COPY DATA XPRO'!$C$7:$AI$58,33,FALSE),0)</f>
        <v>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0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0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0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0</v>
      </c>
      <c r="AH16">
        <f>IFERROR(VLOOKUP(C16,'COPY DATA XPRO'!$C$7:$AI$58,32,FALSE),0)</f>
        <v>0</v>
      </c>
      <c r="AI16">
        <f>IFERROR(VLOOKUP(C16,'COPY DATA XPRO'!$C$7:$AI$58,33,FALSE),0)</f>
        <v>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0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0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0</v>
      </c>
      <c r="AH17">
        <f>IFERROR(VLOOKUP(C17,'COPY DATA XPRO'!$C$7:$AI$58,32,FALSE),0)</f>
        <v>0</v>
      </c>
      <c r="AI17">
        <f>IFERROR(VLOOKUP(C17,'COPY DATA XPRO'!$C$7:$AI$58,33,FALSE),0)</f>
        <v>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0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0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0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0</v>
      </c>
      <c r="AH18">
        <f>IFERROR(VLOOKUP(C18,'COPY DATA XPRO'!$C$7:$AI$58,32,FALSE),0)</f>
        <v>0</v>
      </c>
      <c r="AI18">
        <f>IFERROR(VLOOKUP(C18,'COPY DATA XPRO'!$C$7:$AI$58,33,FALSE),0)</f>
        <v>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0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0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0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0</v>
      </c>
      <c r="AH19">
        <f>IFERROR(VLOOKUP(C19,'COPY DATA XPRO'!$C$7:$AI$58,32,FALSE),0)</f>
        <v>0</v>
      </c>
      <c r="AI19">
        <f>IFERROR(VLOOKUP(C19,'COPY DATA XPRO'!$C$7:$AI$58,33,FALSE),0)</f>
        <v>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0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0</v>
      </c>
      <c r="AH20">
        <f>IFERROR(VLOOKUP(C20,'COPY DATA XPRO'!$C$7:$AI$58,32,FALSE),0)</f>
        <v>0</v>
      </c>
      <c r="AI20">
        <f>IFERROR(VLOOKUP(C20,'COPY DATA XPRO'!$C$7:$AI$58,33,FALSE),0)</f>
        <v>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0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0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0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0</v>
      </c>
      <c r="AH21">
        <f>IFERROR(VLOOKUP(C21,'COPY DATA XPRO'!$C$7:$AI$58,32,FALSE),0)</f>
        <v>0</v>
      </c>
      <c r="AI21">
        <f>IFERROR(VLOOKUP(C21,'COPY DATA XPRO'!$C$7:$AI$58,33,FALSE),0)</f>
        <v>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0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0</v>
      </c>
      <c r="AH22">
        <f>IFERROR(VLOOKUP(C22,'COPY DATA XPRO'!$C$7:$AI$58,32,FALSE),0)</f>
        <v>0</v>
      </c>
      <c r="AI22">
        <f>IFERROR(VLOOKUP(C22,'COPY DATA XPRO'!$C$7:$AI$58,33,FALSE),0)</f>
        <v>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0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0</v>
      </c>
      <c r="AH23">
        <f>IFERROR(VLOOKUP(C23,'COPY DATA XPRO'!$C$7:$AI$58,32,FALSE),0)</f>
        <v>0</v>
      </c>
      <c r="AI23">
        <f>IFERROR(VLOOKUP(C23,'COPY DATA XPRO'!$C$7:$AI$58,33,FALSE),0)</f>
        <v>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0</v>
      </c>
      <c r="AH24">
        <f>IFERROR(VLOOKUP(C24,'COPY DATA XPRO'!$C$7:$AI$58,32,FALSE),0)</f>
        <v>0</v>
      </c>
      <c r="AI24">
        <f>IFERROR(VLOOKUP(C24,'COPY DATA XPRO'!$C$7:$AI$58,33,FALSE),0)</f>
        <v>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0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0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0</v>
      </c>
      <c r="AG25">
        <f>IFERROR(VLOOKUP(C25,'COPY DATA XPRO'!$C$7:$AI$58,31,FALSE),0)</f>
        <v>0</v>
      </c>
      <c r="AH25">
        <f>IFERROR(VLOOKUP(C25,'COPY DATA XPRO'!$C$7:$AI$58,32,FALSE),0)</f>
        <v>0</v>
      </c>
      <c r="AI25">
        <f>IFERROR(VLOOKUP(C25,'COPY DATA XPRO'!$C$7:$AI$58,33,FALSE),0)</f>
        <v>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0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0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0</v>
      </c>
      <c r="AH26">
        <f>IFERROR(VLOOKUP(C26,'COPY DATA XPRO'!$C$7:$AI$58,32,FALSE),0)</f>
        <v>0</v>
      </c>
      <c r="AI26">
        <f>IFERROR(VLOOKUP(C26,'COPY DATA XPRO'!$C$7:$AI$58,33,FALSE),0)</f>
        <v>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0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0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0</v>
      </c>
      <c r="AH27">
        <f>IFERROR(VLOOKUP(C27,'COPY DATA XPRO'!$C$7:$AI$58,32,FALSE),0)</f>
        <v>0</v>
      </c>
      <c r="AI27">
        <f>IFERROR(VLOOKUP(C27,'COPY DATA XPRO'!$C$7:$AI$58,33,FALSE),0)</f>
        <v>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0</v>
      </c>
      <c r="AH28">
        <f>IFERROR(VLOOKUP(C28,'COPY DATA XPRO'!$C$7:$AI$58,32,FALSE),0)</f>
        <v>0</v>
      </c>
      <c r="AI28">
        <f>IFERROR(VLOOKUP(C28,'COPY DATA XPRO'!$C$7:$AI$58,33,FALSE),0)</f>
        <v>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0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0</v>
      </c>
      <c r="AA29">
        <f>IFERROR(VLOOKUP(C29,'COPY DATA XPRO'!$C$7:$AI$58,25,FALSE),0)</f>
        <v>0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0</v>
      </c>
      <c r="AF29">
        <f>IFERROR(VLOOKUP(C29,'COPY DATA XPRO'!$C$7:$AI$58,30,FALSE),0)</f>
        <v>0</v>
      </c>
      <c r="AG29">
        <f>IFERROR(VLOOKUP(C29,'COPY DATA XPRO'!$C$7:$AI$58,31,FALSE),0)</f>
        <v>0</v>
      </c>
      <c r="AH29">
        <f>IFERROR(VLOOKUP(C29,'COPY DATA XPRO'!$C$7:$AI$58,32,FALSE),0)</f>
        <v>0</v>
      </c>
      <c r="AI29">
        <f>IFERROR(VLOOKUP(C29,'COPY DATA XPRO'!$C$7:$AI$58,33,FALSE),0)</f>
        <v>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0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0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0</v>
      </c>
      <c r="AH30">
        <f>IFERROR(VLOOKUP(C30,'COPY DATA XPRO'!$C$7:$AI$58,32,FALSE),0)</f>
        <v>0</v>
      </c>
      <c r="AI30">
        <f>IFERROR(VLOOKUP(C30,'COPY DATA XPRO'!$C$7:$AI$58,33,FALSE),0)</f>
        <v>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0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0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0</v>
      </c>
      <c r="AH31">
        <f>IFERROR(VLOOKUP(C31,'COPY DATA XPRO'!$C$7:$AI$58,32,FALSE),0)</f>
        <v>0</v>
      </c>
      <c r="AI31">
        <f>IFERROR(VLOOKUP(C31,'COPY DATA XPRO'!$C$7:$AI$58,33,FALSE),0)</f>
        <v>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0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0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0</v>
      </c>
      <c r="AH32">
        <f>IFERROR(VLOOKUP(C32,'COPY DATA XPRO'!$C$7:$AI$58,32,FALSE),0)</f>
        <v>0</v>
      </c>
      <c r="AI32">
        <f>IFERROR(VLOOKUP(C32,'COPY DATA XPRO'!$C$7:$AI$58,33,FALSE),0)</f>
        <v>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0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0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0</v>
      </c>
      <c r="AH33">
        <f>IFERROR(VLOOKUP(C33,'COPY DATA XPRO'!$C$7:$AI$58,32,FALSE),0)</f>
        <v>0</v>
      </c>
      <c r="AI33">
        <f>IFERROR(VLOOKUP(C33,'COPY DATA XPRO'!$C$7:$AI$58,33,FALSE),0)</f>
        <v>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0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0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0</v>
      </c>
      <c r="AF34">
        <f>IFERROR(VLOOKUP(C34,'COPY DATA XPRO'!$C$7:$AI$58,30,FALSE),0)</f>
        <v>0</v>
      </c>
      <c r="AG34">
        <f>IFERROR(VLOOKUP(C34,'COPY DATA XPRO'!$C$7:$AI$58,31,FALSE),0)</f>
        <v>0</v>
      </c>
      <c r="AH34">
        <f>IFERROR(VLOOKUP(C34,'COPY DATA XPRO'!$C$7:$AI$58,32,FALSE),0)</f>
        <v>0</v>
      </c>
      <c r="AI34">
        <f>IFERROR(VLOOKUP(C34,'COPY DATA XPRO'!$C$7:$AI$58,33,FALSE),0)</f>
        <v>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0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0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0</v>
      </c>
      <c r="AH35">
        <f>IFERROR(VLOOKUP(C35,'COPY DATA XPRO'!$C$7:$AI$58,32,FALSE),0)</f>
        <v>0</v>
      </c>
      <c r="AI35">
        <f>IFERROR(VLOOKUP(C35,'COPY DATA XPRO'!$C$7:$AI$58,33,FALSE),0)</f>
        <v>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0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0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0</v>
      </c>
      <c r="AH36">
        <f>IFERROR(VLOOKUP(C36,'COPY DATA XPRO'!$C$7:$AI$58,32,FALSE),0)</f>
        <v>0</v>
      </c>
      <c r="AI36">
        <f>IFERROR(VLOOKUP(C36,'COPY DATA XPRO'!$C$7:$AI$58,33,FALSE),0)</f>
        <v>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0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0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0</v>
      </c>
      <c r="AH37">
        <f>IFERROR(VLOOKUP(C37,'COPY DATA XPRO'!$C$7:$AI$58,32,FALSE),0)</f>
        <v>0</v>
      </c>
      <c r="AI37">
        <f>IFERROR(VLOOKUP(C37,'COPY DATA XPRO'!$C$7:$AI$58,33,FALSE),0)</f>
        <v>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0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0</v>
      </c>
      <c r="Z38">
        <f>IFERROR(VLOOKUP(C38,'COPY DATA XPRO'!$C$7:$AI$58,24,FALSE),0)</f>
        <v>0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0</v>
      </c>
      <c r="AG38">
        <f>IFERROR(VLOOKUP(C38,'COPY DATA XPRO'!$C$7:$AI$58,31,FALSE),0)</f>
        <v>0</v>
      </c>
      <c r="AH38">
        <f>IFERROR(VLOOKUP(C38,'COPY DATA XPRO'!$C$7:$AI$58,32,FALSE),0)</f>
        <v>0</v>
      </c>
      <c r="AI38">
        <f>IFERROR(VLOOKUP(C38,'COPY DATA XPRO'!$C$7:$AI$58,33,FALSE),0)</f>
        <v>0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0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0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0</v>
      </c>
      <c r="AH39">
        <f>IFERROR(VLOOKUP(C39,'COPY DATA XPRO'!$C$7:$AI$58,32,FALSE),0)</f>
        <v>0</v>
      </c>
      <c r="AI39">
        <f>IFERROR(VLOOKUP(C39,'COPY DATA XPRO'!$C$7:$AI$58,33,FALSE),0)</f>
        <v>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0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0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0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0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0</v>
      </c>
      <c r="AG40">
        <f>IFERROR(VLOOKUP(C40,'COPY DATA XPRO'!$C$7:$AI$58,31,FALSE),0)</f>
        <v>0</v>
      </c>
      <c r="AH40">
        <f>IFERROR(VLOOKUP(C40,'COPY DATA XPRO'!$C$7:$AI$58,32,FALSE),0)</f>
        <v>0</v>
      </c>
      <c r="AI40">
        <f>IFERROR(VLOOKUP(C40,'COPY DATA XPRO'!$C$7:$AI$58,33,FALSE),0)</f>
        <v>0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0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0</v>
      </c>
      <c r="P41">
        <f>IFERROR(VLOOKUP(C41,'COPY DATA XPRO'!$C$7:$AI$58,14,FALSE),0)</f>
        <v>0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0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0</v>
      </c>
      <c r="AH41">
        <f>IFERROR(VLOOKUP(C41,'COPY DATA XPRO'!$C$7:$AI$58,32,FALSE),0)</f>
        <v>0</v>
      </c>
      <c r="AI41">
        <f>IFERROR(VLOOKUP(C41,'COPY DATA XPRO'!$C$7:$AI$58,33,FALSE),0)</f>
        <v>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0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0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0</v>
      </c>
      <c r="AH42">
        <f>IFERROR(VLOOKUP(C42,'COPY DATA XPRO'!$C$7:$AI$58,32,FALSE),0)</f>
        <v>0</v>
      </c>
      <c r="AI42">
        <f>IFERROR(VLOOKUP(C42,'COPY DATA XPRO'!$C$7:$AI$58,33,FALSE),0)</f>
        <v>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0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0</v>
      </c>
      <c r="J43">
        <f>IFERROR(VLOOKUP(C43,'COPY DATA XPRO'!$C$7:$AI$58,8,FALSE),0)</f>
        <v>0</v>
      </c>
      <c r="K43">
        <f>IFERROR(VLOOKUP(C43,'COPY DATA XPRO'!$C$7:$AI$58,9,FALSE),0)</f>
        <v>0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0</v>
      </c>
      <c r="P43">
        <f>IFERROR(VLOOKUP(C43,'COPY DATA XPRO'!$C$7:$AI$58,14,FALSE),0)</f>
        <v>0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0</v>
      </c>
      <c r="Z43">
        <f>IFERROR(VLOOKUP(C43,'COPY DATA XPRO'!$C$7:$AI$58,24,FALSE),0)</f>
        <v>0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0</v>
      </c>
      <c r="AG43">
        <f>IFERROR(VLOOKUP(C43,'COPY DATA XPRO'!$C$7:$AI$58,31,FALSE),0)</f>
        <v>0</v>
      </c>
      <c r="AH43">
        <f>IFERROR(VLOOKUP(C43,'COPY DATA XPRO'!$C$7:$AI$58,32,FALSE),0)</f>
        <v>0</v>
      </c>
      <c r="AI43">
        <f>IFERROR(VLOOKUP(C43,'COPY DATA XPRO'!$C$7:$AI$58,33,FALSE),0)</f>
        <v>0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0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0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0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0</v>
      </c>
      <c r="AG44">
        <f>IFERROR(VLOOKUP(C44,'COPY DATA XPRO'!$C$7:$AI$58,31,FALSE),0)</f>
        <v>0</v>
      </c>
      <c r="AH44">
        <f>IFERROR(VLOOKUP(C44,'COPY DATA XPRO'!$C$7:$AI$58,32,FALSE),0)</f>
        <v>0</v>
      </c>
      <c r="AI44">
        <f>IFERROR(VLOOKUP(C44,'COPY DATA XPRO'!$C$7:$AI$58,33,FALSE),0)</f>
        <v>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0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0</v>
      </c>
      <c r="P45">
        <f>IFERROR(VLOOKUP(C45,'COPY DATA XPRO'!$C$7:$AI$58,14,FALSE),0)</f>
        <v>0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0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0</v>
      </c>
      <c r="AH45">
        <f>IFERROR(VLOOKUP(C45,'COPY DATA XPRO'!$C$7:$AI$58,32,FALSE),0)</f>
        <v>0</v>
      </c>
      <c r="AI45">
        <f>IFERROR(VLOOKUP(C45,'COPY DATA XPRO'!$C$7:$AI$58,33,FALSE),0)</f>
        <v>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0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0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0</v>
      </c>
      <c r="O46">
        <f>IFERROR(VLOOKUP(C46,'COPY DATA XPRO'!$C$7:$AI$58,13,FALSE),0)</f>
        <v>0</v>
      </c>
      <c r="P46">
        <f>IFERROR(VLOOKUP(C46,'COPY DATA XPRO'!$C$7:$AI$58,14,FALSE),0)</f>
        <v>0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0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0</v>
      </c>
      <c r="AG46">
        <f>IFERROR(VLOOKUP(C46,'COPY DATA XPRO'!$C$7:$AI$58,31,FALSE),0)</f>
        <v>0</v>
      </c>
      <c r="AH46">
        <f>IFERROR(VLOOKUP(C46,'COPY DATA XPRO'!$C$7:$AI$58,32,FALSE),0)</f>
        <v>0</v>
      </c>
      <c r="AI46">
        <f>IFERROR(VLOOKUP(C46,'COPY DATA XPRO'!$C$7:$AI$58,33,FALSE),0)</f>
        <v>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0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0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0</v>
      </c>
      <c r="AH48">
        <f>IFERROR(VLOOKUP(C48,'COPY DATA XPRO'!$C$7:$AI$58,32,FALSE),0)</f>
        <v>0</v>
      </c>
      <c r="AI48">
        <f>IFERROR(VLOOKUP(C48,'COPY DATA XPRO'!$C$7:$AI$58,33,FALSE),0)</f>
        <v>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0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0</v>
      </c>
      <c r="I49">
        <f>IFERROR(VLOOKUP(C49,'COPY DATA XPRO'!$C$7:$AI$58,7,FALSE),0)</f>
        <v>0</v>
      </c>
      <c r="J49">
        <f>IFERROR(VLOOKUP(C49,'COPY DATA XPRO'!$C$7:$AI$58,8,FALSE),0)</f>
        <v>0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0</v>
      </c>
      <c r="AG49">
        <f>IFERROR(VLOOKUP(C49,'COPY DATA XPRO'!$C$7:$AI$58,31,FALSE),0)</f>
        <v>0</v>
      </c>
      <c r="AH49">
        <f>IFERROR(VLOOKUP(C49,'COPY DATA XPRO'!$C$7:$AI$58,32,FALSE),0)</f>
        <v>0</v>
      </c>
      <c r="AI49">
        <f>IFERROR(VLOOKUP(C49,'COPY DATA XPRO'!$C$7:$AI$58,33,FALSE),0)</f>
        <v>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0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0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0</v>
      </c>
      <c r="Z50">
        <f>IFERROR(VLOOKUP(C50,'COPY DATA XPRO'!$C$7:$AI$58,24,FALSE),0)</f>
        <v>0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0</v>
      </c>
      <c r="AG50">
        <f>IFERROR(VLOOKUP(C50,'COPY DATA XPRO'!$C$7:$AI$58,31,FALSE),0)</f>
        <v>0</v>
      </c>
      <c r="AH50">
        <f>IFERROR(VLOOKUP(C50,'COPY DATA XPRO'!$C$7:$AI$58,32,FALSE),0)</f>
        <v>0</v>
      </c>
      <c r="AI50">
        <f>IFERROR(VLOOKUP(C50,'COPY DATA XPRO'!$C$7:$AI$58,33,FALSE),0)</f>
        <v>0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0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0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0</v>
      </c>
      <c r="AG51">
        <f>IFERROR(VLOOKUP(C51,'COPY DATA XPRO'!$C$7:$AI$58,31,FALSE),0)</f>
        <v>0</v>
      </c>
      <c r="AH51">
        <f>IFERROR(VLOOKUP(C51,'COPY DATA XPRO'!$C$7:$AI$58,32,FALSE),0)</f>
        <v>0</v>
      </c>
      <c r="AI51">
        <f>IFERROR(VLOOKUP(C51,'COPY DATA XPRO'!$C$7:$AI$58,33,FALSE),0)</f>
        <v>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0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0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0</v>
      </c>
      <c r="AG52">
        <f>IFERROR(VLOOKUP(C52,'COPY DATA XPRO'!$C$7:$AI$58,31,FALSE),0)</f>
        <v>0</v>
      </c>
      <c r="AH52">
        <f>IFERROR(VLOOKUP(C52,'COPY DATA XPRO'!$C$7:$AI$58,32,FALSE),0)</f>
        <v>0</v>
      </c>
      <c r="AI52">
        <f>IFERROR(VLOOKUP(C52,'COPY DATA XPRO'!$C$7:$AI$58,33,FALSE),0)</f>
        <v>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0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0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0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0</v>
      </c>
      <c r="AG53">
        <f>IFERROR(VLOOKUP(C53,'COPY DATA XPRO'!$C$7:$AI$58,31,FALSE),0)</f>
        <v>0</v>
      </c>
      <c r="AH53">
        <f>IFERROR(VLOOKUP(C53,'COPY DATA XPRO'!$C$7:$AI$58,32,FALSE),0)</f>
        <v>0</v>
      </c>
      <c r="AI53">
        <f>IFERROR(VLOOKUP(C53,'COPY DATA XPRO'!$C$7:$AI$58,33,FALSE),0)</f>
        <v>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0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0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0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0</v>
      </c>
      <c r="AG54">
        <f>IFERROR(VLOOKUP(C54,'COPY DATA XPRO'!$C$7:$AI$58,31,FALSE),0)</f>
        <v>0</v>
      </c>
      <c r="AH54">
        <f>IFERROR(VLOOKUP(C54,'COPY DATA XPRO'!$C$7:$AI$58,32,FALSE),0)</f>
        <v>0</v>
      </c>
      <c r="AI54">
        <f>IFERROR(VLOOKUP(C54,'COPY DATA XPRO'!$C$7:$AI$58,33,FALSE),0)</f>
        <v>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0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0</v>
      </c>
      <c r="AG55">
        <f>IFERROR(VLOOKUP(C55,'COPY DATA XPRO'!$C$7:$AI$58,31,FALSE),0)</f>
        <v>0</v>
      </c>
      <c r="AH55">
        <f>IFERROR(VLOOKUP(C55,'COPY DATA XPRO'!$C$7:$AI$58,32,FALSE),0)</f>
        <v>0</v>
      </c>
      <c r="AI55">
        <f>IFERROR(VLOOKUP(C55,'COPY DATA XPRO'!$C$7:$AI$58,33,FALSE),0)</f>
        <v>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0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0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0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0</v>
      </c>
      <c r="AG56">
        <f>IFERROR(VLOOKUP(C56,'COPY DATA XPRO'!$C$7:$AI$58,31,FALSE),0)</f>
        <v>0</v>
      </c>
      <c r="AH56">
        <f>IFERROR(VLOOKUP(C56,'COPY DATA XPRO'!$C$7:$AI$58,32,FALSE),0)</f>
        <v>0</v>
      </c>
      <c r="AI56">
        <f>IFERROR(VLOOKUP(C56,'COPY DATA XPRO'!$C$7:$AI$58,33,FALSE),0)</f>
        <v>0</v>
      </c>
    </row>
    <row r="60" spans="2:35">
      <c r="C60" s="192" t="s">
        <v>140</v>
      </c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2"/>
      <c r="W60" s="192"/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</row>
    <row r="61" spans="2:35"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  <c r="AG61" s="193"/>
      <c r="AH61" s="193"/>
      <c r="AI61" s="193"/>
    </row>
    <row r="62" spans="2:35">
      <c r="C62" s="179" t="s">
        <v>1</v>
      </c>
      <c r="D62" s="159" t="s">
        <v>2</v>
      </c>
      <c r="E62" s="159" t="s">
        <v>3</v>
      </c>
      <c r="F62" s="159" t="s">
        <v>4</v>
      </c>
      <c r="G62" s="159" t="s">
        <v>5</v>
      </c>
      <c r="H62" s="159" t="s">
        <v>6</v>
      </c>
      <c r="I62" s="159" t="s">
        <v>7</v>
      </c>
      <c r="J62" s="159" t="s">
        <v>8</v>
      </c>
      <c r="K62" s="159" t="s">
        <v>9</v>
      </c>
      <c r="L62" s="159" t="s">
        <v>10</v>
      </c>
      <c r="M62" s="159"/>
      <c r="N62" s="159"/>
      <c r="O62" s="159"/>
      <c r="P62" s="159"/>
      <c r="Q62" s="159"/>
      <c r="R62" s="159"/>
      <c r="S62" s="159"/>
      <c r="T62" s="159"/>
      <c r="U62" s="159"/>
      <c r="V62" s="159"/>
      <c r="W62" s="159"/>
      <c r="X62" s="159"/>
      <c r="Y62" s="159"/>
      <c r="Z62" s="159" t="s">
        <v>11</v>
      </c>
      <c r="AA62" s="159" t="s">
        <v>12</v>
      </c>
      <c r="AB62" s="159"/>
      <c r="AC62" s="159"/>
      <c r="AD62" s="159"/>
      <c r="AE62" s="159" t="s">
        <v>13</v>
      </c>
      <c r="AF62" s="159" t="s">
        <v>14</v>
      </c>
      <c r="AG62" s="159" t="s">
        <v>15</v>
      </c>
      <c r="AH62" s="159" t="s">
        <v>16</v>
      </c>
      <c r="AI62" s="159" t="s">
        <v>17</v>
      </c>
    </row>
    <row r="63" spans="2:35">
      <c r="C63" s="179"/>
      <c r="D63" s="159"/>
      <c r="E63" s="159"/>
      <c r="F63" s="159"/>
      <c r="G63" s="159"/>
      <c r="H63" s="159"/>
      <c r="I63" s="159"/>
      <c r="J63" s="159"/>
      <c r="K63" s="159"/>
      <c r="L63" s="159" t="s">
        <v>2</v>
      </c>
      <c r="M63" s="159" t="s">
        <v>18</v>
      </c>
      <c r="N63" s="159"/>
      <c r="O63" s="159"/>
      <c r="P63" s="159" t="s">
        <v>19</v>
      </c>
      <c r="Q63" s="159" t="s">
        <v>20</v>
      </c>
      <c r="R63" s="159"/>
      <c r="S63" s="159"/>
      <c r="T63" s="159"/>
      <c r="U63" s="159"/>
      <c r="V63" s="159"/>
      <c r="W63" s="159"/>
      <c r="X63" s="159" t="s">
        <v>21</v>
      </c>
      <c r="Y63" s="159" t="s">
        <v>22</v>
      </c>
      <c r="Z63" s="159"/>
      <c r="AA63" s="159"/>
      <c r="AB63" s="159"/>
      <c r="AC63" s="159"/>
      <c r="AD63" s="159"/>
      <c r="AE63" s="159"/>
      <c r="AF63" s="159"/>
      <c r="AG63" s="159"/>
      <c r="AH63" s="159"/>
      <c r="AI63" s="159"/>
    </row>
    <row r="64" spans="2:35">
      <c r="C64" s="179"/>
      <c r="D64" s="159"/>
      <c r="E64" s="159"/>
      <c r="F64" s="159"/>
      <c r="G64" s="159"/>
      <c r="H64" s="159"/>
      <c r="I64" s="159"/>
      <c r="J64" s="159"/>
      <c r="K64" s="159"/>
      <c r="L64" s="159"/>
      <c r="M64" s="159"/>
      <c r="N64" s="159"/>
      <c r="O64" s="159"/>
      <c r="P64" s="159"/>
      <c r="Q64" s="159" t="s">
        <v>23</v>
      </c>
      <c r="R64" s="159"/>
      <c r="S64" s="159"/>
      <c r="T64" s="159"/>
      <c r="U64" s="159" t="s">
        <v>24</v>
      </c>
      <c r="V64" s="159" t="s">
        <v>25</v>
      </c>
      <c r="W64" s="159" t="s">
        <v>26</v>
      </c>
      <c r="X64" s="159"/>
      <c r="Y64" s="159"/>
      <c r="Z64" s="159"/>
      <c r="AA64" s="159"/>
      <c r="AB64" s="159"/>
      <c r="AC64" s="159"/>
      <c r="AD64" s="159"/>
      <c r="AE64" s="159"/>
      <c r="AF64" s="159"/>
      <c r="AG64" s="159"/>
      <c r="AH64" s="159"/>
      <c r="AI64" s="159"/>
    </row>
    <row r="65" spans="2:35" ht="29">
      <c r="C65" s="179"/>
      <c r="D65" s="159"/>
      <c r="E65" s="159"/>
      <c r="F65" s="159"/>
      <c r="G65" s="159"/>
      <c r="H65" s="159"/>
      <c r="I65" s="159"/>
      <c r="J65" s="159"/>
      <c r="K65" s="159"/>
      <c r="L65" s="13"/>
      <c r="M65" s="13" t="s">
        <v>27</v>
      </c>
      <c r="N65" s="13" t="s">
        <v>28</v>
      </c>
      <c r="O65" s="13" t="s">
        <v>29</v>
      </c>
      <c r="P65" s="159"/>
      <c r="Q65" s="13" t="s">
        <v>30</v>
      </c>
      <c r="R65" s="13" t="s">
        <v>31</v>
      </c>
      <c r="S65" s="13" t="s">
        <v>32</v>
      </c>
      <c r="T65" s="13" t="s">
        <v>33</v>
      </c>
      <c r="U65" s="159"/>
      <c r="V65" s="159"/>
      <c r="W65" s="159"/>
      <c r="X65" s="159"/>
      <c r="Y65" s="159"/>
      <c r="Z65" s="159"/>
      <c r="AA65" s="13" t="s">
        <v>30</v>
      </c>
      <c r="AB65" s="13" t="s">
        <v>31</v>
      </c>
      <c r="AC65" s="13" t="s">
        <v>32</v>
      </c>
      <c r="AD65" s="13" t="s">
        <v>33</v>
      </c>
      <c r="AE65" s="159"/>
      <c r="AF65" s="159"/>
      <c r="AG65" s="159"/>
      <c r="AH65" s="159"/>
      <c r="AI65" s="159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zoomScale="60" zoomScaleNormal="60" workbookViewId="0">
      <selection activeCell="C63" sqref="C63:AI70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2" t="s">
        <v>140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</row>
    <row r="2" spans="2:35">
      <c r="C2" s="193"/>
      <c r="D2" s="193"/>
      <c r="E2" s="193"/>
      <c r="F2" s="193"/>
      <c r="G2" s="193"/>
      <c r="H2" s="193"/>
      <c r="I2" s="193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  <c r="AG2" s="193"/>
      <c r="AH2" s="193"/>
      <c r="AI2" s="193"/>
    </row>
    <row r="3" spans="2:35">
      <c r="C3" s="179" t="s">
        <v>1</v>
      </c>
      <c r="D3" s="159" t="s">
        <v>2</v>
      </c>
      <c r="E3" s="159" t="s">
        <v>3</v>
      </c>
      <c r="F3" s="159" t="s">
        <v>4</v>
      </c>
      <c r="G3" s="159" t="s">
        <v>5</v>
      </c>
      <c r="H3" s="159" t="s">
        <v>6</v>
      </c>
      <c r="I3" s="159" t="s">
        <v>7</v>
      </c>
      <c r="J3" s="159" t="s">
        <v>8</v>
      </c>
      <c r="K3" s="159" t="s">
        <v>9</v>
      </c>
      <c r="L3" s="159" t="s">
        <v>10</v>
      </c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 t="s">
        <v>11</v>
      </c>
      <c r="AA3" s="159" t="s">
        <v>12</v>
      </c>
      <c r="AB3" s="159"/>
      <c r="AC3" s="159"/>
      <c r="AD3" s="159"/>
      <c r="AE3" s="159" t="s">
        <v>13</v>
      </c>
      <c r="AF3" s="159" t="s">
        <v>14</v>
      </c>
      <c r="AG3" s="159" t="s">
        <v>15</v>
      </c>
      <c r="AH3" s="159" t="s">
        <v>16</v>
      </c>
      <c r="AI3" s="159" t="s">
        <v>17</v>
      </c>
    </row>
    <row r="4" spans="2:35">
      <c r="C4" s="179"/>
      <c r="D4" s="159"/>
      <c r="E4" s="159"/>
      <c r="F4" s="159"/>
      <c r="G4" s="159"/>
      <c r="H4" s="159"/>
      <c r="I4" s="159"/>
      <c r="J4" s="159"/>
      <c r="K4" s="159"/>
      <c r="L4" s="159" t="s">
        <v>2</v>
      </c>
      <c r="M4" s="159" t="s">
        <v>18</v>
      </c>
      <c r="N4" s="159"/>
      <c r="O4" s="159"/>
      <c r="P4" s="159" t="s">
        <v>19</v>
      </c>
      <c r="Q4" s="159" t="s">
        <v>20</v>
      </c>
      <c r="R4" s="159"/>
      <c r="S4" s="159"/>
      <c r="T4" s="159"/>
      <c r="U4" s="159"/>
      <c r="V4" s="159"/>
      <c r="W4" s="159"/>
      <c r="X4" s="159" t="s">
        <v>21</v>
      </c>
      <c r="Y4" s="159" t="s">
        <v>22</v>
      </c>
      <c r="Z4" s="159"/>
      <c r="AA4" s="159"/>
      <c r="AB4" s="159"/>
      <c r="AC4" s="159"/>
      <c r="AD4" s="159"/>
      <c r="AE4" s="159"/>
      <c r="AF4" s="159"/>
      <c r="AG4" s="159"/>
      <c r="AH4" s="159"/>
      <c r="AI4" s="159"/>
    </row>
    <row r="5" spans="2:35" ht="15.65" customHeight="1">
      <c r="C5" s="179"/>
      <c r="D5" s="159"/>
      <c r="E5" s="159"/>
      <c r="F5" s="159"/>
      <c r="G5" s="159"/>
      <c r="H5" s="159"/>
      <c r="I5" s="159"/>
      <c r="J5" s="159"/>
      <c r="K5" s="159"/>
      <c r="L5" s="159"/>
      <c r="M5" s="159"/>
      <c r="N5" s="159"/>
      <c r="O5" s="159"/>
      <c r="P5" s="159"/>
      <c r="Q5" s="159" t="s">
        <v>23</v>
      </c>
      <c r="R5" s="159"/>
      <c r="S5" s="159"/>
      <c r="T5" s="159"/>
      <c r="U5" s="159" t="s">
        <v>24</v>
      </c>
      <c r="V5" s="159" t="s">
        <v>25</v>
      </c>
      <c r="W5" s="159" t="s">
        <v>26</v>
      </c>
      <c r="X5" s="159"/>
      <c r="Y5" s="159"/>
      <c r="Z5" s="159"/>
      <c r="AA5" s="159"/>
      <c r="AB5" s="159"/>
      <c r="AC5" s="159"/>
      <c r="AD5" s="159"/>
      <c r="AE5" s="159"/>
      <c r="AF5" s="159"/>
      <c r="AG5" s="159"/>
      <c r="AH5" s="159"/>
      <c r="AI5" s="159"/>
    </row>
    <row r="6" spans="2:35" ht="58">
      <c r="C6" s="179"/>
      <c r="D6" s="159"/>
      <c r="E6" s="159"/>
      <c r="F6" s="159"/>
      <c r="G6" s="159"/>
      <c r="H6" s="159"/>
      <c r="I6" s="159"/>
      <c r="J6" s="159"/>
      <c r="K6" s="159"/>
      <c r="L6" s="13"/>
      <c r="M6" s="13" t="s">
        <v>27</v>
      </c>
      <c r="N6" s="13" t="s">
        <v>28</v>
      </c>
      <c r="O6" s="13" t="s">
        <v>29</v>
      </c>
      <c r="P6" s="159"/>
      <c r="Q6" s="13" t="s">
        <v>30</v>
      </c>
      <c r="R6" s="13" t="s">
        <v>31</v>
      </c>
      <c r="S6" s="13" t="s">
        <v>32</v>
      </c>
      <c r="T6" s="13" t="s">
        <v>33</v>
      </c>
      <c r="U6" s="159"/>
      <c r="V6" s="159"/>
      <c r="W6" s="159"/>
      <c r="X6" s="159"/>
      <c r="Y6" s="159"/>
      <c r="Z6" s="159"/>
      <c r="AA6" s="13" t="s">
        <v>30</v>
      </c>
      <c r="AB6" s="13" t="s">
        <v>31</v>
      </c>
      <c r="AC6" s="13" t="s">
        <v>32</v>
      </c>
      <c r="AD6" s="13" t="s">
        <v>33</v>
      </c>
      <c r="AE6" s="159"/>
      <c r="AF6" s="159"/>
      <c r="AG6" s="159"/>
      <c r="AH6" s="159"/>
      <c r="AI6" s="159"/>
    </row>
    <row r="7" spans="2:35" ht="14.5" customHeight="1">
      <c r="B7" t="s">
        <v>34</v>
      </c>
      <c r="C7" t="s">
        <v>79</v>
      </c>
    </row>
    <row r="8" spans="2:35">
      <c r="C8" t="s">
        <v>80</v>
      </c>
    </row>
    <row r="9" spans="2:35">
      <c r="C9" t="s">
        <v>81</v>
      </c>
    </row>
    <row r="10" spans="2:35">
      <c r="C10" t="s">
        <v>82</v>
      </c>
    </row>
    <row r="11" spans="2:35">
      <c r="C11" t="s">
        <v>83</v>
      </c>
    </row>
    <row r="12" spans="2:35">
      <c r="C12" t="s">
        <v>84</v>
      </c>
    </row>
    <row r="13" spans="2:35">
      <c r="C13" t="s">
        <v>85</v>
      </c>
    </row>
    <row r="14" spans="2:35">
      <c r="C14" t="s">
        <v>86</v>
      </c>
    </row>
    <row r="16" spans="2:35">
      <c r="B16" t="s">
        <v>38</v>
      </c>
      <c r="C16" s="100" t="s">
        <v>87</v>
      </c>
    </row>
    <row r="17" spans="2:3">
      <c r="C17" t="s">
        <v>88</v>
      </c>
    </row>
    <row r="18" spans="2:3">
      <c r="C18" t="s">
        <v>89</v>
      </c>
    </row>
    <row r="19" spans="2:3">
      <c r="C19" t="s">
        <v>90</v>
      </c>
    </row>
    <row r="20" spans="2:3">
      <c r="C20" t="s">
        <v>91</v>
      </c>
    </row>
    <row r="21" spans="2:3">
      <c r="C21" t="s">
        <v>92</v>
      </c>
    </row>
    <row r="22" spans="2:3">
      <c r="C22" t="s">
        <v>93</v>
      </c>
    </row>
    <row r="23" spans="2:3">
      <c r="C23" t="s">
        <v>94</v>
      </c>
    </row>
    <row r="24" spans="2:3">
      <c r="C24" t="s">
        <v>95</v>
      </c>
    </row>
    <row r="25" spans="2:3">
      <c r="C25" t="s">
        <v>96</v>
      </c>
    </row>
    <row r="26" spans="2:3">
      <c r="C26" t="s">
        <v>97</v>
      </c>
    </row>
    <row r="27" spans="2:3">
      <c r="C27" t="s">
        <v>98</v>
      </c>
    </row>
    <row r="28" spans="2:3">
      <c r="B28" t="s">
        <v>42</v>
      </c>
      <c r="C28" t="s">
        <v>99</v>
      </c>
    </row>
    <row r="29" spans="2:3">
      <c r="C29" t="s">
        <v>100</v>
      </c>
    </row>
    <row r="30" spans="2:3">
      <c r="C30" t="s">
        <v>101</v>
      </c>
    </row>
    <row r="31" spans="2:3">
      <c r="C31" t="s">
        <v>102</v>
      </c>
    </row>
    <row r="32" spans="2:3">
      <c r="C32" t="s">
        <v>103</v>
      </c>
    </row>
    <row r="33" spans="2:3">
      <c r="C33" t="s">
        <v>104</v>
      </c>
    </row>
    <row r="34" spans="2:3">
      <c r="C34" t="s">
        <v>105</v>
      </c>
    </row>
    <row r="35" spans="2:3">
      <c r="C35" t="s">
        <v>106</v>
      </c>
    </row>
    <row r="36" spans="2:3">
      <c r="C36" t="s">
        <v>107</v>
      </c>
    </row>
    <row r="37" spans="2:3">
      <c r="C37" t="s">
        <v>108</v>
      </c>
    </row>
    <row r="38" spans="2:3">
      <c r="B38" t="s">
        <v>70</v>
      </c>
      <c r="C38" t="s">
        <v>109</v>
      </c>
    </row>
    <row r="39" spans="2:3">
      <c r="C39" t="s">
        <v>110</v>
      </c>
    </row>
    <row r="40" spans="2:3">
      <c r="C40" t="s">
        <v>111</v>
      </c>
    </row>
    <row r="41" spans="2:3">
      <c r="C41" t="s">
        <v>112</v>
      </c>
    </row>
    <row r="42" spans="2:3">
      <c r="C42" t="s">
        <v>113</v>
      </c>
    </row>
    <row r="43" spans="2:3">
      <c r="C43" t="s">
        <v>114</v>
      </c>
    </row>
    <row r="44" spans="2:3">
      <c r="C44" t="s">
        <v>115</v>
      </c>
    </row>
    <row r="45" spans="2:3">
      <c r="C45" t="s">
        <v>116</v>
      </c>
    </row>
    <row r="46" spans="2:3">
      <c r="C46" t="s">
        <v>117</v>
      </c>
    </row>
    <row r="47" spans="2:3">
      <c r="C47" t="s">
        <v>118</v>
      </c>
    </row>
    <row r="48" spans="2:3">
      <c r="C48" t="s">
        <v>119</v>
      </c>
    </row>
    <row r="49" spans="2:35">
      <c r="C49" t="s">
        <v>120</v>
      </c>
    </row>
    <row r="50" spans="2:35">
      <c r="B50" t="s">
        <v>55</v>
      </c>
      <c r="C50" t="s">
        <v>121</v>
      </c>
    </row>
    <row r="51" spans="2:35">
      <c r="C51" t="s">
        <v>122</v>
      </c>
    </row>
    <row r="52" spans="2:35">
      <c r="C52" t="s">
        <v>123</v>
      </c>
    </row>
    <row r="53" spans="2:35">
      <c r="C53" t="s">
        <v>124</v>
      </c>
    </row>
    <row r="54" spans="2:35">
      <c r="C54" t="s">
        <v>125</v>
      </c>
    </row>
    <row r="55" spans="2:35">
      <c r="C55" t="s">
        <v>126</v>
      </c>
    </row>
    <row r="56" spans="2:35">
      <c r="C56" t="s">
        <v>127</v>
      </c>
    </row>
    <row r="57" spans="2:35">
      <c r="C57" t="s">
        <v>128</v>
      </c>
    </row>
    <row r="59" spans="2:35">
      <c r="C59" s="179" t="s">
        <v>1</v>
      </c>
      <c r="D59" s="159" t="s">
        <v>2</v>
      </c>
      <c r="E59" s="159" t="s">
        <v>3</v>
      </c>
      <c r="F59" s="159" t="s">
        <v>4</v>
      </c>
      <c r="G59" s="159" t="s">
        <v>5</v>
      </c>
      <c r="H59" s="159" t="s">
        <v>6</v>
      </c>
      <c r="I59" s="159" t="s">
        <v>7</v>
      </c>
      <c r="J59" s="159" t="s">
        <v>8</v>
      </c>
      <c r="K59" s="159" t="s">
        <v>9</v>
      </c>
      <c r="L59" s="159" t="s">
        <v>10</v>
      </c>
      <c r="M59" s="159"/>
      <c r="N59" s="159"/>
      <c r="O59" s="159"/>
      <c r="P59" s="159"/>
      <c r="Q59" s="159"/>
      <c r="R59" s="159"/>
      <c r="S59" s="159"/>
      <c r="T59" s="159"/>
      <c r="U59" s="159"/>
      <c r="V59" s="159"/>
      <c r="W59" s="159"/>
      <c r="X59" s="159"/>
      <c r="Y59" s="159"/>
      <c r="Z59" s="159" t="s">
        <v>11</v>
      </c>
      <c r="AA59" s="159" t="s">
        <v>12</v>
      </c>
      <c r="AB59" s="159"/>
      <c r="AC59" s="159"/>
      <c r="AD59" s="159"/>
      <c r="AE59" s="159" t="s">
        <v>13</v>
      </c>
      <c r="AF59" s="159" t="s">
        <v>14</v>
      </c>
      <c r="AG59" s="159" t="s">
        <v>15</v>
      </c>
      <c r="AH59" s="159" t="s">
        <v>16</v>
      </c>
      <c r="AI59" s="159" t="s">
        <v>17</v>
      </c>
    </row>
    <row r="60" spans="2:35">
      <c r="C60" s="179"/>
      <c r="D60" s="159"/>
      <c r="E60" s="159"/>
      <c r="F60" s="159"/>
      <c r="G60" s="159"/>
      <c r="H60" s="159"/>
      <c r="I60" s="159"/>
      <c r="J60" s="159"/>
      <c r="K60" s="159"/>
      <c r="L60" s="159" t="s">
        <v>2</v>
      </c>
      <c r="M60" s="159" t="s">
        <v>18</v>
      </c>
      <c r="N60" s="159"/>
      <c r="O60" s="159"/>
      <c r="P60" s="159" t="s">
        <v>19</v>
      </c>
      <c r="Q60" s="159" t="s">
        <v>20</v>
      </c>
      <c r="R60" s="159"/>
      <c r="S60" s="159"/>
      <c r="T60" s="159"/>
      <c r="U60" s="159"/>
      <c r="V60" s="159"/>
      <c r="W60" s="159"/>
      <c r="X60" s="159" t="s">
        <v>21</v>
      </c>
      <c r="Y60" s="159" t="s">
        <v>22</v>
      </c>
      <c r="Z60" s="159"/>
      <c r="AA60" s="159"/>
      <c r="AB60" s="159"/>
      <c r="AC60" s="159"/>
      <c r="AD60" s="159"/>
      <c r="AE60" s="159"/>
      <c r="AF60" s="159"/>
      <c r="AG60" s="159"/>
      <c r="AH60" s="159"/>
      <c r="AI60" s="159"/>
    </row>
    <row r="61" spans="2:35" ht="15" customHeight="1">
      <c r="C61" s="179"/>
      <c r="D61" s="159"/>
      <c r="E61" s="159"/>
      <c r="F61" s="159"/>
      <c r="G61" s="159"/>
      <c r="H61" s="159"/>
      <c r="I61" s="159"/>
      <c r="J61" s="159"/>
      <c r="K61" s="159"/>
      <c r="L61" s="159"/>
      <c r="M61" s="159"/>
      <c r="N61" s="159"/>
      <c r="O61" s="159"/>
      <c r="P61" s="159"/>
      <c r="Q61" s="159" t="s">
        <v>23</v>
      </c>
      <c r="R61" s="159"/>
      <c r="S61" s="159"/>
      <c r="T61" s="159"/>
      <c r="U61" s="159" t="s">
        <v>24</v>
      </c>
      <c r="V61" s="159" t="s">
        <v>25</v>
      </c>
      <c r="W61" s="159" t="s">
        <v>26</v>
      </c>
      <c r="X61" s="159"/>
      <c r="Y61" s="159"/>
      <c r="Z61" s="159"/>
      <c r="AA61" s="159"/>
      <c r="AB61" s="159"/>
      <c r="AC61" s="159"/>
      <c r="AD61" s="159"/>
      <c r="AE61" s="159"/>
      <c r="AF61" s="159"/>
      <c r="AG61" s="159"/>
      <c r="AH61" s="159"/>
      <c r="AI61" s="159"/>
    </row>
    <row r="62" spans="2:35" ht="58.5" thickBot="1">
      <c r="C62" s="179"/>
      <c r="D62" s="159"/>
      <c r="E62" s="159"/>
      <c r="F62" s="159"/>
      <c r="G62" s="159"/>
      <c r="H62" s="159"/>
      <c r="I62" s="159"/>
      <c r="J62" s="159"/>
      <c r="K62" s="159"/>
      <c r="L62" s="13"/>
      <c r="M62" s="13" t="s">
        <v>27</v>
      </c>
      <c r="N62" s="13" t="s">
        <v>28</v>
      </c>
      <c r="O62" s="13" t="s">
        <v>29</v>
      </c>
      <c r="P62" s="159"/>
      <c r="Q62" s="13" t="s">
        <v>30</v>
      </c>
      <c r="R62" s="13" t="s">
        <v>31</v>
      </c>
      <c r="S62" s="13" t="s">
        <v>32</v>
      </c>
      <c r="T62" s="13" t="s">
        <v>33</v>
      </c>
      <c r="U62" s="159"/>
      <c r="V62" s="159"/>
      <c r="W62" s="159"/>
      <c r="X62" s="159"/>
      <c r="Y62" s="159"/>
      <c r="Z62" s="159"/>
      <c r="AA62" s="13" t="s">
        <v>30</v>
      </c>
      <c r="AB62" s="13" t="s">
        <v>31</v>
      </c>
      <c r="AC62" s="13" t="s">
        <v>32</v>
      </c>
      <c r="AD62" s="13" t="s">
        <v>33</v>
      </c>
      <c r="AE62" s="159"/>
      <c r="AF62" s="159"/>
      <c r="AG62" s="159"/>
      <c r="AH62" s="159"/>
      <c r="AI62" s="159"/>
    </row>
    <row r="63" spans="2:35" ht="21.5" thickBot="1">
      <c r="C63" s="11" t="s">
        <v>34</v>
      </c>
      <c r="D63" s="12">
        <v>0</v>
      </c>
      <c r="E63" s="12">
        <v>30</v>
      </c>
      <c r="F63" s="12">
        <v>0</v>
      </c>
      <c r="G63" s="12">
        <v>1</v>
      </c>
      <c r="H63" s="12">
        <v>1</v>
      </c>
      <c r="I63" s="12">
        <v>0</v>
      </c>
      <c r="J63" s="12">
        <v>1</v>
      </c>
      <c r="K63" s="12">
        <v>0</v>
      </c>
      <c r="L63" s="12">
        <v>10</v>
      </c>
      <c r="M63" s="12">
        <v>0</v>
      </c>
      <c r="N63" s="12">
        <v>2</v>
      </c>
      <c r="O63" s="12">
        <v>1</v>
      </c>
      <c r="P63" s="12">
        <v>3</v>
      </c>
      <c r="Q63" s="12">
        <v>0</v>
      </c>
      <c r="R63" s="12">
        <v>0</v>
      </c>
      <c r="S63" s="12">
        <v>0</v>
      </c>
      <c r="T63" s="12">
        <v>6</v>
      </c>
      <c r="U63" s="12">
        <v>0</v>
      </c>
      <c r="V63" s="12">
        <v>0</v>
      </c>
      <c r="W63" s="12">
        <v>0</v>
      </c>
      <c r="X63" s="12">
        <v>6</v>
      </c>
      <c r="Y63" s="12">
        <v>0</v>
      </c>
      <c r="Z63" s="12">
        <v>7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</v>
      </c>
      <c r="AG63" s="12">
        <v>53.33</v>
      </c>
      <c r="AH63" s="12">
        <v>23.33</v>
      </c>
      <c r="AI63" s="12">
        <v>43.75</v>
      </c>
    </row>
    <row r="64" spans="2:35" ht="21.5" thickBot="1">
      <c r="C64" s="11" t="s">
        <v>38</v>
      </c>
      <c r="D64" s="12">
        <v>0</v>
      </c>
      <c r="E64" s="12">
        <v>66</v>
      </c>
      <c r="F64" s="12">
        <v>2</v>
      </c>
      <c r="G64" s="12">
        <v>1</v>
      </c>
      <c r="H64" s="12">
        <v>2</v>
      </c>
      <c r="I64" s="12">
        <v>1</v>
      </c>
      <c r="J64" s="12">
        <v>9</v>
      </c>
      <c r="K64" s="12">
        <v>0</v>
      </c>
      <c r="L64" s="12">
        <v>3</v>
      </c>
      <c r="M64" s="12">
        <v>1</v>
      </c>
      <c r="N64" s="12">
        <v>2</v>
      </c>
      <c r="O64" s="12">
        <v>0</v>
      </c>
      <c r="P64" s="12">
        <v>3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41</v>
      </c>
      <c r="AA64" s="12">
        <v>0</v>
      </c>
      <c r="AB64" s="12">
        <v>0</v>
      </c>
      <c r="AC64" s="12">
        <v>0</v>
      </c>
      <c r="AD64" s="12">
        <v>1</v>
      </c>
      <c r="AE64" s="12">
        <v>1</v>
      </c>
      <c r="AF64" s="12">
        <v>2</v>
      </c>
      <c r="AG64" s="14">
        <v>68.180000000000007</v>
      </c>
      <c r="AH64" s="14">
        <v>65.08</v>
      </c>
      <c r="AI64" s="14">
        <v>93.18</v>
      </c>
    </row>
    <row r="65" spans="3:35" ht="21.5" thickBot="1">
      <c r="C65" s="11" t="s">
        <v>42</v>
      </c>
      <c r="D65" s="12">
        <v>0</v>
      </c>
      <c r="E65" s="12">
        <v>33</v>
      </c>
      <c r="F65" s="12">
        <v>1</v>
      </c>
      <c r="G65" s="12">
        <v>1</v>
      </c>
      <c r="H65" s="12">
        <v>0</v>
      </c>
      <c r="I65" s="12">
        <v>0</v>
      </c>
      <c r="J65" s="12">
        <v>2</v>
      </c>
      <c r="K65" s="12">
        <v>0</v>
      </c>
      <c r="L65" s="12">
        <v>1</v>
      </c>
      <c r="M65" s="12">
        <v>0</v>
      </c>
      <c r="N65" s="12">
        <v>1</v>
      </c>
      <c r="O65" s="12">
        <v>0</v>
      </c>
      <c r="P65" s="12">
        <v>1</v>
      </c>
      <c r="Q65" s="12">
        <v>1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1</v>
      </c>
      <c r="Y65" s="12">
        <v>0</v>
      </c>
      <c r="Z65" s="12">
        <v>25</v>
      </c>
      <c r="AA65" s="12">
        <v>0</v>
      </c>
      <c r="AB65" s="12">
        <v>0</v>
      </c>
      <c r="AC65" s="12">
        <v>0</v>
      </c>
      <c r="AD65" s="12">
        <v>0</v>
      </c>
      <c r="AE65" s="12">
        <v>0</v>
      </c>
      <c r="AF65" s="12">
        <v>1</v>
      </c>
      <c r="AG65" s="14">
        <v>81.819999999999993</v>
      </c>
      <c r="AH65" s="14">
        <v>78.13</v>
      </c>
      <c r="AI65" s="14">
        <v>92.59</v>
      </c>
    </row>
    <row r="66" spans="3:35" ht="21.5" thickBot="1">
      <c r="C66" s="11" t="s">
        <v>45</v>
      </c>
      <c r="D66" s="12">
        <v>0</v>
      </c>
      <c r="E66" s="12">
        <v>82</v>
      </c>
      <c r="F66" s="12">
        <v>1</v>
      </c>
      <c r="G66" s="12">
        <v>0</v>
      </c>
      <c r="H66" s="12">
        <v>0</v>
      </c>
      <c r="I66" s="12">
        <v>0</v>
      </c>
      <c r="J66" s="12">
        <v>8</v>
      </c>
      <c r="K66" s="12">
        <v>1</v>
      </c>
      <c r="L66" s="12">
        <v>9</v>
      </c>
      <c r="M66" s="12">
        <v>2</v>
      </c>
      <c r="N66" s="12">
        <v>9</v>
      </c>
      <c r="O66" s="12">
        <v>8</v>
      </c>
      <c r="P66" s="12">
        <v>19</v>
      </c>
      <c r="Q66" s="12">
        <v>0</v>
      </c>
      <c r="R66" s="12">
        <v>0</v>
      </c>
      <c r="S66" s="12">
        <v>0</v>
      </c>
      <c r="T66" s="12">
        <v>1</v>
      </c>
      <c r="U66" s="12">
        <v>2</v>
      </c>
      <c r="V66" s="12">
        <v>1</v>
      </c>
      <c r="W66" s="12">
        <v>0</v>
      </c>
      <c r="X66" s="12">
        <v>4</v>
      </c>
      <c r="Y66" s="12">
        <v>3</v>
      </c>
      <c r="Z66" s="12">
        <v>31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3</v>
      </c>
      <c r="AG66" s="14">
        <v>69.510000000000005</v>
      </c>
      <c r="AH66" s="14">
        <v>39.74</v>
      </c>
      <c r="AI66" s="14">
        <v>54.39</v>
      </c>
    </row>
    <row r="67" spans="3:35" ht="21.5" thickBot="1">
      <c r="C67" s="11" t="s">
        <v>49</v>
      </c>
      <c r="D67" s="12">
        <v>0</v>
      </c>
      <c r="E67" s="12">
        <v>36</v>
      </c>
      <c r="F67" s="12">
        <v>1</v>
      </c>
      <c r="G67" s="12">
        <v>0</v>
      </c>
      <c r="H67" s="12">
        <v>0</v>
      </c>
      <c r="I67" s="12">
        <v>0</v>
      </c>
      <c r="J67" s="12">
        <v>5</v>
      </c>
      <c r="K67" s="12">
        <v>1</v>
      </c>
      <c r="L67" s="12">
        <v>3</v>
      </c>
      <c r="M67" s="12">
        <v>1</v>
      </c>
      <c r="N67" s="12">
        <v>6</v>
      </c>
      <c r="O67" s="12">
        <v>1</v>
      </c>
      <c r="P67" s="12">
        <v>8</v>
      </c>
      <c r="Q67" s="12">
        <v>0</v>
      </c>
      <c r="R67" s="12">
        <v>2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2</v>
      </c>
      <c r="Y67" s="12">
        <v>0</v>
      </c>
      <c r="Z67" s="12">
        <v>14</v>
      </c>
      <c r="AA67" s="12">
        <v>0</v>
      </c>
      <c r="AB67" s="12">
        <v>0</v>
      </c>
      <c r="AC67" s="12">
        <v>0</v>
      </c>
      <c r="AD67" s="12">
        <v>0</v>
      </c>
      <c r="AE67" s="12">
        <v>0</v>
      </c>
      <c r="AF67" s="12">
        <v>2</v>
      </c>
      <c r="AG67" s="14">
        <v>66.67</v>
      </c>
      <c r="AH67" s="14">
        <v>42.42</v>
      </c>
      <c r="AI67" s="14">
        <v>58.33</v>
      </c>
    </row>
    <row r="68" spans="3:35" ht="21.5" thickBot="1">
      <c r="C68" s="11" t="s">
        <v>51</v>
      </c>
      <c r="D68" s="12">
        <v>0</v>
      </c>
      <c r="E68" s="12">
        <v>43</v>
      </c>
      <c r="F68" s="12">
        <v>0</v>
      </c>
      <c r="G68" s="12">
        <v>0</v>
      </c>
      <c r="H68" s="12">
        <v>1</v>
      </c>
      <c r="I68" s="12">
        <v>1</v>
      </c>
      <c r="J68" s="12">
        <v>3</v>
      </c>
      <c r="K68" s="12">
        <v>0</v>
      </c>
      <c r="L68" s="12">
        <v>4</v>
      </c>
      <c r="M68" s="12">
        <v>1</v>
      </c>
      <c r="N68" s="12">
        <v>9</v>
      </c>
      <c r="O68" s="12">
        <v>1</v>
      </c>
      <c r="P68" s="12">
        <v>11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23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  <c r="AG68" s="14">
        <v>79.069999999999993</v>
      </c>
      <c r="AH68" s="14">
        <v>54.76</v>
      </c>
      <c r="AI68" s="14">
        <v>67.650000000000006</v>
      </c>
    </row>
    <row r="69" spans="3:35" ht="21.5" thickBot="1">
      <c r="C69" s="11" t="s">
        <v>55</v>
      </c>
      <c r="D69" s="12">
        <v>0</v>
      </c>
      <c r="E69" s="12">
        <v>72</v>
      </c>
      <c r="F69" s="12">
        <v>0</v>
      </c>
      <c r="G69" s="12">
        <v>0</v>
      </c>
      <c r="H69" s="12">
        <v>0</v>
      </c>
      <c r="I69" s="12">
        <v>0</v>
      </c>
      <c r="J69" s="12">
        <v>10</v>
      </c>
      <c r="K69" s="12">
        <v>1</v>
      </c>
      <c r="L69" s="12">
        <v>5</v>
      </c>
      <c r="M69" s="12">
        <v>3</v>
      </c>
      <c r="N69" s="12">
        <v>1</v>
      </c>
      <c r="O69" s="12">
        <v>0</v>
      </c>
      <c r="P69" s="12">
        <v>4</v>
      </c>
      <c r="Q69" s="12">
        <v>3</v>
      </c>
      <c r="R69" s="12">
        <v>4</v>
      </c>
      <c r="S69" s="12">
        <v>0</v>
      </c>
      <c r="T69" s="12">
        <v>0</v>
      </c>
      <c r="U69" s="12">
        <v>0</v>
      </c>
      <c r="V69" s="12">
        <v>1</v>
      </c>
      <c r="W69" s="12">
        <v>0</v>
      </c>
      <c r="X69" s="12">
        <v>8</v>
      </c>
      <c r="Y69" s="12">
        <v>0</v>
      </c>
      <c r="Z69" s="12">
        <v>42</v>
      </c>
      <c r="AA69" s="12">
        <v>0</v>
      </c>
      <c r="AB69" s="12">
        <v>1</v>
      </c>
      <c r="AC69" s="12">
        <v>0</v>
      </c>
      <c r="AD69" s="12">
        <v>0</v>
      </c>
      <c r="AE69" s="12">
        <v>1</v>
      </c>
      <c r="AF69" s="12">
        <v>1</v>
      </c>
      <c r="AG69" s="14">
        <v>76.39</v>
      </c>
      <c r="AH69" s="14">
        <v>60</v>
      </c>
      <c r="AI69" s="14">
        <v>77.78</v>
      </c>
    </row>
    <row r="70" spans="3:35" ht="21.5" thickBot="1">
      <c r="C70" s="11" t="s">
        <v>59</v>
      </c>
      <c r="D70" s="12">
        <v>0</v>
      </c>
      <c r="E70" s="12">
        <v>52</v>
      </c>
      <c r="F70" s="12">
        <v>3</v>
      </c>
      <c r="G70" s="12">
        <v>0</v>
      </c>
      <c r="H70" s="12">
        <v>1</v>
      </c>
      <c r="I70" s="12">
        <v>0</v>
      </c>
      <c r="J70" s="12">
        <v>10</v>
      </c>
      <c r="K70" s="12">
        <v>0</v>
      </c>
      <c r="L70" s="12">
        <v>3</v>
      </c>
      <c r="M70" s="12">
        <v>1</v>
      </c>
      <c r="N70" s="12">
        <v>5</v>
      </c>
      <c r="O70" s="12">
        <v>0</v>
      </c>
      <c r="P70" s="12">
        <v>6</v>
      </c>
      <c r="Q70" s="12">
        <v>0</v>
      </c>
      <c r="R70" s="12">
        <v>1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1</v>
      </c>
      <c r="Y70" s="12">
        <v>1</v>
      </c>
      <c r="Z70" s="12">
        <v>22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12">
        <v>5</v>
      </c>
      <c r="AG70" s="14">
        <v>57.69</v>
      </c>
      <c r="AH70" s="14">
        <v>46.81</v>
      </c>
      <c r="AI70" s="14">
        <v>73.33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11" sqref="G11:G18"/>
    </sheetView>
  </sheetViews>
  <sheetFormatPr defaultColWidth="9" defaultRowHeight="14.5"/>
  <cols>
    <col min="1" max="1" width="21.54296875" bestFit="1" customWidth="1"/>
    <col min="2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2879</v>
      </c>
      <c r="D4" t="s">
        <v>528</v>
      </c>
      <c r="E4" t="s">
        <v>154</v>
      </c>
    </row>
    <row r="5" spans="1:7">
      <c r="A5" s="7" t="s">
        <v>34</v>
      </c>
      <c r="B5" s="194">
        <v>5</v>
      </c>
      <c r="C5" s="194">
        <v>2</v>
      </c>
      <c r="D5" s="194">
        <v>23</v>
      </c>
      <c r="E5" s="194">
        <v>30</v>
      </c>
      <c r="G5" s="8">
        <f t="shared" ref="G5:G58" si="0">B5/(B5+C5)</f>
        <v>0.7142857142857143</v>
      </c>
    </row>
    <row r="6" spans="1:7">
      <c r="A6" s="7" t="s">
        <v>38</v>
      </c>
      <c r="B6" s="194">
        <v>41</v>
      </c>
      <c r="C6" s="194"/>
      <c r="D6" s="194">
        <v>25</v>
      </c>
      <c r="E6" s="194">
        <v>66</v>
      </c>
      <c r="G6" s="8">
        <f t="shared" si="0"/>
        <v>1</v>
      </c>
    </row>
    <row r="7" spans="1:7">
      <c r="A7" s="7" t="s">
        <v>42</v>
      </c>
      <c r="B7" s="194">
        <v>25</v>
      </c>
      <c r="C7" s="194"/>
      <c r="D7" s="194">
        <v>8</v>
      </c>
      <c r="E7" s="194">
        <v>33</v>
      </c>
      <c r="G7" s="8">
        <f t="shared" si="0"/>
        <v>1</v>
      </c>
    </row>
    <row r="8" spans="1:7">
      <c r="A8" s="7" t="s">
        <v>45</v>
      </c>
      <c r="B8" s="194">
        <v>25</v>
      </c>
      <c r="C8" s="194">
        <v>9</v>
      </c>
      <c r="D8" s="194">
        <v>48</v>
      </c>
      <c r="E8" s="194">
        <v>82</v>
      </c>
      <c r="G8" s="8">
        <f t="shared" si="0"/>
        <v>0.73529411764705888</v>
      </c>
    </row>
    <row r="9" spans="1:7">
      <c r="A9" s="7" t="s">
        <v>55</v>
      </c>
      <c r="B9" s="194">
        <v>42</v>
      </c>
      <c r="C9" s="194"/>
      <c r="D9" s="194">
        <v>30</v>
      </c>
      <c r="E9" s="194">
        <v>72</v>
      </c>
      <c r="G9" s="8">
        <f t="shared" si="0"/>
        <v>1</v>
      </c>
    </row>
    <row r="10" spans="1:7">
      <c r="A10" s="7" t="s">
        <v>154</v>
      </c>
      <c r="B10" s="194">
        <v>138</v>
      </c>
      <c r="C10" s="194">
        <v>11</v>
      </c>
      <c r="D10" s="194">
        <v>134</v>
      </c>
      <c r="E10" s="194">
        <v>283</v>
      </c>
      <c r="G10" s="8">
        <f t="shared" si="0"/>
        <v>0.9261744966442953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2879</v>
      </c>
      <c r="D18" t="s">
        <v>528</v>
      </c>
      <c r="E18" t="s">
        <v>154</v>
      </c>
      <c r="G18" s="8"/>
    </row>
    <row r="19" spans="1:7">
      <c r="A19" s="7" t="s">
        <v>34</v>
      </c>
      <c r="B19" s="194">
        <v>5</v>
      </c>
      <c r="C19" s="194">
        <v>2</v>
      </c>
      <c r="D19" s="194">
        <v>23</v>
      </c>
      <c r="E19" s="194">
        <v>30</v>
      </c>
      <c r="G19" s="8">
        <f t="shared" si="0"/>
        <v>0.7142857142857143</v>
      </c>
    </row>
    <row r="20" spans="1:7">
      <c r="A20" s="9" t="s">
        <v>81</v>
      </c>
      <c r="B20" s="194"/>
      <c r="C20" s="194"/>
      <c r="D20" s="194">
        <v>2</v>
      </c>
      <c r="E20" s="194">
        <v>2</v>
      </c>
      <c r="G20" s="8" t="e">
        <f t="shared" si="0"/>
        <v>#DIV/0!</v>
      </c>
    </row>
    <row r="21" spans="1:7">
      <c r="A21" s="9" t="s">
        <v>79</v>
      </c>
      <c r="B21" s="194">
        <v>1</v>
      </c>
      <c r="C21" s="194"/>
      <c r="D21" s="194">
        <v>5</v>
      </c>
      <c r="E21" s="194">
        <v>6</v>
      </c>
      <c r="G21" s="8">
        <f t="shared" si="0"/>
        <v>1</v>
      </c>
    </row>
    <row r="22" spans="1:7">
      <c r="A22" s="9" t="s">
        <v>86</v>
      </c>
      <c r="B22" s="194">
        <v>1</v>
      </c>
      <c r="C22" s="194"/>
      <c r="D22" s="194">
        <v>2</v>
      </c>
      <c r="E22" s="194">
        <v>3</v>
      </c>
      <c r="G22" s="8">
        <f t="shared" si="0"/>
        <v>1</v>
      </c>
    </row>
    <row r="23" spans="1:7">
      <c r="A23" s="9" t="s">
        <v>84</v>
      </c>
      <c r="B23" s="194">
        <v>1</v>
      </c>
      <c r="C23" s="194">
        <v>1</v>
      </c>
      <c r="D23" s="194"/>
      <c r="E23" s="194">
        <v>2</v>
      </c>
      <c r="G23" s="8">
        <f t="shared" si="0"/>
        <v>0.5</v>
      </c>
    </row>
    <row r="24" spans="1:7">
      <c r="A24" s="9" t="s">
        <v>83</v>
      </c>
      <c r="B24" s="194"/>
      <c r="C24" s="194">
        <v>1</v>
      </c>
      <c r="D24" s="194">
        <v>1</v>
      </c>
      <c r="E24" s="194">
        <v>2</v>
      </c>
      <c r="G24" s="8">
        <f t="shared" si="0"/>
        <v>0</v>
      </c>
    </row>
    <row r="25" spans="1:7">
      <c r="A25" s="9" t="s">
        <v>85</v>
      </c>
      <c r="B25" s="194">
        <v>2</v>
      </c>
      <c r="C25" s="194"/>
      <c r="D25" s="194">
        <v>13</v>
      </c>
      <c r="E25" s="194">
        <v>15</v>
      </c>
      <c r="G25" s="8">
        <f t="shared" si="0"/>
        <v>1</v>
      </c>
    </row>
    <row r="26" spans="1:7">
      <c r="A26" s="7" t="s">
        <v>38</v>
      </c>
      <c r="B26" s="194">
        <v>41</v>
      </c>
      <c r="C26" s="194"/>
      <c r="D26" s="194">
        <v>25</v>
      </c>
      <c r="E26" s="194">
        <v>66</v>
      </c>
      <c r="G26" s="8">
        <f t="shared" si="0"/>
        <v>1</v>
      </c>
    </row>
    <row r="27" spans="1:7">
      <c r="A27" s="9" t="s">
        <v>93</v>
      </c>
      <c r="B27" s="194">
        <v>5</v>
      </c>
      <c r="C27" s="194"/>
      <c r="D27" s="194">
        <v>1</v>
      </c>
      <c r="E27" s="194">
        <v>6</v>
      </c>
      <c r="G27" s="8">
        <f t="shared" si="0"/>
        <v>1</v>
      </c>
    </row>
    <row r="28" spans="1:7">
      <c r="A28" s="9" t="s">
        <v>87</v>
      </c>
      <c r="B28" s="194">
        <v>6</v>
      </c>
      <c r="C28" s="194"/>
      <c r="D28" s="194">
        <v>3</v>
      </c>
      <c r="E28" s="194">
        <v>9</v>
      </c>
      <c r="G28" s="8">
        <f t="shared" si="0"/>
        <v>1</v>
      </c>
    </row>
    <row r="29" spans="1:7">
      <c r="A29" s="9" t="s">
        <v>89</v>
      </c>
      <c r="B29" s="194">
        <v>6</v>
      </c>
      <c r="C29" s="194"/>
      <c r="D29" s="194">
        <v>4</v>
      </c>
      <c r="E29" s="194">
        <v>10</v>
      </c>
      <c r="G29" s="8">
        <f t="shared" si="0"/>
        <v>1</v>
      </c>
    </row>
    <row r="30" spans="1:7">
      <c r="A30" s="9" t="s">
        <v>90</v>
      </c>
      <c r="B30" s="194">
        <v>6</v>
      </c>
      <c r="C30" s="194"/>
      <c r="D30" s="194">
        <v>3</v>
      </c>
      <c r="E30" s="194">
        <v>9</v>
      </c>
      <c r="G30" s="8">
        <f t="shared" si="0"/>
        <v>1</v>
      </c>
    </row>
    <row r="31" spans="1:7">
      <c r="A31" s="9" t="s">
        <v>92</v>
      </c>
      <c r="B31" s="194">
        <v>4</v>
      </c>
      <c r="C31" s="194"/>
      <c r="D31" s="194">
        <v>1</v>
      </c>
      <c r="E31" s="194">
        <v>5</v>
      </c>
      <c r="G31" s="8">
        <f t="shared" si="0"/>
        <v>1</v>
      </c>
    </row>
    <row r="32" spans="1:7">
      <c r="A32" s="9" t="s">
        <v>88</v>
      </c>
      <c r="B32" s="194">
        <v>4</v>
      </c>
      <c r="C32" s="194"/>
      <c r="D32" s="194">
        <v>6</v>
      </c>
      <c r="E32" s="194">
        <v>10</v>
      </c>
      <c r="G32" s="8">
        <f t="shared" si="0"/>
        <v>1</v>
      </c>
    </row>
    <row r="33" spans="1:7">
      <c r="A33" s="9" t="s">
        <v>95</v>
      </c>
      <c r="B33" s="194">
        <v>5</v>
      </c>
      <c r="C33" s="194"/>
      <c r="D33" s="194">
        <v>2</v>
      </c>
      <c r="E33" s="194">
        <v>7</v>
      </c>
      <c r="G33" s="8">
        <f t="shared" si="0"/>
        <v>1</v>
      </c>
    </row>
    <row r="34" spans="1:7">
      <c r="A34" s="9" t="s">
        <v>247</v>
      </c>
      <c r="B34" s="194">
        <v>5</v>
      </c>
      <c r="C34" s="194"/>
      <c r="D34" s="194">
        <v>5</v>
      </c>
      <c r="E34" s="194">
        <v>10</v>
      </c>
      <c r="G34" s="8">
        <f t="shared" si="0"/>
        <v>1</v>
      </c>
    </row>
    <row r="35" spans="1:7">
      <c r="A35" s="7" t="s">
        <v>42</v>
      </c>
      <c r="B35" s="194">
        <v>25</v>
      </c>
      <c r="C35" s="194"/>
      <c r="D35" s="194">
        <v>8</v>
      </c>
      <c r="E35" s="194">
        <v>33</v>
      </c>
      <c r="G35" s="8">
        <f t="shared" si="0"/>
        <v>1</v>
      </c>
    </row>
    <row r="36" spans="1:7">
      <c r="A36" s="9" t="s">
        <v>107</v>
      </c>
      <c r="B36" s="194">
        <v>3</v>
      </c>
      <c r="C36" s="194"/>
      <c r="D36" s="194"/>
      <c r="E36" s="194">
        <v>3</v>
      </c>
      <c r="G36" s="8">
        <f t="shared" si="0"/>
        <v>1</v>
      </c>
    </row>
    <row r="37" spans="1:7">
      <c r="A37" s="9" t="s">
        <v>106</v>
      </c>
      <c r="B37" s="194">
        <v>2</v>
      </c>
      <c r="C37" s="194"/>
      <c r="D37" s="194">
        <v>1</v>
      </c>
      <c r="E37" s="194">
        <v>3</v>
      </c>
      <c r="G37" s="8">
        <f t="shared" si="0"/>
        <v>1</v>
      </c>
    </row>
    <row r="38" spans="1:7">
      <c r="A38" s="9" t="s">
        <v>102</v>
      </c>
      <c r="B38" s="194">
        <v>4</v>
      </c>
      <c r="C38" s="194"/>
      <c r="D38" s="194"/>
      <c r="E38" s="194">
        <v>4</v>
      </c>
      <c r="G38" s="8">
        <f t="shared" si="0"/>
        <v>1</v>
      </c>
    </row>
    <row r="39" spans="1:7">
      <c r="A39" s="9" t="s">
        <v>105</v>
      </c>
      <c r="B39" s="194">
        <v>8</v>
      </c>
      <c r="C39" s="194"/>
      <c r="D39" s="194">
        <v>3</v>
      </c>
      <c r="E39" s="194">
        <v>11</v>
      </c>
      <c r="G39" s="8">
        <f t="shared" si="0"/>
        <v>1</v>
      </c>
    </row>
    <row r="40" spans="1:7">
      <c r="A40" s="9" t="s">
        <v>99</v>
      </c>
      <c r="B40" s="194">
        <v>2</v>
      </c>
      <c r="C40" s="194"/>
      <c r="D40" s="194">
        <v>1</v>
      </c>
      <c r="E40" s="194">
        <v>3</v>
      </c>
      <c r="G40" s="8">
        <f t="shared" si="0"/>
        <v>1</v>
      </c>
    </row>
    <row r="41" spans="1:7">
      <c r="A41" s="9" t="s">
        <v>232</v>
      </c>
      <c r="B41" s="194">
        <v>6</v>
      </c>
      <c r="C41" s="194"/>
      <c r="D41" s="194">
        <v>3</v>
      </c>
      <c r="E41" s="194">
        <v>9</v>
      </c>
      <c r="G41" s="8">
        <f t="shared" si="0"/>
        <v>1</v>
      </c>
    </row>
    <row r="42" spans="1:7">
      <c r="A42" s="7" t="s">
        <v>45</v>
      </c>
      <c r="B42" s="194">
        <v>25</v>
      </c>
      <c r="C42" s="194">
        <v>9</v>
      </c>
      <c r="D42" s="194">
        <v>48</v>
      </c>
      <c r="E42" s="194">
        <v>82</v>
      </c>
      <c r="G42" s="8">
        <f t="shared" si="0"/>
        <v>0.73529411764705888</v>
      </c>
    </row>
    <row r="43" spans="1:7">
      <c r="A43" s="9" t="s">
        <v>118</v>
      </c>
      <c r="B43" s="194">
        <v>7</v>
      </c>
      <c r="C43" s="194">
        <v>6</v>
      </c>
      <c r="D43" s="194">
        <v>10</v>
      </c>
      <c r="E43" s="194">
        <v>23</v>
      </c>
      <c r="G43" s="8">
        <f t="shared" si="0"/>
        <v>0.53846153846153844</v>
      </c>
    </row>
    <row r="44" spans="1:7">
      <c r="A44" s="9" t="s">
        <v>110</v>
      </c>
      <c r="B44" s="194">
        <v>1</v>
      </c>
      <c r="C44" s="194">
        <v>2</v>
      </c>
      <c r="D44" s="194">
        <v>4</v>
      </c>
      <c r="E44" s="194">
        <v>7</v>
      </c>
      <c r="G44" s="8">
        <f t="shared" si="0"/>
        <v>0.33333333333333331</v>
      </c>
    </row>
    <row r="45" spans="1:7">
      <c r="A45" s="9" t="s">
        <v>111</v>
      </c>
      <c r="B45" s="194">
        <v>3</v>
      </c>
      <c r="C45" s="194"/>
      <c r="D45" s="194">
        <v>4</v>
      </c>
      <c r="E45" s="194">
        <v>7</v>
      </c>
      <c r="G45" s="8">
        <f t="shared" si="0"/>
        <v>1</v>
      </c>
    </row>
    <row r="46" spans="1:7">
      <c r="A46" s="9" t="s">
        <v>109</v>
      </c>
      <c r="B46" s="194">
        <v>1</v>
      </c>
      <c r="C46" s="194"/>
      <c r="D46" s="194"/>
      <c r="E46" s="194">
        <v>1</v>
      </c>
      <c r="G46" s="8">
        <f t="shared" si="0"/>
        <v>1</v>
      </c>
    </row>
    <row r="47" spans="1:7">
      <c r="A47" s="9" t="s">
        <v>113</v>
      </c>
      <c r="B47" s="194">
        <v>1</v>
      </c>
      <c r="C47" s="194"/>
      <c r="D47" s="194">
        <v>7</v>
      </c>
      <c r="E47" s="194">
        <v>8</v>
      </c>
      <c r="G47" s="8">
        <f t="shared" si="0"/>
        <v>1</v>
      </c>
    </row>
    <row r="48" spans="1:7">
      <c r="A48" s="9" t="s">
        <v>117</v>
      </c>
      <c r="B48" s="194"/>
      <c r="C48" s="194"/>
      <c r="D48" s="194">
        <v>3</v>
      </c>
      <c r="E48" s="194">
        <v>3</v>
      </c>
      <c r="G48" s="8" t="e">
        <f t="shared" si="0"/>
        <v>#DIV/0!</v>
      </c>
    </row>
    <row r="49" spans="1:7">
      <c r="A49" s="9" t="s">
        <v>120</v>
      </c>
      <c r="B49" s="194">
        <v>1</v>
      </c>
      <c r="C49" s="194"/>
      <c r="D49" s="194">
        <v>2</v>
      </c>
      <c r="E49" s="194">
        <v>3</v>
      </c>
      <c r="G49" s="8">
        <f t="shared" si="0"/>
        <v>1</v>
      </c>
    </row>
    <row r="50" spans="1:7">
      <c r="A50" s="9" t="s">
        <v>114</v>
      </c>
      <c r="B50" s="194">
        <v>1</v>
      </c>
      <c r="C50" s="194"/>
      <c r="D50" s="194">
        <v>3</v>
      </c>
      <c r="E50" s="194">
        <v>4</v>
      </c>
      <c r="G50" s="8">
        <f t="shared" si="0"/>
        <v>1</v>
      </c>
    </row>
    <row r="51" spans="1:7">
      <c r="A51" s="9" t="s">
        <v>755</v>
      </c>
      <c r="B51" s="194">
        <v>9</v>
      </c>
      <c r="C51" s="194"/>
      <c r="D51" s="194">
        <v>11</v>
      </c>
      <c r="E51" s="194">
        <v>20</v>
      </c>
      <c r="G51" s="8">
        <f t="shared" si="0"/>
        <v>1</v>
      </c>
    </row>
    <row r="52" spans="1:7">
      <c r="A52" s="9" t="s">
        <v>210</v>
      </c>
      <c r="B52" s="194">
        <v>1</v>
      </c>
      <c r="C52" s="194">
        <v>1</v>
      </c>
      <c r="D52" s="194">
        <v>4</v>
      </c>
      <c r="E52" s="194">
        <v>6</v>
      </c>
      <c r="G52" s="8">
        <f t="shared" si="0"/>
        <v>0.5</v>
      </c>
    </row>
    <row r="53" spans="1:7">
      <c r="A53" s="7" t="s">
        <v>55</v>
      </c>
      <c r="B53" s="194">
        <v>42</v>
      </c>
      <c r="C53" s="194"/>
      <c r="D53" s="194">
        <v>30</v>
      </c>
      <c r="E53" s="194">
        <v>72</v>
      </c>
      <c r="G53" s="8">
        <f t="shared" si="0"/>
        <v>1</v>
      </c>
    </row>
    <row r="54" spans="1:7">
      <c r="A54" s="9" t="s">
        <v>122</v>
      </c>
      <c r="B54" s="194">
        <v>9</v>
      </c>
      <c r="C54" s="194"/>
      <c r="D54" s="194">
        <v>5</v>
      </c>
      <c r="E54" s="194">
        <v>14</v>
      </c>
      <c r="G54" s="8">
        <f t="shared" si="0"/>
        <v>1</v>
      </c>
    </row>
    <row r="55" spans="1:7">
      <c r="A55" s="9" t="s">
        <v>227</v>
      </c>
      <c r="B55" s="194">
        <v>6</v>
      </c>
      <c r="C55" s="194"/>
      <c r="D55" s="194">
        <v>8</v>
      </c>
      <c r="E55" s="194">
        <v>14</v>
      </c>
      <c r="G55" s="8">
        <f t="shared" si="0"/>
        <v>1</v>
      </c>
    </row>
    <row r="56" spans="1:7">
      <c r="A56" s="9" t="s">
        <v>640</v>
      </c>
      <c r="B56" s="194">
        <v>16</v>
      </c>
      <c r="C56" s="194"/>
      <c r="D56" s="194">
        <v>9</v>
      </c>
      <c r="E56" s="194">
        <v>25</v>
      </c>
      <c r="G56" s="8">
        <f t="shared" si="0"/>
        <v>1</v>
      </c>
    </row>
    <row r="57" spans="1:7">
      <c r="A57" s="9" t="s">
        <v>637</v>
      </c>
      <c r="B57" s="194">
        <v>11</v>
      </c>
      <c r="C57" s="194"/>
      <c r="D57" s="194">
        <v>8</v>
      </c>
      <c r="E57" s="194">
        <v>19</v>
      </c>
      <c r="G57" s="8">
        <f t="shared" si="0"/>
        <v>1</v>
      </c>
    </row>
    <row r="58" spans="1:7">
      <c r="A58" s="7" t="s">
        <v>154</v>
      </c>
      <c r="B58" s="194">
        <v>138</v>
      </c>
      <c r="C58" s="194">
        <v>11</v>
      </c>
      <c r="D58" s="194">
        <v>134</v>
      </c>
      <c r="E58" s="194">
        <v>283</v>
      </c>
      <c r="G58" s="8">
        <f t="shared" si="0"/>
        <v>0.9261744966442953</v>
      </c>
    </row>
    <row r="59" spans="1:7">
      <c r="G59" s="8" t="e">
        <f t="shared" ref="G52:G59" si="1">B59/(B59+C59)</f>
        <v>#DIV/0!</v>
      </c>
    </row>
    <row r="60" spans="1:7">
      <c r="G60" s="8" t="e">
        <f t="shared" ref="G60:G78" si="2">B60/(B60+C60)</f>
        <v>#DIV/0!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U1" zoomScale="104" workbookViewId="0">
      <selection activeCell="BC1" sqref="BC1:BC1048576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2878</v>
      </c>
      <c r="BD1" s="101" t="s">
        <v>218</v>
      </c>
      <c r="BE1" s="101"/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1406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1407</v>
      </c>
      <c r="U2" t="s">
        <v>1408</v>
      </c>
      <c r="V2" t="s">
        <v>1409</v>
      </c>
      <c r="Z2">
        <v>116.07382200000001</v>
      </c>
      <c r="AA2">
        <v>-8.7262160000000009</v>
      </c>
      <c r="AB2" t="s">
        <v>1410</v>
      </c>
      <c r="AC2" t="s">
        <v>235</v>
      </c>
      <c r="AL2" t="s">
        <v>217</v>
      </c>
      <c r="AM2" t="s">
        <v>1411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1412</v>
      </c>
      <c r="AW2" t="s">
        <v>877</v>
      </c>
      <c r="AX2" t="s">
        <v>222</v>
      </c>
      <c r="BA2" s="57">
        <v>46299.333333333336</v>
      </c>
      <c r="BB2" t="s">
        <v>1411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1002621447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M3" t="s">
        <v>76</v>
      </c>
      <c r="N3" t="s">
        <v>215</v>
      </c>
      <c r="O3" s="57">
        <v>46299.631712962961</v>
      </c>
      <c r="P3" s="57">
        <v>46300.354814814818</v>
      </c>
      <c r="Q3">
        <v>69403029</v>
      </c>
      <c r="S3">
        <v>172602204310</v>
      </c>
      <c r="T3" t="s">
        <v>1407</v>
      </c>
      <c r="U3" t="s">
        <v>1413</v>
      </c>
      <c r="V3" t="s">
        <v>1414</v>
      </c>
      <c r="Z3">
        <v>116.07343735021701</v>
      </c>
      <c r="AA3">
        <v>-8.7254262319400802</v>
      </c>
      <c r="AB3" t="s">
        <v>1410</v>
      </c>
      <c r="AC3" t="s">
        <v>229</v>
      </c>
      <c r="AL3" t="s">
        <v>217</v>
      </c>
      <c r="AM3" t="s">
        <v>1415</v>
      </c>
      <c r="AN3" t="s">
        <v>6</v>
      </c>
      <c r="AO3" s="57">
        <v>46122.642152777778</v>
      </c>
      <c r="AR3" t="s">
        <v>218</v>
      </c>
      <c r="AS3" t="s">
        <v>812</v>
      </c>
      <c r="AT3" t="s">
        <v>230</v>
      </c>
      <c r="AU3">
        <v>20261005</v>
      </c>
      <c r="AV3" t="s">
        <v>221</v>
      </c>
      <c r="AW3" t="s">
        <v>541</v>
      </c>
      <c r="AX3" t="s">
        <v>222</v>
      </c>
      <c r="BA3" s="57">
        <v>46299.291666666664</v>
      </c>
      <c r="BB3" t="s">
        <v>1415</v>
      </c>
      <c r="BC3">
        <v>2026</v>
      </c>
      <c r="BD3">
        <v>10</v>
      </c>
      <c r="BE3">
        <v>5</v>
      </c>
      <c r="BF3" s="6">
        <f t="shared" si="0"/>
        <v>46300</v>
      </c>
      <c r="BG3">
        <f t="shared" si="1"/>
        <v>0.70833333333575865</v>
      </c>
      <c r="BH3" t="str">
        <f t="shared" si="2"/>
        <v>COMPLY</v>
      </c>
      <c r="BI3" t="str">
        <f>VLOOKUP(H3,Sheet2!$A$1:$B$270,2,FALSE)</f>
        <v>SELONG</v>
      </c>
    </row>
    <row r="4" spans="1:61">
      <c r="A4">
        <v>3</v>
      </c>
      <c r="B4">
        <v>1002621340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M4" t="s">
        <v>76</v>
      </c>
      <c r="N4" t="s">
        <v>215</v>
      </c>
      <c r="O4" s="57">
        <v>46299.493310185186</v>
      </c>
      <c r="P4" s="57">
        <v>46300.350960648146</v>
      </c>
      <c r="Q4">
        <v>69399532</v>
      </c>
      <c r="S4">
        <v>172602204309</v>
      </c>
      <c r="T4" t="s">
        <v>1416</v>
      </c>
      <c r="U4" t="s">
        <v>1417</v>
      </c>
      <c r="V4" t="s">
        <v>1418</v>
      </c>
      <c r="Z4">
        <v>116.013121763043</v>
      </c>
      <c r="AA4">
        <v>-8.7516921329937798</v>
      </c>
      <c r="AB4" t="s">
        <v>1419</v>
      </c>
      <c r="AC4" t="s">
        <v>216</v>
      </c>
      <c r="AL4" t="s">
        <v>217</v>
      </c>
      <c r="AM4" t="s">
        <v>1420</v>
      </c>
      <c r="AN4" t="s">
        <v>6</v>
      </c>
      <c r="AO4" s="57">
        <v>46122.49664351852</v>
      </c>
      <c r="AR4" t="s">
        <v>218</v>
      </c>
      <c r="AS4" t="s">
        <v>812</v>
      </c>
      <c r="AT4" t="s">
        <v>230</v>
      </c>
      <c r="AU4">
        <v>20261005</v>
      </c>
      <c r="AV4" t="s">
        <v>221</v>
      </c>
      <c r="AW4" t="s">
        <v>540</v>
      </c>
      <c r="AX4" t="s">
        <v>222</v>
      </c>
      <c r="BA4" s="57">
        <v>46299.291666666664</v>
      </c>
      <c r="BB4" t="s">
        <v>1420</v>
      </c>
      <c r="BC4">
        <v>2026</v>
      </c>
      <c r="BD4">
        <v>10</v>
      </c>
      <c r="BE4">
        <v>5</v>
      </c>
      <c r="BF4" s="6">
        <f t="shared" si="0"/>
        <v>46300</v>
      </c>
      <c r="BG4">
        <f t="shared" si="1"/>
        <v>0.70833333333575865</v>
      </c>
      <c r="BH4" t="str">
        <f t="shared" si="2"/>
        <v>COMPLY</v>
      </c>
      <c r="BI4" t="str">
        <f>VLOOKUP(H4,Sheet2!$A$1:$B$270,2,FALSE)</f>
        <v>SELONG</v>
      </c>
    </row>
    <row r="5" spans="1:61">
      <c r="A5">
        <v>4</v>
      </c>
      <c r="B5">
        <v>1002620604</v>
      </c>
      <c r="C5">
        <v>3</v>
      </c>
      <c r="D5" t="s">
        <v>45</v>
      </c>
      <c r="E5">
        <v>5</v>
      </c>
      <c r="F5" t="s">
        <v>210</v>
      </c>
      <c r="G5" t="s">
        <v>112</v>
      </c>
      <c r="H5" t="s">
        <v>242</v>
      </c>
      <c r="I5" t="s">
        <v>212</v>
      </c>
      <c r="J5" t="s">
        <v>213</v>
      </c>
      <c r="K5" t="s">
        <v>149</v>
      </c>
      <c r="L5" t="s">
        <v>214</v>
      </c>
      <c r="M5" t="s">
        <v>224</v>
      </c>
      <c r="N5" t="s">
        <v>215</v>
      </c>
      <c r="O5" s="57">
        <v>46297.744849537034</v>
      </c>
      <c r="P5" s="57">
        <v>46298.646666666667</v>
      </c>
      <c r="Q5">
        <v>69403382</v>
      </c>
      <c r="S5">
        <v>172605804551</v>
      </c>
      <c r="T5" t="s">
        <v>1421</v>
      </c>
      <c r="U5" t="s">
        <v>1422</v>
      </c>
      <c r="V5" t="s">
        <v>1423</v>
      </c>
      <c r="Z5">
        <v>116.17569899999999</v>
      </c>
      <c r="AA5">
        <v>-8.6091850000000001</v>
      </c>
      <c r="AB5" t="s">
        <v>1424</v>
      </c>
      <c r="AC5" t="s">
        <v>235</v>
      </c>
      <c r="AL5" t="s">
        <v>217</v>
      </c>
      <c r="AM5" t="s">
        <v>1425</v>
      </c>
      <c r="AN5" t="s">
        <v>6</v>
      </c>
      <c r="AO5" s="57">
        <v>46063.746817129628</v>
      </c>
      <c r="AP5" s="57">
        <v>46298.625</v>
      </c>
      <c r="AR5" t="s">
        <v>18</v>
      </c>
      <c r="AS5" t="s">
        <v>219</v>
      </c>
      <c r="AT5" t="s">
        <v>230</v>
      </c>
      <c r="AV5" t="s">
        <v>226</v>
      </c>
      <c r="AW5" t="s">
        <v>1426</v>
      </c>
      <c r="AX5" t="s">
        <v>222</v>
      </c>
      <c r="BA5" s="57">
        <v>46298.625</v>
      </c>
      <c r="BB5" t="s">
        <v>1425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MATARAM</v>
      </c>
    </row>
    <row r="6" spans="1:61">
      <c r="A6">
        <v>5</v>
      </c>
      <c r="B6">
        <v>1002621187</v>
      </c>
      <c r="C6">
        <v>3</v>
      </c>
      <c r="D6" t="s">
        <v>45</v>
      </c>
      <c r="E6">
        <v>5</v>
      </c>
      <c r="F6" t="s">
        <v>210</v>
      </c>
      <c r="G6" t="s">
        <v>112</v>
      </c>
      <c r="H6" t="s">
        <v>242</v>
      </c>
      <c r="I6" t="s">
        <v>212</v>
      </c>
      <c r="J6" t="s">
        <v>213</v>
      </c>
      <c r="K6" t="s">
        <v>149</v>
      </c>
      <c r="L6" t="s">
        <v>214</v>
      </c>
      <c r="M6" t="s">
        <v>224</v>
      </c>
      <c r="N6" t="s">
        <v>215</v>
      </c>
      <c r="O6" s="57">
        <v>46298.760254629633</v>
      </c>
      <c r="P6" s="57">
        <v>46299.639803240738</v>
      </c>
      <c r="Q6">
        <v>69403754</v>
      </c>
      <c r="S6">
        <v>172605804558</v>
      </c>
      <c r="T6" t="s">
        <v>1427</v>
      </c>
      <c r="U6" t="s">
        <v>1428</v>
      </c>
      <c r="V6" t="s">
        <v>1429</v>
      </c>
      <c r="Z6">
        <v>116.15934278815899</v>
      </c>
      <c r="AA6">
        <v>-8.6577033377755601</v>
      </c>
      <c r="AB6" t="s">
        <v>1430</v>
      </c>
      <c r="AC6" t="s">
        <v>216</v>
      </c>
      <c r="AL6" t="s">
        <v>217</v>
      </c>
      <c r="AM6" t="s">
        <v>1431</v>
      </c>
      <c r="AN6" t="s">
        <v>6</v>
      </c>
      <c r="AO6" s="57">
        <v>46091.778020833335</v>
      </c>
      <c r="AP6" s="57">
        <v>46299.625</v>
      </c>
      <c r="AR6" t="s">
        <v>18</v>
      </c>
      <c r="AS6" t="s">
        <v>219</v>
      </c>
      <c r="AT6" t="s">
        <v>342</v>
      </c>
      <c r="AV6" t="s">
        <v>226</v>
      </c>
      <c r="AW6" t="s">
        <v>1432</v>
      </c>
      <c r="AX6" t="s">
        <v>222</v>
      </c>
      <c r="BA6" s="57">
        <v>46299.625</v>
      </c>
      <c r="BB6" t="s">
        <v>1431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MATARAM</v>
      </c>
    </row>
    <row r="7" spans="1:61">
      <c r="A7">
        <v>6</v>
      </c>
      <c r="B7">
        <v>1002618978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272</v>
      </c>
      <c r="I7" t="s">
        <v>212</v>
      </c>
      <c r="J7" t="s">
        <v>213</v>
      </c>
      <c r="K7" t="s">
        <v>149</v>
      </c>
      <c r="L7" t="s">
        <v>214</v>
      </c>
      <c r="M7" t="s">
        <v>841</v>
      </c>
      <c r="N7" t="s">
        <v>215</v>
      </c>
      <c r="O7" s="57">
        <v>46297.363657407404</v>
      </c>
      <c r="P7" s="57">
        <v>46298.337210648147</v>
      </c>
      <c r="Q7">
        <v>69402728</v>
      </c>
      <c r="S7">
        <v>172603791819</v>
      </c>
      <c r="T7" t="s">
        <v>1433</v>
      </c>
      <c r="U7" t="s">
        <v>1434</v>
      </c>
      <c r="V7" t="s">
        <v>1435</v>
      </c>
      <c r="Z7">
        <v>116.313012912869</v>
      </c>
      <c r="AA7">
        <v>-8.8024899953972096</v>
      </c>
      <c r="AB7" t="s">
        <v>1436</v>
      </c>
      <c r="AC7" t="s">
        <v>216</v>
      </c>
      <c r="AL7" t="s">
        <v>217</v>
      </c>
      <c r="AM7" t="s">
        <v>1437</v>
      </c>
      <c r="AN7" t="s">
        <v>6</v>
      </c>
      <c r="AO7" s="57">
        <v>46063.39334490741</v>
      </c>
      <c r="AP7" s="57">
        <v>46298.333333333336</v>
      </c>
      <c r="AR7" t="s">
        <v>1438</v>
      </c>
      <c r="AS7" t="s">
        <v>812</v>
      </c>
      <c r="AT7" t="s">
        <v>230</v>
      </c>
      <c r="AV7" t="s">
        <v>1439</v>
      </c>
      <c r="AW7" t="s">
        <v>802</v>
      </c>
      <c r="AX7" t="s">
        <v>222</v>
      </c>
      <c r="BA7" s="57">
        <v>46298.333333333336</v>
      </c>
      <c r="BB7" t="s">
        <v>1437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SELONG</v>
      </c>
    </row>
    <row r="8" spans="1:61">
      <c r="A8">
        <v>7</v>
      </c>
      <c r="B8">
        <v>1002618017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272</v>
      </c>
      <c r="I8" t="s">
        <v>1440</v>
      </c>
      <c r="J8" t="s">
        <v>213</v>
      </c>
      <c r="K8" t="s">
        <v>149</v>
      </c>
      <c r="M8" t="s">
        <v>895</v>
      </c>
      <c r="N8" t="s">
        <v>1441</v>
      </c>
      <c r="O8" s="57">
        <v>46296.587430555555</v>
      </c>
      <c r="P8" s="57">
        <v>46296.58934027778</v>
      </c>
      <c r="Q8">
        <v>69402410</v>
      </c>
      <c r="S8">
        <v>172603792345</v>
      </c>
      <c r="T8" t="s">
        <v>1442</v>
      </c>
      <c r="U8" t="s">
        <v>1443</v>
      </c>
      <c r="V8" t="s">
        <v>1444</v>
      </c>
      <c r="Z8">
        <v>116.30431652184799</v>
      </c>
      <c r="AA8">
        <v>-8.8921736558277598</v>
      </c>
      <c r="AB8" t="s">
        <v>1445</v>
      </c>
      <c r="AC8" t="s">
        <v>225</v>
      </c>
      <c r="AL8" t="s">
        <v>217</v>
      </c>
      <c r="AM8" t="s">
        <v>213</v>
      </c>
      <c r="AN8" t="s">
        <v>6</v>
      </c>
      <c r="AO8" s="57">
        <v>46032.590474537035</v>
      </c>
      <c r="AR8" t="s">
        <v>886</v>
      </c>
      <c r="AS8" t="s">
        <v>812</v>
      </c>
      <c r="AT8" t="s">
        <v>230</v>
      </c>
      <c r="AV8" t="s">
        <v>896</v>
      </c>
      <c r="AW8" t="s">
        <v>1446</v>
      </c>
      <c r="AX8" t="s">
        <v>222</v>
      </c>
      <c r="BA8" s="57">
        <v>46296.5</v>
      </c>
      <c r="BB8" t="s">
        <v>213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SELONG</v>
      </c>
    </row>
    <row r="9" spans="1:61">
      <c r="A9">
        <v>8</v>
      </c>
      <c r="B9">
        <v>1002617500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272</v>
      </c>
      <c r="I9" t="s">
        <v>1440</v>
      </c>
      <c r="J9" t="s">
        <v>213</v>
      </c>
      <c r="K9" t="s">
        <v>149</v>
      </c>
      <c r="M9" t="s">
        <v>224</v>
      </c>
      <c r="N9" t="s">
        <v>1447</v>
      </c>
      <c r="O9" s="57">
        <v>46296.459837962961</v>
      </c>
      <c r="P9" s="57">
        <v>46296.46234953704</v>
      </c>
      <c r="Q9">
        <v>69402228</v>
      </c>
      <c r="S9">
        <v>172603792338</v>
      </c>
      <c r="T9" t="s">
        <v>1448</v>
      </c>
      <c r="U9" t="s">
        <v>1449</v>
      </c>
      <c r="V9" t="s">
        <v>1450</v>
      </c>
      <c r="Z9">
        <v>116.301227268256</v>
      </c>
      <c r="AA9">
        <v>-8.8929366423666405</v>
      </c>
      <c r="AB9" t="s">
        <v>1445</v>
      </c>
      <c r="AC9" t="s">
        <v>225</v>
      </c>
      <c r="AL9" t="s">
        <v>217</v>
      </c>
      <c r="AM9" t="s">
        <v>213</v>
      </c>
      <c r="AN9" t="s">
        <v>6</v>
      </c>
      <c r="AO9" s="57">
        <v>46032.486342592594</v>
      </c>
      <c r="AR9" t="s">
        <v>18</v>
      </c>
      <c r="AS9" t="s">
        <v>812</v>
      </c>
      <c r="AT9" t="s">
        <v>230</v>
      </c>
      <c r="AV9" t="s">
        <v>226</v>
      </c>
      <c r="AW9" t="s">
        <v>1451</v>
      </c>
      <c r="AX9" t="s">
        <v>222</v>
      </c>
      <c r="BA9" s="57">
        <v>46296.5</v>
      </c>
      <c r="BB9" t="s">
        <v>213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SELONG</v>
      </c>
    </row>
    <row r="10" spans="1:61">
      <c r="A10">
        <v>9</v>
      </c>
      <c r="B10">
        <v>1002617851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272</v>
      </c>
      <c r="I10" t="s">
        <v>1440</v>
      </c>
      <c r="J10" t="s">
        <v>213</v>
      </c>
      <c r="K10" t="s">
        <v>149</v>
      </c>
      <c r="M10" t="s">
        <v>224</v>
      </c>
      <c r="N10" t="s">
        <v>1447</v>
      </c>
      <c r="O10" s="57">
        <v>46296.559872685182</v>
      </c>
      <c r="P10" s="57">
        <v>46296.562175925923</v>
      </c>
      <c r="Q10">
        <v>69402244</v>
      </c>
      <c r="S10">
        <v>172603792341</v>
      </c>
      <c r="T10" t="s">
        <v>1448</v>
      </c>
      <c r="U10" t="s">
        <v>1449</v>
      </c>
      <c r="V10" t="s">
        <v>1452</v>
      </c>
      <c r="Z10">
        <v>116.30264328211901</v>
      </c>
      <c r="AA10">
        <v>-8.8931277703965996</v>
      </c>
      <c r="AB10" t="s">
        <v>1445</v>
      </c>
      <c r="AC10" t="s">
        <v>225</v>
      </c>
      <c r="AL10" t="s">
        <v>217</v>
      </c>
      <c r="AM10" t="s">
        <v>213</v>
      </c>
      <c r="AN10" t="s">
        <v>6</v>
      </c>
      <c r="AO10" s="57">
        <v>46032.569884259261</v>
      </c>
      <c r="AR10" t="s">
        <v>18</v>
      </c>
      <c r="AS10" t="s">
        <v>812</v>
      </c>
      <c r="AT10" t="s">
        <v>230</v>
      </c>
      <c r="AV10" t="s">
        <v>226</v>
      </c>
      <c r="AW10" t="s">
        <v>1446</v>
      </c>
      <c r="AX10" t="s">
        <v>222</v>
      </c>
      <c r="BA10" s="57">
        <v>46296.5</v>
      </c>
      <c r="BB10" t="s">
        <v>213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str">
        <f>VLOOKUP(H10,Sheet2!$A$1:$B$270,2,FALSE)</f>
        <v>SELONG</v>
      </c>
    </row>
    <row r="11" spans="1:61">
      <c r="A11">
        <v>10</v>
      </c>
      <c r="B11">
        <v>1002617882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272</v>
      </c>
      <c r="I11" t="s">
        <v>1440</v>
      </c>
      <c r="J11" t="s">
        <v>213</v>
      </c>
      <c r="K11" t="s">
        <v>149</v>
      </c>
      <c r="M11" t="s">
        <v>224</v>
      </c>
      <c r="N11" t="s">
        <v>1447</v>
      </c>
      <c r="O11" s="57">
        <v>46296.566134259258</v>
      </c>
      <c r="P11" s="57">
        <v>46296.569699074076</v>
      </c>
      <c r="Q11">
        <v>69402358</v>
      </c>
      <c r="S11">
        <v>172603792344</v>
      </c>
      <c r="T11" t="s">
        <v>1448</v>
      </c>
      <c r="U11" t="s">
        <v>1453</v>
      </c>
      <c r="V11" t="s">
        <v>1454</v>
      </c>
      <c r="Z11">
        <v>116.306934241191</v>
      </c>
      <c r="AA11">
        <v>-8.8925755936267308</v>
      </c>
      <c r="AB11" t="s">
        <v>1445</v>
      </c>
      <c r="AC11" t="s">
        <v>225</v>
      </c>
      <c r="AL11" t="s">
        <v>217</v>
      </c>
      <c r="AM11" t="s">
        <v>213</v>
      </c>
      <c r="AN11" t="s">
        <v>6</v>
      </c>
      <c r="AO11" s="57">
        <v>46032.569884259261</v>
      </c>
      <c r="AR11" t="s">
        <v>18</v>
      </c>
      <c r="AS11" t="s">
        <v>812</v>
      </c>
      <c r="AT11" t="s">
        <v>230</v>
      </c>
      <c r="AV11" t="s">
        <v>226</v>
      </c>
      <c r="AW11" t="s">
        <v>1451</v>
      </c>
      <c r="AX11" t="s">
        <v>222</v>
      </c>
      <c r="BA11" s="57">
        <v>46296.5</v>
      </c>
      <c r="BB11" t="s">
        <v>213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SELONG</v>
      </c>
    </row>
    <row r="12" spans="1:61">
      <c r="A12">
        <v>11</v>
      </c>
      <c r="B12">
        <v>1002618762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272</v>
      </c>
      <c r="I12" t="s">
        <v>212</v>
      </c>
      <c r="J12" t="s">
        <v>213</v>
      </c>
      <c r="K12" t="s">
        <v>149</v>
      </c>
      <c r="L12" t="s">
        <v>214</v>
      </c>
      <c r="M12" t="s">
        <v>76</v>
      </c>
      <c r="N12" t="s">
        <v>215</v>
      </c>
      <c r="O12" s="57">
        <v>46296.742812500001</v>
      </c>
      <c r="P12" s="57">
        <v>46298.844375000001</v>
      </c>
      <c r="Q12">
        <v>69402658</v>
      </c>
      <c r="S12">
        <v>172603792347</v>
      </c>
      <c r="T12" t="s">
        <v>948</v>
      </c>
      <c r="U12" t="s">
        <v>949</v>
      </c>
      <c r="V12" t="s">
        <v>950</v>
      </c>
      <c r="Z12">
        <v>116.32773052901</v>
      </c>
      <c r="AA12">
        <v>-8.7849984904067604</v>
      </c>
      <c r="AB12" t="s">
        <v>951</v>
      </c>
      <c r="AC12" t="s">
        <v>216</v>
      </c>
      <c r="AL12" t="s">
        <v>217</v>
      </c>
      <c r="AM12" t="s">
        <v>952</v>
      </c>
      <c r="AN12" t="s">
        <v>6</v>
      </c>
      <c r="AO12" s="57">
        <v>46032.746898148151</v>
      </c>
      <c r="AP12" s="57">
        <v>46298.458333333336</v>
      </c>
      <c r="AR12" t="s">
        <v>218</v>
      </c>
      <c r="AS12" t="s">
        <v>812</v>
      </c>
      <c r="AT12" t="s">
        <v>230</v>
      </c>
      <c r="AU12">
        <v>20261003</v>
      </c>
      <c r="AV12" t="s">
        <v>221</v>
      </c>
      <c r="AW12" t="s">
        <v>802</v>
      </c>
      <c r="AX12" t="s">
        <v>222</v>
      </c>
      <c r="BA12" s="57">
        <v>46298.458333333336</v>
      </c>
      <c r="BB12" t="s">
        <v>952</v>
      </c>
      <c r="BC12">
        <v>2026</v>
      </c>
      <c r="BD12">
        <v>10</v>
      </c>
      <c r="BE12">
        <v>3</v>
      </c>
      <c r="BF12" s="6">
        <f t="shared" si="0"/>
        <v>46298</v>
      </c>
      <c r="BG12">
        <f t="shared" si="1"/>
        <v>-0.45833333333575865</v>
      </c>
      <c r="BH12" t="str">
        <f t="shared" si="2"/>
        <v>COMPLY</v>
      </c>
      <c r="BI12" t="str">
        <f>VLOOKUP(H12,Sheet2!$A$1:$B$270,2,FALSE)</f>
        <v>SELONG</v>
      </c>
    </row>
    <row r="13" spans="1:61">
      <c r="A13">
        <v>12</v>
      </c>
      <c r="B13">
        <v>1002621183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272</v>
      </c>
      <c r="I13" t="s">
        <v>212</v>
      </c>
      <c r="J13" t="s">
        <v>213</v>
      </c>
      <c r="K13" t="s">
        <v>149</v>
      </c>
      <c r="L13" t="s">
        <v>214</v>
      </c>
      <c r="M13" t="s">
        <v>76</v>
      </c>
      <c r="N13" t="s">
        <v>215</v>
      </c>
      <c r="O13" s="57">
        <v>46298.755578703705</v>
      </c>
      <c r="P13" s="57">
        <v>46299.590682870374</v>
      </c>
      <c r="Q13">
        <v>69403751</v>
      </c>
      <c r="S13">
        <v>172603792377</v>
      </c>
      <c r="T13" t="s">
        <v>1455</v>
      </c>
      <c r="U13" t="s">
        <v>1456</v>
      </c>
      <c r="V13" t="s">
        <v>1457</v>
      </c>
      <c r="Z13">
        <v>116.22030700000001</v>
      </c>
      <c r="AA13">
        <v>-8.7608580000000007</v>
      </c>
      <c r="AB13" t="s">
        <v>1458</v>
      </c>
      <c r="AC13" t="s">
        <v>235</v>
      </c>
      <c r="AL13" t="s">
        <v>217</v>
      </c>
      <c r="AM13" t="s">
        <v>1459</v>
      </c>
      <c r="AN13" t="s">
        <v>6</v>
      </c>
      <c r="AO13" s="57">
        <v>46091.757280092592</v>
      </c>
      <c r="AP13" s="57">
        <v>46300.458333333336</v>
      </c>
      <c r="AR13" t="s">
        <v>218</v>
      </c>
      <c r="AS13" t="s">
        <v>812</v>
      </c>
      <c r="AT13" t="s">
        <v>230</v>
      </c>
      <c r="AU13">
        <v>20261004</v>
      </c>
      <c r="AV13" t="s">
        <v>221</v>
      </c>
      <c r="AW13" t="s">
        <v>878</v>
      </c>
      <c r="AX13" t="s">
        <v>222</v>
      </c>
      <c r="BA13" s="57">
        <v>46300.458333333336</v>
      </c>
      <c r="BB13" t="s">
        <v>1459</v>
      </c>
      <c r="BC13">
        <v>2026</v>
      </c>
      <c r="BD13">
        <v>10</v>
      </c>
      <c r="BE13">
        <v>4</v>
      </c>
      <c r="BF13" s="6">
        <f t="shared" si="0"/>
        <v>46299</v>
      </c>
      <c r="BG13">
        <f t="shared" si="1"/>
        <v>-1.4583333333357587</v>
      </c>
      <c r="BH13" t="str">
        <f t="shared" si="2"/>
        <v>COMPLY</v>
      </c>
      <c r="BI13" t="str">
        <f>VLOOKUP(H13,Sheet2!$A$1:$B$270,2,FALSE)</f>
        <v>SELONG</v>
      </c>
    </row>
    <row r="14" spans="1:61">
      <c r="A14">
        <v>13</v>
      </c>
      <c r="B14">
        <v>1002621235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272</v>
      </c>
      <c r="I14" t="s">
        <v>212</v>
      </c>
      <c r="J14" t="s">
        <v>213</v>
      </c>
      <c r="K14" t="s">
        <v>149</v>
      </c>
      <c r="L14" t="s">
        <v>214</v>
      </c>
      <c r="M14" t="s">
        <v>76</v>
      </c>
      <c r="N14" t="s">
        <v>215</v>
      </c>
      <c r="O14" s="57">
        <v>46299.314293981479</v>
      </c>
      <c r="P14" s="57">
        <v>46299.691840277781</v>
      </c>
      <c r="Q14">
        <v>69403783</v>
      </c>
      <c r="S14">
        <v>172603792378</v>
      </c>
      <c r="T14" t="s">
        <v>1460</v>
      </c>
      <c r="U14" t="s">
        <v>1461</v>
      </c>
      <c r="V14" t="s">
        <v>1462</v>
      </c>
      <c r="Z14">
        <v>116.276986822485</v>
      </c>
      <c r="AA14">
        <v>-8.8713724455214198</v>
      </c>
      <c r="AB14" t="s">
        <v>1463</v>
      </c>
      <c r="AC14" t="s">
        <v>216</v>
      </c>
      <c r="AL14" t="s">
        <v>217</v>
      </c>
      <c r="AM14" t="s">
        <v>1464</v>
      </c>
      <c r="AN14" t="s">
        <v>6</v>
      </c>
      <c r="AO14" s="57">
        <v>46122.319525462961</v>
      </c>
      <c r="AP14" s="57">
        <v>46300.458333333336</v>
      </c>
      <c r="AR14" t="s">
        <v>218</v>
      </c>
      <c r="AS14" t="s">
        <v>812</v>
      </c>
      <c r="AT14" t="s">
        <v>230</v>
      </c>
      <c r="AU14">
        <v>20261004</v>
      </c>
      <c r="AV14" t="s">
        <v>221</v>
      </c>
      <c r="AW14" t="s">
        <v>878</v>
      </c>
      <c r="AX14" t="s">
        <v>222</v>
      </c>
      <c r="BA14" s="57">
        <v>46300.458333333336</v>
      </c>
      <c r="BB14" t="s">
        <v>1464</v>
      </c>
      <c r="BC14">
        <v>2026</v>
      </c>
      <c r="BD14">
        <v>10</v>
      </c>
      <c r="BE14">
        <v>4</v>
      </c>
      <c r="BF14" s="6">
        <f t="shared" si="0"/>
        <v>46299</v>
      </c>
      <c r="BG14">
        <f t="shared" si="1"/>
        <v>-1.4583333333357587</v>
      </c>
      <c r="BH14" t="str">
        <f t="shared" si="2"/>
        <v>COMPLY</v>
      </c>
      <c r="BI14" t="str">
        <f>VLOOKUP(H14,Sheet2!$A$1:$B$270,2,FALSE)</f>
        <v>SELONG</v>
      </c>
    </row>
    <row r="15" spans="1:61">
      <c r="A15">
        <v>14</v>
      </c>
      <c r="B15">
        <v>1002620766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272</v>
      </c>
      <c r="I15" t="s">
        <v>212</v>
      </c>
      <c r="J15" t="s">
        <v>213</v>
      </c>
      <c r="K15" t="s">
        <v>149</v>
      </c>
      <c r="L15" t="s">
        <v>214</v>
      </c>
      <c r="M15" t="s">
        <v>238</v>
      </c>
      <c r="N15" t="s">
        <v>215</v>
      </c>
      <c r="O15" s="57">
        <v>46298.390740740739</v>
      </c>
      <c r="P15" s="57">
        <v>46298.391736111109</v>
      </c>
      <c r="Q15">
        <v>69403468</v>
      </c>
      <c r="S15">
        <v>172603792364</v>
      </c>
      <c r="T15" t="s">
        <v>1465</v>
      </c>
      <c r="U15" t="s">
        <v>1466</v>
      </c>
      <c r="V15" t="s">
        <v>1467</v>
      </c>
      <c r="Z15">
        <v>116.352053</v>
      </c>
      <c r="AA15">
        <v>-8.7611553999999998</v>
      </c>
      <c r="AB15" t="s">
        <v>1468</v>
      </c>
      <c r="AC15" t="s">
        <v>235</v>
      </c>
      <c r="AL15" t="s">
        <v>217</v>
      </c>
      <c r="AM15" t="s">
        <v>1469</v>
      </c>
      <c r="AN15" t="s">
        <v>6</v>
      </c>
      <c r="AO15" s="57">
        <v>46091.392974537041</v>
      </c>
      <c r="AP15" s="57">
        <v>46305.333333333336</v>
      </c>
      <c r="AR15" t="s">
        <v>239</v>
      </c>
      <c r="AS15" t="s">
        <v>812</v>
      </c>
      <c r="AT15" t="s">
        <v>230</v>
      </c>
      <c r="AV15" t="s">
        <v>238</v>
      </c>
      <c r="AW15" t="s">
        <v>878</v>
      </c>
      <c r="AX15" t="s">
        <v>222</v>
      </c>
      <c r="BA15" s="57">
        <v>46305.333333333336</v>
      </c>
      <c r="BB15" t="s">
        <v>1469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SELONG</v>
      </c>
    </row>
    <row r="16" spans="1:61">
      <c r="A16">
        <v>15</v>
      </c>
      <c r="B16">
        <v>1002621319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272</v>
      </c>
      <c r="I16" t="s">
        <v>212</v>
      </c>
      <c r="J16" t="s">
        <v>213</v>
      </c>
      <c r="K16" t="s">
        <v>149</v>
      </c>
      <c r="L16" t="s">
        <v>214</v>
      </c>
      <c r="M16" t="s">
        <v>238</v>
      </c>
      <c r="N16" t="s">
        <v>215</v>
      </c>
      <c r="O16" s="57">
        <v>46299.457418981481</v>
      </c>
      <c r="P16" s="57">
        <v>46299.458402777775</v>
      </c>
      <c r="Q16">
        <v>69403835</v>
      </c>
      <c r="S16">
        <v>172603792380</v>
      </c>
      <c r="T16" t="s">
        <v>1470</v>
      </c>
      <c r="U16" t="s">
        <v>1471</v>
      </c>
      <c r="V16" t="s">
        <v>1472</v>
      </c>
      <c r="Z16">
        <v>116.31309304386301</v>
      </c>
      <c r="AA16">
        <v>-8.8024313504861595</v>
      </c>
      <c r="AB16" t="s">
        <v>1473</v>
      </c>
      <c r="AC16" t="s">
        <v>216</v>
      </c>
      <c r="AL16" t="s">
        <v>217</v>
      </c>
      <c r="AM16" t="s">
        <v>1474</v>
      </c>
      <c r="AN16" t="s">
        <v>6</v>
      </c>
      <c r="AO16" s="57">
        <v>46122.475601851853</v>
      </c>
      <c r="AP16" s="57">
        <v>46300.458333333336</v>
      </c>
      <c r="AR16" t="s">
        <v>239</v>
      </c>
      <c r="AS16" t="s">
        <v>812</v>
      </c>
      <c r="AT16" t="s">
        <v>230</v>
      </c>
      <c r="AV16" t="s">
        <v>238</v>
      </c>
      <c r="AW16" t="s">
        <v>802</v>
      </c>
      <c r="AX16" t="s">
        <v>222</v>
      </c>
      <c r="BA16" s="57">
        <v>46300.458333333336</v>
      </c>
      <c r="BB16" t="s">
        <v>1474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SELONG</v>
      </c>
    </row>
    <row r="17" spans="1:61">
      <c r="A17">
        <v>16</v>
      </c>
      <c r="B17">
        <v>1002621358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272</v>
      </c>
      <c r="I17" t="s">
        <v>212</v>
      </c>
      <c r="J17" t="s">
        <v>213</v>
      </c>
      <c r="K17" t="s">
        <v>149</v>
      </c>
      <c r="L17" t="s">
        <v>214</v>
      </c>
      <c r="M17" t="s">
        <v>238</v>
      </c>
      <c r="N17" t="s">
        <v>215</v>
      </c>
      <c r="O17" s="57">
        <v>46299.520543981482</v>
      </c>
      <c r="P17" s="57">
        <v>46299.522928240738</v>
      </c>
      <c r="Q17">
        <v>69403876</v>
      </c>
      <c r="S17">
        <v>172603792382</v>
      </c>
      <c r="T17" t="s">
        <v>1475</v>
      </c>
      <c r="U17" t="s">
        <v>1476</v>
      </c>
      <c r="V17" t="s">
        <v>1477</v>
      </c>
      <c r="Z17">
        <v>116.27727299999999</v>
      </c>
      <c r="AA17">
        <v>-8.7051820000000006</v>
      </c>
      <c r="AB17" t="s">
        <v>1478</v>
      </c>
      <c r="AC17" t="s">
        <v>235</v>
      </c>
      <c r="AL17" t="s">
        <v>217</v>
      </c>
      <c r="AM17" t="s">
        <v>1479</v>
      </c>
      <c r="AN17" t="s">
        <v>6</v>
      </c>
      <c r="AO17" s="57">
        <v>46122.528171296297</v>
      </c>
      <c r="AP17" s="57">
        <v>46300.458333333336</v>
      </c>
      <c r="AR17" t="s">
        <v>239</v>
      </c>
      <c r="AS17" t="s">
        <v>812</v>
      </c>
      <c r="AT17" t="s">
        <v>230</v>
      </c>
      <c r="AV17" t="s">
        <v>238</v>
      </c>
      <c r="AW17" t="s">
        <v>885</v>
      </c>
      <c r="AX17" t="s">
        <v>222</v>
      </c>
      <c r="BA17" s="57">
        <v>46300.458333333336</v>
      </c>
      <c r="BB17" t="s">
        <v>1479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SELONG</v>
      </c>
    </row>
    <row r="18" spans="1:61">
      <c r="A18">
        <v>17</v>
      </c>
      <c r="B18">
        <v>1002620545</v>
      </c>
      <c r="C18">
        <v>3</v>
      </c>
      <c r="D18" t="s">
        <v>45</v>
      </c>
      <c r="E18">
        <v>5</v>
      </c>
      <c r="F18" t="s">
        <v>210</v>
      </c>
      <c r="G18" t="s">
        <v>116</v>
      </c>
      <c r="H18" t="s">
        <v>356</v>
      </c>
      <c r="I18" t="s">
        <v>212</v>
      </c>
      <c r="J18" t="s">
        <v>213</v>
      </c>
      <c r="K18" t="s">
        <v>149</v>
      </c>
      <c r="L18" t="s">
        <v>214</v>
      </c>
      <c r="M18" t="s">
        <v>895</v>
      </c>
      <c r="N18" t="s">
        <v>215</v>
      </c>
      <c r="O18" s="57">
        <v>46297.715729166666</v>
      </c>
      <c r="P18" s="57">
        <v>46300.336597222224</v>
      </c>
      <c r="Q18">
        <v>69403341</v>
      </c>
      <c r="S18">
        <v>172619203554</v>
      </c>
      <c r="T18" t="s">
        <v>1480</v>
      </c>
      <c r="U18" t="s">
        <v>1481</v>
      </c>
      <c r="V18" t="s">
        <v>1482</v>
      </c>
      <c r="Z18">
        <v>116.472752206027</v>
      </c>
      <c r="AA18">
        <v>-8.7741713749654409</v>
      </c>
      <c r="AB18" t="s">
        <v>1483</v>
      </c>
      <c r="AC18" t="s">
        <v>216</v>
      </c>
      <c r="AL18" t="s">
        <v>217</v>
      </c>
      <c r="AM18" t="s">
        <v>1484</v>
      </c>
      <c r="AN18" t="s">
        <v>6</v>
      </c>
      <c r="AO18" s="57">
        <v>46063.736041666663</v>
      </c>
      <c r="AP18" s="57">
        <v>46300.333333333336</v>
      </c>
      <c r="AR18" t="s">
        <v>886</v>
      </c>
      <c r="AS18" t="s">
        <v>827</v>
      </c>
      <c r="AT18" t="s">
        <v>230</v>
      </c>
      <c r="AV18" t="s">
        <v>896</v>
      </c>
      <c r="AW18" t="s">
        <v>879</v>
      </c>
      <c r="AX18" t="s">
        <v>222</v>
      </c>
      <c r="BA18" s="57">
        <v>46300.333333333336</v>
      </c>
      <c r="BB18" t="s">
        <v>1484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SELONG</v>
      </c>
    </row>
    <row r="19" spans="1:61">
      <c r="A19">
        <v>18</v>
      </c>
      <c r="B19">
        <v>1002617999</v>
      </c>
      <c r="C19">
        <v>3</v>
      </c>
      <c r="D19" t="s">
        <v>45</v>
      </c>
      <c r="E19">
        <v>5</v>
      </c>
      <c r="F19" t="s">
        <v>210</v>
      </c>
      <c r="G19" t="s">
        <v>116</v>
      </c>
      <c r="H19" t="s">
        <v>356</v>
      </c>
      <c r="I19" t="s">
        <v>212</v>
      </c>
      <c r="J19" t="s">
        <v>213</v>
      </c>
      <c r="K19" t="s">
        <v>149</v>
      </c>
      <c r="L19" t="s">
        <v>214</v>
      </c>
      <c r="M19" t="s">
        <v>76</v>
      </c>
      <c r="N19" t="s">
        <v>215</v>
      </c>
      <c r="O19" s="57">
        <v>46296.584490740737</v>
      </c>
      <c r="P19" s="57">
        <v>46297.786006944443</v>
      </c>
      <c r="Q19">
        <v>69402420</v>
      </c>
      <c r="S19">
        <v>172619203547</v>
      </c>
      <c r="T19" t="s">
        <v>958</v>
      </c>
      <c r="U19" t="s">
        <v>927</v>
      </c>
      <c r="V19" t="s">
        <v>959</v>
      </c>
      <c r="Z19">
        <v>116.508950963616</v>
      </c>
      <c r="AA19">
        <v>-8.7742104745551899</v>
      </c>
      <c r="AB19" t="s">
        <v>960</v>
      </c>
      <c r="AC19" t="s">
        <v>216</v>
      </c>
      <c r="AL19" t="s">
        <v>217</v>
      </c>
      <c r="AM19" t="s">
        <v>961</v>
      </c>
      <c r="AN19" t="s">
        <v>6</v>
      </c>
      <c r="AO19" s="57">
        <v>46032.590474537035</v>
      </c>
      <c r="AP19" s="57">
        <v>46298.458333333336</v>
      </c>
      <c r="AR19" t="s">
        <v>218</v>
      </c>
      <c r="AS19" t="s">
        <v>827</v>
      </c>
      <c r="AT19" t="s">
        <v>230</v>
      </c>
      <c r="AU19">
        <v>20261002</v>
      </c>
      <c r="AV19" t="s">
        <v>221</v>
      </c>
      <c r="AW19" t="s">
        <v>928</v>
      </c>
      <c r="AX19" t="s">
        <v>222</v>
      </c>
      <c r="BA19" s="57">
        <v>46298.458333333336</v>
      </c>
      <c r="BB19" t="s">
        <v>961</v>
      </c>
      <c r="BC19">
        <v>2026</v>
      </c>
      <c r="BD19">
        <v>10</v>
      </c>
      <c r="BE19">
        <v>2</v>
      </c>
      <c r="BF19" s="6">
        <f t="shared" si="0"/>
        <v>46297</v>
      </c>
      <c r="BG19">
        <f t="shared" si="1"/>
        <v>-1.4583333333357587</v>
      </c>
      <c r="BH19" t="str">
        <f t="shared" si="2"/>
        <v>COMPLY</v>
      </c>
      <c r="BI19" t="str">
        <f>VLOOKUP(H19,Sheet2!$A$1:$B$270,2,FALSE)</f>
        <v>SELONG</v>
      </c>
    </row>
    <row r="20" spans="1:61">
      <c r="A20">
        <v>19</v>
      </c>
      <c r="B20">
        <v>1002617134</v>
      </c>
      <c r="C20">
        <v>3</v>
      </c>
      <c r="D20" t="s">
        <v>45</v>
      </c>
      <c r="E20">
        <v>5</v>
      </c>
      <c r="F20" t="s">
        <v>210</v>
      </c>
      <c r="G20" t="s">
        <v>116</v>
      </c>
      <c r="H20" t="s">
        <v>356</v>
      </c>
      <c r="I20" t="s">
        <v>212</v>
      </c>
      <c r="J20" t="s">
        <v>213</v>
      </c>
      <c r="K20" t="s">
        <v>149</v>
      </c>
      <c r="L20" t="s">
        <v>214</v>
      </c>
      <c r="M20" t="s">
        <v>76</v>
      </c>
      <c r="N20" t="s">
        <v>215</v>
      </c>
      <c r="O20" s="57">
        <v>46296.40179398148</v>
      </c>
      <c r="P20" s="57">
        <v>46296.862164351849</v>
      </c>
      <c r="Q20">
        <v>69402106</v>
      </c>
      <c r="S20">
        <v>172619203309</v>
      </c>
      <c r="T20" t="s">
        <v>953</v>
      </c>
      <c r="U20" t="s">
        <v>954</v>
      </c>
      <c r="V20" t="s">
        <v>955</v>
      </c>
      <c r="Z20">
        <v>116.47214300930401</v>
      </c>
      <c r="AA20">
        <v>-8.8049368383438704</v>
      </c>
      <c r="AB20" t="s">
        <v>956</v>
      </c>
      <c r="AC20" t="s">
        <v>216</v>
      </c>
      <c r="AL20" t="s">
        <v>217</v>
      </c>
      <c r="AM20" t="s">
        <v>957</v>
      </c>
      <c r="AN20" t="s">
        <v>6</v>
      </c>
      <c r="AO20" s="57">
        <v>46032.413738425923</v>
      </c>
      <c r="AP20" s="57">
        <v>46298.458333333336</v>
      </c>
      <c r="AR20" t="s">
        <v>218</v>
      </c>
      <c r="AS20" t="s">
        <v>827</v>
      </c>
      <c r="AT20" t="s">
        <v>230</v>
      </c>
      <c r="AU20">
        <v>20261001</v>
      </c>
      <c r="AV20" t="s">
        <v>221</v>
      </c>
      <c r="AW20" t="s">
        <v>877</v>
      </c>
      <c r="AX20" t="s">
        <v>222</v>
      </c>
      <c r="BA20" s="57">
        <v>46298.458333333336</v>
      </c>
      <c r="BB20" t="s">
        <v>957</v>
      </c>
      <c r="BC20">
        <v>2026</v>
      </c>
      <c r="BD20">
        <v>10</v>
      </c>
      <c r="BE20">
        <v>1</v>
      </c>
      <c r="BF20" s="6">
        <f t="shared" si="0"/>
        <v>46296</v>
      </c>
      <c r="BG20">
        <f t="shared" si="1"/>
        <v>-2.4583333333357587</v>
      </c>
      <c r="BH20" t="str">
        <f t="shared" si="2"/>
        <v>COMPLY</v>
      </c>
      <c r="BI20" t="str">
        <f>VLOOKUP(H20,Sheet2!$A$1:$B$270,2,FALSE)</f>
        <v>SELONG</v>
      </c>
    </row>
    <row r="21" spans="1:61">
      <c r="A21">
        <v>20</v>
      </c>
      <c r="B21">
        <v>1002621062</v>
      </c>
      <c r="C21">
        <v>3</v>
      </c>
      <c r="D21" t="s">
        <v>45</v>
      </c>
      <c r="E21">
        <v>5</v>
      </c>
      <c r="F21" t="s">
        <v>210</v>
      </c>
      <c r="G21" t="s">
        <v>116</v>
      </c>
      <c r="H21" t="s">
        <v>267</v>
      </c>
      <c r="I21" t="s">
        <v>212</v>
      </c>
      <c r="J21" t="s">
        <v>213</v>
      </c>
      <c r="K21" t="s">
        <v>149</v>
      </c>
      <c r="L21" t="s">
        <v>214</v>
      </c>
      <c r="M21" t="s">
        <v>224</v>
      </c>
      <c r="N21" t="s">
        <v>215</v>
      </c>
      <c r="O21" s="57">
        <v>46298.620532407411</v>
      </c>
      <c r="P21" s="57">
        <v>46299.479143518518</v>
      </c>
      <c r="Q21">
        <v>69403674</v>
      </c>
      <c r="S21">
        <v>172604214416</v>
      </c>
      <c r="T21" t="s">
        <v>1485</v>
      </c>
      <c r="U21" t="s">
        <v>1486</v>
      </c>
      <c r="V21" t="s">
        <v>1487</v>
      </c>
      <c r="Z21">
        <v>116.098117008805</v>
      </c>
      <c r="AA21">
        <v>-8.41501912195878</v>
      </c>
      <c r="AB21" t="s">
        <v>1488</v>
      </c>
      <c r="AC21" t="s">
        <v>216</v>
      </c>
      <c r="AL21" t="s">
        <v>217</v>
      </c>
      <c r="AM21" t="s">
        <v>1489</v>
      </c>
      <c r="AN21" t="s">
        <v>6</v>
      </c>
      <c r="AO21" s="57">
        <v>46091.621793981481</v>
      </c>
      <c r="AP21" s="57">
        <v>46299.458333333336</v>
      </c>
      <c r="AR21" t="s">
        <v>18</v>
      </c>
      <c r="AS21" t="s">
        <v>814</v>
      </c>
      <c r="AT21" t="s">
        <v>230</v>
      </c>
      <c r="AV21" t="s">
        <v>226</v>
      </c>
      <c r="AW21" t="s">
        <v>877</v>
      </c>
      <c r="AX21" t="s">
        <v>222</v>
      </c>
      <c r="BA21" s="57">
        <v>46299.458333333336</v>
      </c>
      <c r="BB21" t="s">
        <v>1489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SELONG</v>
      </c>
    </row>
    <row r="22" spans="1:61">
      <c r="A22">
        <v>21</v>
      </c>
      <c r="B22">
        <v>1002618749</v>
      </c>
      <c r="C22">
        <v>3</v>
      </c>
      <c r="D22" t="s">
        <v>45</v>
      </c>
      <c r="E22">
        <v>5</v>
      </c>
      <c r="F22" t="s">
        <v>210</v>
      </c>
      <c r="G22" t="s">
        <v>116</v>
      </c>
      <c r="H22" t="s">
        <v>267</v>
      </c>
      <c r="I22" t="s">
        <v>212</v>
      </c>
      <c r="J22" t="s">
        <v>213</v>
      </c>
      <c r="K22" t="s">
        <v>149</v>
      </c>
      <c r="M22" t="s">
        <v>76</v>
      </c>
      <c r="N22" t="s">
        <v>215</v>
      </c>
      <c r="O22" s="57">
        <v>46296.73773148148</v>
      </c>
      <c r="P22" s="57">
        <v>46297.46565972222</v>
      </c>
      <c r="Q22">
        <v>69399006</v>
      </c>
      <c r="S22">
        <v>172604214410</v>
      </c>
      <c r="T22" t="s">
        <v>912</v>
      </c>
      <c r="U22" t="s">
        <v>962</v>
      </c>
      <c r="V22" t="s">
        <v>963</v>
      </c>
      <c r="Z22">
        <v>116.284406241482</v>
      </c>
      <c r="AA22">
        <v>-8.2657515630690597</v>
      </c>
      <c r="AB22" t="s">
        <v>913</v>
      </c>
      <c r="AC22" t="s">
        <v>216</v>
      </c>
      <c r="AL22" t="s">
        <v>217</v>
      </c>
      <c r="AM22" t="s">
        <v>964</v>
      </c>
      <c r="AN22" t="s">
        <v>6</v>
      </c>
      <c r="AO22" s="57">
        <v>46032.746898148151</v>
      </c>
      <c r="AR22" t="s">
        <v>218</v>
      </c>
      <c r="AS22" t="s">
        <v>814</v>
      </c>
      <c r="AT22" t="s">
        <v>342</v>
      </c>
      <c r="AU22">
        <v>20261002</v>
      </c>
      <c r="AV22" t="s">
        <v>221</v>
      </c>
      <c r="AW22" t="s">
        <v>559</v>
      </c>
      <c r="AX22" t="s">
        <v>222</v>
      </c>
      <c r="BA22" s="57">
        <v>46296.291666666664</v>
      </c>
      <c r="BB22" t="s">
        <v>964</v>
      </c>
      <c r="BC22">
        <v>2026</v>
      </c>
      <c r="BD22">
        <v>10</v>
      </c>
      <c r="BE22">
        <v>2</v>
      </c>
      <c r="BF22" s="6">
        <f t="shared" si="0"/>
        <v>46297</v>
      </c>
      <c r="BG22">
        <f t="shared" si="1"/>
        <v>0.70833333333575865</v>
      </c>
      <c r="BH22" t="str">
        <f t="shared" si="2"/>
        <v>COMPLY</v>
      </c>
      <c r="BI22" t="str">
        <f>VLOOKUP(H22,Sheet2!$A$1:$B$270,2,FALSE)</f>
        <v>SELONG</v>
      </c>
    </row>
    <row r="23" spans="1:61">
      <c r="A23">
        <v>22</v>
      </c>
      <c r="B23">
        <v>1002620615</v>
      </c>
      <c r="C23">
        <v>3</v>
      </c>
      <c r="D23" t="s">
        <v>45</v>
      </c>
      <c r="E23">
        <v>5</v>
      </c>
      <c r="F23" t="s">
        <v>210</v>
      </c>
      <c r="G23" t="s">
        <v>116</v>
      </c>
      <c r="H23" t="s">
        <v>267</v>
      </c>
      <c r="I23" t="s">
        <v>212</v>
      </c>
      <c r="J23" t="s">
        <v>213</v>
      </c>
      <c r="K23" t="s">
        <v>149</v>
      </c>
      <c r="M23" t="s">
        <v>76</v>
      </c>
      <c r="N23" t="s">
        <v>215</v>
      </c>
      <c r="O23" s="57">
        <v>46297.752349537041</v>
      </c>
      <c r="P23" s="57">
        <v>46297.810706018521</v>
      </c>
      <c r="Q23">
        <v>69400343</v>
      </c>
      <c r="S23">
        <v>172604214412</v>
      </c>
      <c r="T23" t="s">
        <v>1490</v>
      </c>
      <c r="U23" t="s">
        <v>1491</v>
      </c>
      <c r="V23" t="s">
        <v>1492</v>
      </c>
      <c r="Z23">
        <v>116.49837970999801</v>
      </c>
      <c r="AA23">
        <v>-8.3339065777651005</v>
      </c>
      <c r="AB23" t="s">
        <v>1493</v>
      </c>
      <c r="AC23" t="s">
        <v>283</v>
      </c>
      <c r="AL23" t="s">
        <v>217</v>
      </c>
      <c r="AM23" t="s">
        <v>1494</v>
      </c>
      <c r="AN23" t="s">
        <v>6</v>
      </c>
      <c r="AO23" s="57">
        <v>46063.757476851853</v>
      </c>
      <c r="AR23" t="s">
        <v>218</v>
      </c>
      <c r="AS23" t="s">
        <v>814</v>
      </c>
      <c r="AT23" t="s">
        <v>230</v>
      </c>
      <c r="AU23">
        <v>20261002</v>
      </c>
      <c r="AV23" t="s">
        <v>221</v>
      </c>
      <c r="AW23" t="s">
        <v>1495</v>
      </c>
      <c r="AX23" t="s">
        <v>222</v>
      </c>
      <c r="BA23" s="57">
        <v>46297.291666666664</v>
      </c>
      <c r="BB23" t="s">
        <v>1494</v>
      </c>
      <c r="BC23">
        <v>2026</v>
      </c>
      <c r="BD23">
        <v>10</v>
      </c>
      <c r="BE23">
        <v>2</v>
      </c>
      <c r="BF23" s="6">
        <f t="shared" si="0"/>
        <v>46297</v>
      </c>
      <c r="BG23">
        <f t="shared" si="1"/>
        <v>-0.29166666666424135</v>
      </c>
      <c r="BH23" t="str">
        <f t="shared" si="2"/>
        <v>COMPLY</v>
      </c>
      <c r="BI23" t="str">
        <f>VLOOKUP(H23,Sheet2!$A$1:$B$270,2,FALSE)</f>
        <v>SELONG</v>
      </c>
    </row>
    <row r="24" spans="1:61">
      <c r="A24">
        <v>23</v>
      </c>
      <c r="B24">
        <v>1002618926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262</v>
      </c>
      <c r="I24" t="s">
        <v>212</v>
      </c>
      <c r="J24" t="s">
        <v>213</v>
      </c>
      <c r="K24" t="s">
        <v>149</v>
      </c>
      <c r="L24" t="s">
        <v>214</v>
      </c>
      <c r="M24" t="s">
        <v>895</v>
      </c>
      <c r="N24" t="s">
        <v>215</v>
      </c>
      <c r="O24" s="57">
        <v>46297.349756944444</v>
      </c>
      <c r="P24" s="57">
        <v>46298.464386574073</v>
      </c>
      <c r="Q24">
        <v>69402708</v>
      </c>
      <c r="S24">
        <v>172601797550</v>
      </c>
      <c r="T24" t="s">
        <v>1496</v>
      </c>
      <c r="U24" t="s">
        <v>1497</v>
      </c>
      <c r="V24" t="s">
        <v>1498</v>
      </c>
      <c r="Z24">
        <v>116.13216899335301</v>
      </c>
      <c r="AA24">
        <v>-8.5677338730114894</v>
      </c>
      <c r="AB24" t="s">
        <v>1499</v>
      </c>
      <c r="AC24" t="s">
        <v>216</v>
      </c>
      <c r="AL24" t="s">
        <v>217</v>
      </c>
      <c r="AM24" t="s">
        <v>1500</v>
      </c>
      <c r="AN24" t="s">
        <v>6</v>
      </c>
      <c r="AO24" s="57">
        <v>46063.351053240738</v>
      </c>
      <c r="AP24" s="57">
        <v>46298.458333333336</v>
      </c>
      <c r="AR24" t="s">
        <v>886</v>
      </c>
      <c r="AS24" t="s">
        <v>219</v>
      </c>
      <c r="AT24" t="s">
        <v>220</v>
      </c>
      <c r="AV24" t="s">
        <v>896</v>
      </c>
      <c r="AW24" t="s">
        <v>1501</v>
      </c>
      <c r="AX24" t="s">
        <v>222</v>
      </c>
      <c r="BA24" s="57">
        <v>46298.458333333336</v>
      </c>
      <c r="BB24" t="s">
        <v>1500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MATARAM</v>
      </c>
    </row>
    <row r="25" spans="1:61">
      <c r="A25">
        <v>24</v>
      </c>
      <c r="B25">
        <v>1002619117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262</v>
      </c>
      <c r="I25" t="s">
        <v>212</v>
      </c>
      <c r="J25" t="s">
        <v>213</v>
      </c>
      <c r="K25" t="s">
        <v>149</v>
      </c>
      <c r="L25" t="s">
        <v>214</v>
      </c>
      <c r="M25" t="s">
        <v>224</v>
      </c>
      <c r="N25" t="s">
        <v>215</v>
      </c>
      <c r="O25" s="57">
        <v>46297.391423611109</v>
      </c>
      <c r="P25" s="57">
        <v>46298.337743055556</v>
      </c>
      <c r="Q25">
        <v>69402777</v>
      </c>
      <c r="S25">
        <v>172601248263</v>
      </c>
      <c r="T25" t="s">
        <v>1502</v>
      </c>
      <c r="U25" t="s">
        <v>1503</v>
      </c>
      <c r="V25" t="s">
        <v>1504</v>
      </c>
      <c r="Z25">
        <v>116.122366860508</v>
      </c>
      <c r="AA25">
        <v>-8.5432598658307803</v>
      </c>
      <c r="AB25" t="s">
        <v>1505</v>
      </c>
      <c r="AC25" t="s">
        <v>216</v>
      </c>
      <c r="AL25" t="s">
        <v>217</v>
      </c>
      <c r="AM25" t="s">
        <v>1506</v>
      </c>
      <c r="AN25" t="s">
        <v>6</v>
      </c>
      <c r="AO25" s="57">
        <v>46063.39334490741</v>
      </c>
      <c r="AP25" s="57">
        <v>46298.333333333336</v>
      </c>
      <c r="AR25" t="s">
        <v>18</v>
      </c>
      <c r="AS25" t="s">
        <v>219</v>
      </c>
      <c r="AT25" t="s">
        <v>230</v>
      </c>
      <c r="AV25" t="s">
        <v>226</v>
      </c>
      <c r="AW25" t="s">
        <v>879</v>
      </c>
      <c r="AX25" t="s">
        <v>222</v>
      </c>
      <c r="BA25" s="57">
        <v>46298.333333333336</v>
      </c>
      <c r="BB25" t="s">
        <v>1506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str">
        <f>VLOOKUP(H25,Sheet2!$A$1:$B$270,2,FALSE)</f>
        <v>MATARAM</v>
      </c>
    </row>
    <row r="26" spans="1:61">
      <c r="A26">
        <v>25</v>
      </c>
      <c r="B26">
        <v>1002618794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262</v>
      </c>
      <c r="I26" t="s">
        <v>1440</v>
      </c>
      <c r="J26" t="s">
        <v>213</v>
      </c>
      <c r="K26" t="s">
        <v>149</v>
      </c>
      <c r="M26" t="s">
        <v>76</v>
      </c>
      <c r="N26" t="s">
        <v>1507</v>
      </c>
      <c r="O26" s="57">
        <v>46296.774328703701</v>
      </c>
      <c r="P26" s="57">
        <v>46297.32613425926</v>
      </c>
      <c r="Q26">
        <v>69400977</v>
      </c>
      <c r="S26">
        <v>172601248251</v>
      </c>
      <c r="T26" t="s">
        <v>1508</v>
      </c>
      <c r="U26" t="s">
        <v>1509</v>
      </c>
      <c r="V26" t="s">
        <v>1510</v>
      </c>
      <c r="Z26">
        <v>116.1084</v>
      </c>
      <c r="AA26">
        <v>-8.5893999999999995</v>
      </c>
      <c r="AB26" t="s">
        <v>1511</v>
      </c>
      <c r="AC26" t="s">
        <v>1512</v>
      </c>
      <c r="AL26" t="s">
        <v>217</v>
      </c>
      <c r="AM26" t="s">
        <v>1513</v>
      </c>
      <c r="AN26" t="s">
        <v>6</v>
      </c>
      <c r="AO26" s="57">
        <v>46032.777997685182</v>
      </c>
      <c r="AR26" t="s">
        <v>218</v>
      </c>
      <c r="AS26" t="s">
        <v>219</v>
      </c>
      <c r="AT26" t="s">
        <v>230</v>
      </c>
      <c r="AU26">
        <v>20261002</v>
      </c>
      <c r="AV26" t="s">
        <v>221</v>
      </c>
      <c r="AW26" t="s">
        <v>1514</v>
      </c>
      <c r="AX26" t="s">
        <v>222</v>
      </c>
      <c r="BA26" s="57">
        <v>25569.291666666668</v>
      </c>
      <c r="BB26" t="s">
        <v>1513</v>
      </c>
      <c r="BC26">
        <v>2026</v>
      </c>
      <c r="BD26">
        <v>10</v>
      </c>
      <c r="BE26">
        <v>2</v>
      </c>
      <c r="BF26" s="6">
        <f t="shared" si="0"/>
        <v>46297</v>
      </c>
      <c r="BG26">
        <f t="shared" si="1"/>
        <v>20727.708333333332</v>
      </c>
      <c r="BH26" t="str">
        <f t="shared" si="2"/>
        <v>NOT COMPLY</v>
      </c>
      <c r="BI26" t="str">
        <f>VLOOKUP(H26,Sheet2!$A$1:$B$270,2,FALSE)</f>
        <v>MATARAM</v>
      </c>
    </row>
    <row r="27" spans="1:61">
      <c r="A27">
        <v>26</v>
      </c>
      <c r="B27">
        <v>1002619938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262</v>
      </c>
      <c r="I27" t="s">
        <v>212</v>
      </c>
      <c r="J27" t="s">
        <v>213</v>
      </c>
      <c r="K27" t="s">
        <v>149</v>
      </c>
      <c r="M27" t="s">
        <v>76</v>
      </c>
      <c r="N27" t="s">
        <v>215</v>
      </c>
      <c r="O27" s="57">
        <v>46297.5940625</v>
      </c>
      <c r="P27" s="57">
        <v>46297.710972222223</v>
      </c>
      <c r="Q27">
        <v>69369262</v>
      </c>
      <c r="S27">
        <v>172601248280</v>
      </c>
      <c r="T27" t="s">
        <v>1515</v>
      </c>
      <c r="U27" t="s">
        <v>1516</v>
      </c>
      <c r="V27" t="s">
        <v>1517</v>
      </c>
      <c r="Z27">
        <v>116.07887685408799</v>
      </c>
      <c r="AA27">
        <v>-8.5864581538802298</v>
      </c>
      <c r="AB27" t="s">
        <v>1518</v>
      </c>
      <c r="AC27" t="s">
        <v>229</v>
      </c>
      <c r="AL27" t="s">
        <v>217</v>
      </c>
      <c r="AM27" t="s">
        <v>1519</v>
      </c>
      <c r="AN27" t="s">
        <v>6</v>
      </c>
      <c r="AO27" s="57">
        <v>46063.61105324074</v>
      </c>
      <c r="AR27" t="s">
        <v>218</v>
      </c>
      <c r="AS27" t="s">
        <v>219</v>
      </c>
      <c r="AT27" t="s">
        <v>230</v>
      </c>
      <c r="AU27">
        <v>20261002</v>
      </c>
      <c r="AV27" t="s">
        <v>221</v>
      </c>
      <c r="AW27" t="s">
        <v>540</v>
      </c>
      <c r="AX27" t="s">
        <v>222</v>
      </c>
      <c r="BA27" s="57">
        <v>46297.291666666664</v>
      </c>
      <c r="BB27" t="s">
        <v>1519</v>
      </c>
      <c r="BC27">
        <v>2026</v>
      </c>
      <c r="BD27">
        <v>10</v>
      </c>
      <c r="BE27">
        <v>2</v>
      </c>
      <c r="BF27" s="6">
        <f t="shared" si="0"/>
        <v>46297</v>
      </c>
      <c r="BG27">
        <f t="shared" si="1"/>
        <v>-0.29166666666424135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1002618712</v>
      </c>
      <c r="C28">
        <v>3</v>
      </c>
      <c r="D28" t="s">
        <v>45</v>
      </c>
      <c r="E28">
        <v>5</v>
      </c>
      <c r="F28" t="s">
        <v>210</v>
      </c>
      <c r="G28" t="s">
        <v>110</v>
      </c>
      <c r="H28" t="s">
        <v>443</v>
      </c>
      <c r="I28" t="s">
        <v>212</v>
      </c>
      <c r="J28" t="s">
        <v>213</v>
      </c>
      <c r="K28" t="s">
        <v>149</v>
      </c>
      <c r="M28" t="s">
        <v>224</v>
      </c>
      <c r="N28" t="s">
        <v>215</v>
      </c>
      <c r="O28" s="57">
        <v>46296.722210648149</v>
      </c>
      <c r="P28" s="57">
        <v>46297.558194444442</v>
      </c>
      <c r="Q28">
        <v>69399079</v>
      </c>
      <c r="S28">
        <v>172610305882</v>
      </c>
      <c r="T28" t="s">
        <v>914</v>
      </c>
      <c r="U28" t="s">
        <v>905</v>
      </c>
      <c r="V28" t="s">
        <v>965</v>
      </c>
      <c r="Z28">
        <v>119.010786571083</v>
      </c>
      <c r="AA28">
        <v>-8.5810439764457396</v>
      </c>
      <c r="AB28" t="s">
        <v>915</v>
      </c>
      <c r="AC28" t="s">
        <v>216</v>
      </c>
      <c r="AL28" t="s">
        <v>217</v>
      </c>
      <c r="AM28" t="s">
        <v>966</v>
      </c>
      <c r="AN28" t="s">
        <v>6</v>
      </c>
      <c r="AO28" s="57">
        <v>46032.726099537038</v>
      </c>
      <c r="AR28" t="s">
        <v>18</v>
      </c>
      <c r="AS28" t="s">
        <v>815</v>
      </c>
      <c r="AT28" t="s">
        <v>342</v>
      </c>
      <c r="AV28" t="s">
        <v>226</v>
      </c>
      <c r="AW28" t="s">
        <v>540</v>
      </c>
      <c r="AX28" t="s">
        <v>222</v>
      </c>
      <c r="BA28" s="57">
        <v>46296.291666666664</v>
      </c>
      <c r="BB28" t="s">
        <v>966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str">
        <f>VLOOKUP(H28,Sheet2!$A$1:$B$270,2,FALSE)</f>
        <v>BIMA</v>
      </c>
    </row>
    <row r="29" spans="1:61">
      <c r="A29">
        <v>28</v>
      </c>
      <c r="B29">
        <v>1002616820</v>
      </c>
      <c r="C29">
        <v>3</v>
      </c>
      <c r="D29" t="s">
        <v>45</v>
      </c>
      <c r="E29">
        <v>5</v>
      </c>
      <c r="F29" t="s">
        <v>210</v>
      </c>
      <c r="G29" t="s">
        <v>110</v>
      </c>
      <c r="H29" t="s">
        <v>467</v>
      </c>
      <c r="I29" t="s">
        <v>212</v>
      </c>
      <c r="J29" t="s">
        <v>213</v>
      </c>
      <c r="K29" t="s">
        <v>149</v>
      </c>
      <c r="L29" t="s">
        <v>214</v>
      </c>
      <c r="M29" t="s">
        <v>76</v>
      </c>
      <c r="N29" t="s">
        <v>215</v>
      </c>
      <c r="O29" s="57">
        <v>46296.30809027778</v>
      </c>
      <c r="P29" s="57">
        <v>46297.771481481483</v>
      </c>
      <c r="Q29">
        <v>69401995</v>
      </c>
      <c r="S29">
        <v>172617203143</v>
      </c>
      <c r="T29" t="s">
        <v>967</v>
      </c>
      <c r="U29" t="s">
        <v>968</v>
      </c>
      <c r="V29" t="s">
        <v>969</v>
      </c>
      <c r="Z29">
        <v>118.587181</v>
      </c>
      <c r="AA29">
        <v>-8.5123169999999995</v>
      </c>
      <c r="AB29" t="s">
        <v>970</v>
      </c>
      <c r="AC29" t="s">
        <v>235</v>
      </c>
      <c r="AL29" t="s">
        <v>217</v>
      </c>
      <c r="AM29" t="s">
        <v>971</v>
      </c>
      <c r="AN29" t="s">
        <v>6</v>
      </c>
      <c r="AO29" s="57">
        <v>46032.319768518515</v>
      </c>
      <c r="AP29" s="57">
        <v>46297.333333333336</v>
      </c>
      <c r="AR29" t="s">
        <v>218</v>
      </c>
      <c r="AS29" t="s">
        <v>815</v>
      </c>
      <c r="AT29" t="s">
        <v>220</v>
      </c>
      <c r="AU29">
        <v>20261002</v>
      </c>
      <c r="AV29" t="s">
        <v>221</v>
      </c>
      <c r="AW29" t="s">
        <v>873</v>
      </c>
      <c r="AX29" t="s">
        <v>222</v>
      </c>
      <c r="BA29" s="57">
        <v>46297.333333333336</v>
      </c>
      <c r="BB29" t="s">
        <v>971</v>
      </c>
      <c r="BC29">
        <v>2026</v>
      </c>
      <c r="BD29">
        <v>10</v>
      </c>
      <c r="BE29">
        <v>2</v>
      </c>
      <c r="BF29" s="6">
        <f t="shared" si="0"/>
        <v>46297</v>
      </c>
      <c r="BG29">
        <f t="shared" si="1"/>
        <v>-0.33333333333575865</v>
      </c>
      <c r="BH29" t="str">
        <f t="shared" si="2"/>
        <v>COMPLY</v>
      </c>
      <c r="BI29" t="str">
        <f>VLOOKUP(H29,Sheet2!$A$1:$B$270,2,FALSE)</f>
        <v>BIMA</v>
      </c>
    </row>
    <row r="30" spans="1:61">
      <c r="A30">
        <v>29</v>
      </c>
      <c r="B30">
        <v>1002620949</v>
      </c>
      <c r="C30">
        <v>3</v>
      </c>
      <c r="D30" t="s">
        <v>45</v>
      </c>
      <c r="E30">
        <v>5</v>
      </c>
      <c r="F30" t="s">
        <v>210</v>
      </c>
      <c r="G30" t="s">
        <v>110</v>
      </c>
      <c r="H30" t="s">
        <v>467</v>
      </c>
      <c r="I30" t="s">
        <v>212</v>
      </c>
      <c r="J30" t="s">
        <v>213</v>
      </c>
      <c r="K30" t="s">
        <v>149</v>
      </c>
      <c r="L30" t="s">
        <v>214</v>
      </c>
      <c r="M30" t="s">
        <v>238</v>
      </c>
      <c r="N30" t="s">
        <v>215</v>
      </c>
      <c r="O30" s="57">
        <v>46298.534421296295</v>
      </c>
      <c r="P30" s="57">
        <v>46298.537870370368</v>
      </c>
      <c r="Q30">
        <v>69403591</v>
      </c>
      <c r="S30">
        <v>172617203150</v>
      </c>
      <c r="T30" t="s">
        <v>1520</v>
      </c>
      <c r="U30" t="s">
        <v>1521</v>
      </c>
      <c r="V30" t="s">
        <v>1522</v>
      </c>
      <c r="Z30">
        <v>118.620157577097</v>
      </c>
      <c r="AA30">
        <v>-8.5052059632253307</v>
      </c>
      <c r="AB30" t="s">
        <v>1523</v>
      </c>
      <c r="AC30" t="s">
        <v>216</v>
      </c>
      <c r="AL30" t="s">
        <v>217</v>
      </c>
      <c r="AM30" t="s">
        <v>1524</v>
      </c>
      <c r="AN30" t="s">
        <v>6</v>
      </c>
      <c r="AO30" s="57">
        <v>46091.549074074072</v>
      </c>
      <c r="AP30" s="57">
        <v>46305.333333333336</v>
      </c>
      <c r="AR30" t="s">
        <v>239</v>
      </c>
      <c r="AS30" t="s">
        <v>815</v>
      </c>
      <c r="AT30" t="s">
        <v>220</v>
      </c>
      <c r="AV30" t="s">
        <v>238</v>
      </c>
      <c r="AW30" t="s">
        <v>873</v>
      </c>
      <c r="AX30" t="s">
        <v>222</v>
      </c>
      <c r="BA30" s="57">
        <v>46305.333333333336</v>
      </c>
      <c r="BB30" t="s">
        <v>1524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BIMA</v>
      </c>
    </row>
    <row r="31" spans="1:61">
      <c r="A31">
        <v>30</v>
      </c>
      <c r="B31">
        <v>1002617728</v>
      </c>
      <c r="C31">
        <v>3</v>
      </c>
      <c r="D31" t="s">
        <v>45</v>
      </c>
      <c r="E31">
        <v>5</v>
      </c>
      <c r="F31" t="s">
        <v>210</v>
      </c>
      <c r="G31" t="s">
        <v>110</v>
      </c>
      <c r="H31" t="s">
        <v>237</v>
      </c>
      <c r="I31" t="s">
        <v>1440</v>
      </c>
      <c r="J31" t="s">
        <v>213</v>
      </c>
      <c r="K31" t="s">
        <v>149</v>
      </c>
      <c r="M31" t="s">
        <v>841</v>
      </c>
      <c r="N31" t="s">
        <v>1507</v>
      </c>
      <c r="O31" s="57">
        <v>46296.519907407404</v>
      </c>
      <c r="P31" s="57">
        <v>46296.540254629632</v>
      </c>
      <c r="Q31">
        <v>69397628</v>
      </c>
      <c r="S31">
        <v>172616790515</v>
      </c>
      <c r="T31" t="s">
        <v>1525</v>
      </c>
      <c r="U31" t="s">
        <v>1526</v>
      </c>
      <c r="V31" t="s">
        <v>1527</v>
      </c>
      <c r="Z31">
        <v>118.66843733347299</v>
      </c>
      <c r="AA31">
        <v>-8.6908476808720998</v>
      </c>
      <c r="AB31" t="s">
        <v>1528</v>
      </c>
      <c r="AC31" t="s">
        <v>284</v>
      </c>
      <c r="AL31" t="s">
        <v>217</v>
      </c>
      <c r="AM31" t="s">
        <v>213</v>
      </c>
      <c r="AN31" t="s">
        <v>6</v>
      </c>
      <c r="AO31" s="57">
        <v>46032.559305555558</v>
      </c>
      <c r="AQ31" t="s">
        <v>1529</v>
      </c>
      <c r="AR31" t="s">
        <v>842</v>
      </c>
      <c r="AS31" t="s">
        <v>815</v>
      </c>
      <c r="AT31" t="s">
        <v>230</v>
      </c>
      <c r="AV31" t="s">
        <v>1530</v>
      </c>
      <c r="AW31" t="s">
        <v>1451</v>
      </c>
      <c r="AX31" t="s">
        <v>222</v>
      </c>
      <c r="BA31" s="57">
        <v>25569.291666666668</v>
      </c>
      <c r="BB31" t="s">
        <v>213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str">
        <f>VLOOKUP(H31,Sheet2!$A$1:$B$270,2,FALSE)</f>
        <v>BIMA</v>
      </c>
    </row>
    <row r="32" spans="1:61">
      <c r="A32">
        <v>31</v>
      </c>
      <c r="B32">
        <v>1002617802</v>
      </c>
      <c r="C32">
        <v>3</v>
      </c>
      <c r="D32" t="s">
        <v>45</v>
      </c>
      <c r="E32">
        <v>5</v>
      </c>
      <c r="F32" t="s">
        <v>210</v>
      </c>
      <c r="G32" t="s">
        <v>110</v>
      </c>
      <c r="H32" t="s">
        <v>237</v>
      </c>
      <c r="I32" t="s">
        <v>1440</v>
      </c>
      <c r="J32" t="s">
        <v>213</v>
      </c>
      <c r="K32" t="s">
        <v>149</v>
      </c>
      <c r="M32" t="s">
        <v>76</v>
      </c>
      <c r="N32" t="s">
        <v>1447</v>
      </c>
      <c r="O32" s="57">
        <v>46296.548009259262</v>
      </c>
      <c r="P32" s="57">
        <v>46296.68105324074</v>
      </c>
      <c r="Q32">
        <v>69283220</v>
      </c>
      <c r="S32">
        <v>172616790517</v>
      </c>
      <c r="T32" t="s">
        <v>1531</v>
      </c>
      <c r="U32" t="s">
        <v>1526</v>
      </c>
      <c r="V32" t="s">
        <v>1532</v>
      </c>
      <c r="Z32">
        <v>118.669531120787</v>
      </c>
      <c r="AA32">
        <v>-8.6907218146498106</v>
      </c>
      <c r="AB32" t="s">
        <v>1533</v>
      </c>
      <c r="AC32" t="s">
        <v>225</v>
      </c>
      <c r="AL32" t="s">
        <v>217</v>
      </c>
      <c r="AM32" t="s">
        <v>213</v>
      </c>
      <c r="AN32" t="s">
        <v>6</v>
      </c>
      <c r="AO32" s="57">
        <v>46032.559305555558</v>
      </c>
      <c r="AR32" t="s">
        <v>218</v>
      </c>
      <c r="AS32" t="s">
        <v>815</v>
      </c>
      <c r="AT32" t="s">
        <v>230</v>
      </c>
      <c r="AU32">
        <v>20261001</v>
      </c>
      <c r="AV32" t="s">
        <v>221</v>
      </c>
      <c r="AW32" t="s">
        <v>1534</v>
      </c>
      <c r="AX32" t="s">
        <v>222</v>
      </c>
      <c r="BA32" s="57">
        <v>25569.291666666668</v>
      </c>
      <c r="BB32" t="s">
        <v>213</v>
      </c>
      <c r="BC32">
        <v>2026</v>
      </c>
      <c r="BD32">
        <v>10</v>
      </c>
      <c r="BE32">
        <v>1</v>
      </c>
      <c r="BF32" s="6">
        <f t="shared" si="0"/>
        <v>46296</v>
      </c>
      <c r="BG32">
        <f t="shared" si="1"/>
        <v>20726.708333333332</v>
      </c>
      <c r="BH32" t="str">
        <f t="shared" si="2"/>
        <v>NOT COMPLY</v>
      </c>
      <c r="BI32" t="str">
        <f>VLOOKUP(H32,Sheet2!$A$1:$B$270,2,FALSE)</f>
        <v>BIMA</v>
      </c>
    </row>
    <row r="33" spans="1:61">
      <c r="A33">
        <v>32</v>
      </c>
      <c r="B33">
        <v>1002620771</v>
      </c>
      <c r="C33">
        <v>3</v>
      </c>
      <c r="D33" t="s">
        <v>45</v>
      </c>
      <c r="E33">
        <v>5</v>
      </c>
      <c r="F33" t="s">
        <v>210</v>
      </c>
      <c r="G33" t="s">
        <v>110</v>
      </c>
      <c r="H33" t="s">
        <v>311</v>
      </c>
      <c r="I33" t="s">
        <v>212</v>
      </c>
      <c r="J33" t="s">
        <v>213</v>
      </c>
      <c r="K33" t="s">
        <v>149</v>
      </c>
      <c r="M33" t="s">
        <v>841</v>
      </c>
      <c r="N33" t="s">
        <v>215</v>
      </c>
      <c r="O33" s="57">
        <v>46298.395844907405</v>
      </c>
      <c r="P33" s="57">
        <v>46299.986504629633</v>
      </c>
      <c r="Q33">
        <v>69397281</v>
      </c>
      <c r="S33">
        <v>172611786496</v>
      </c>
      <c r="T33" t="s">
        <v>1535</v>
      </c>
      <c r="U33" t="s">
        <v>1536</v>
      </c>
      <c r="V33" t="s">
        <v>1537</v>
      </c>
      <c r="Z33">
        <v>118.460014288861</v>
      </c>
      <c r="AA33">
        <v>-8.5409235837202893</v>
      </c>
      <c r="AB33" t="s">
        <v>1538</v>
      </c>
      <c r="AC33" t="s">
        <v>216</v>
      </c>
      <c r="AL33" t="s">
        <v>217</v>
      </c>
      <c r="AM33" t="s">
        <v>1539</v>
      </c>
      <c r="AN33" t="s">
        <v>6</v>
      </c>
      <c r="AO33" s="57">
        <v>46091.40283564815</v>
      </c>
      <c r="AR33" t="s">
        <v>1540</v>
      </c>
      <c r="AS33" t="s">
        <v>557</v>
      </c>
      <c r="AT33" t="s">
        <v>230</v>
      </c>
      <c r="AV33" t="s">
        <v>1541</v>
      </c>
      <c r="AW33" t="s">
        <v>559</v>
      </c>
      <c r="AX33" t="s">
        <v>222</v>
      </c>
      <c r="BA33" s="57">
        <v>46298.291666666664</v>
      </c>
      <c r="BB33" t="s">
        <v>1539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BIMA</v>
      </c>
    </row>
    <row r="34" spans="1:61">
      <c r="A34">
        <v>33</v>
      </c>
      <c r="B34">
        <v>1002620781</v>
      </c>
      <c r="C34">
        <v>3</v>
      </c>
      <c r="D34" t="s">
        <v>45</v>
      </c>
      <c r="E34">
        <v>5</v>
      </c>
      <c r="F34" t="s">
        <v>210</v>
      </c>
      <c r="G34" t="s">
        <v>110</v>
      </c>
      <c r="H34" t="s">
        <v>311</v>
      </c>
      <c r="I34" t="s">
        <v>1440</v>
      </c>
      <c r="J34" t="s">
        <v>213</v>
      </c>
      <c r="K34" t="s">
        <v>149</v>
      </c>
      <c r="M34" t="s">
        <v>76</v>
      </c>
      <c r="N34" t="s">
        <v>1507</v>
      </c>
      <c r="O34" s="57">
        <v>46298.399293981478</v>
      </c>
      <c r="P34" s="57">
        <v>46298.5859837963</v>
      </c>
      <c r="Q34">
        <v>69399747</v>
      </c>
      <c r="S34">
        <v>172611786497</v>
      </c>
      <c r="T34" t="s">
        <v>1542</v>
      </c>
      <c r="U34" t="s">
        <v>1543</v>
      </c>
      <c r="V34" t="s">
        <v>1544</v>
      </c>
      <c r="Z34">
        <v>118.463866803789</v>
      </c>
      <c r="AA34">
        <v>-8.5354537662657801</v>
      </c>
      <c r="AB34" t="s">
        <v>1545</v>
      </c>
      <c r="AC34" t="s">
        <v>225</v>
      </c>
      <c r="AL34" t="s">
        <v>217</v>
      </c>
      <c r="AM34" t="s">
        <v>1513</v>
      </c>
      <c r="AN34" t="s">
        <v>6</v>
      </c>
      <c r="AO34" s="57">
        <v>46091.40283564815</v>
      </c>
      <c r="AR34" t="s">
        <v>218</v>
      </c>
      <c r="AS34" t="s">
        <v>557</v>
      </c>
      <c r="AT34" t="s">
        <v>230</v>
      </c>
      <c r="AU34">
        <v>20261003</v>
      </c>
      <c r="AV34" t="s">
        <v>221</v>
      </c>
      <c r="AW34" t="s">
        <v>1546</v>
      </c>
      <c r="AX34" t="s">
        <v>222</v>
      </c>
      <c r="BA34" s="57">
        <v>25569.291666666668</v>
      </c>
      <c r="BB34" t="s">
        <v>1513</v>
      </c>
      <c r="BC34">
        <v>2026</v>
      </c>
      <c r="BD34">
        <v>10</v>
      </c>
      <c r="BE34">
        <v>3</v>
      </c>
      <c r="BF34" s="6">
        <f t="shared" si="0"/>
        <v>46298</v>
      </c>
      <c r="BG34">
        <f t="shared" si="1"/>
        <v>20728.708333333332</v>
      </c>
      <c r="BH34" t="str">
        <f t="shared" si="2"/>
        <v>NOT COMPLY</v>
      </c>
      <c r="BI34" t="str">
        <f>VLOOKUP(H34,Sheet2!$A$1:$B$270,2,FALSE)</f>
        <v>BIMA</v>
      </c>
    </row>
    <row r="35" spans="1:61">
      <c r="A35">
        <v>34</v>
      </c>
      <c r="B35">
        <v>1002619534</v>
      </c>
      <c r="C35">
        <v>3</v>
      </c>
      <c r="D35" t="s">
        <v>45</v>
      </c>
      <c r="E35">
        <v>5</v>
      </c>
      <c r="F35" t="s">
        <v>210</v>
      </c>
      <c r="G35" t="s">
        <v>118</v>
      </c>
      <c r="H35" t="s">
        <v>211</v>
      </c>
      <c r="I35" t="s">
        <v>212</v>
      </c>
      <c r="J35" t="s">
        <v>213</v>
      </c>
      <c r="K35" t="s">
        <v>149</v>
      </c>
      <c r="L35" t="s">
        <v>214</v>
      </c>
      <c r="M35" t="s">
        <v>1406</v>
      </c>
      <c r="N35" t="s">
        <v>215</v>
      </c>
      <c r="O35" s="57">
        <v>46297.474062499998</v>
      </c>
      <c r="P35" s="57">
        <v>46299.392905092594</v>
      </c>
      <c r="Q35">
        <v>69402948</v>
      </c>
      <c r="S35">
        <v>172606792365</v>
      </c>
      <c r="T35" t="s">
        <v>1547</v>
      </c>
      <c r="U35" t="s">
        <v>1548</v>
      </c>
      <c r="V35" t="s">
        <v>1549</v>
      </c>
      <c r="Z35">
        <v>117.435237290834</v>
      </c>
      <c r="AA35">
        <v>-8.5304424068142204</v>
      </c>
      <c r="AB35" t="s">
        <v>1550</v>
      </c>
      <c r="AC35" t="s">
        <v>235</v>
      </c>
      <c r="AL35" t="s">
        <v>217</v>
      </c>
      <c r="AM35" t="s">
        <v>1551</v>
      </c>
      <c r="AN35" t="s">
        <v>6</v>
      </c>
      <c r="AO35" s="57">
        <v>46063.475972222222</v>
      </c>
      <c r="AP35" s="57">
        <v>46298.458333333336</v>
      </c>
      <c r="AR35" t="s">
        <v>14</v>
      </c>
      <c r="AS35" t="s">
        <v>219</v>
      </c>
      <c r="AT35" t="s">
        <v>230</v>
      </c>
      <c r="AV35" t="s">
        <v>1552</v>
      </c>
      <c r="AW35" t="s">
        <v>882</v>
      </c>
      <c r="AX35" t="s">
        <v>222</v>
      </c>
      <c r="BA35" s="57">
        <v>46298.458333333336</v>
      </c>
      <c r="BB35" t="s">
        <v>1551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SUMBAWA</v>
      </c>
    </row>
    <row r="36" spans="1:61">
      <c r="A36">
        <v>35</v>
      </c>
      <c r="B36">
        <v>1002616833</v>
      </c>
      <c r="C36">
        <v>3</v>
      </c>
      <c r="D36" t="s">
        <v>45</v>
      </c>
      <c r="E36">
        <v>5</v>
      </c>
      <c r="F36" t="s">
        <v>210</v>
      </c>
      <c r="G36" t="s">
        <v>118</v>
      </c>
      <c r="H36" t="s">
        <v>211</v>
      </c>
      <c r="I36" t="s">
        <v>212</v>
      </c>
      <c r="J36" t="s">
        <v>213</v>
      </c>
      <c r="K36" t="s">
        <v>149</v>
      </c>
      <c r="L36" t="s">
        <v>214</v>
      </c>
      <c r="M36" t="s">
        <v>838</v>
      </c>
      <c r="N36" t="s">
        <v>215</v>
      </c>
      <c r="O36" s="57">
        <v>46296.328946759262</v>
      </c>
      <c r="P36" s="57">
        <v>46298.521770833337</v>
      </c>
      <c r="Q36">
        <v>69402001</v>
      </c>
      <c r="S36">
        <v>172606792351</v>
      </c>
      <c r="T36" t="s">
        <v>911</v>
      </c>
      <c r="U36" t="s">
        <v>972</v>
      </c>
      <c r="V36" t="s">
        <v>973</v>
      </c>
      <c r="Z36">
        <v>117.602678015828</v>
      </c>
      <c r="AA36">
        <v>-8.6273268453709395</v>
      </c>
      <c r="AB36" t="s">
        <v>974</v>
      </c>
      <c r="AC36" t="s">
        <v>216</v>
      </c>
      <c r="AL36" t="s">
        <v>217</v>
      </c>
      <c r="AM36" t="s">
        <v>975</v>
      </c>
      <c r="AN36" t="s">
        <v>6</v>
      </c>
      <c r="AO36" s="57">
        <v>46032.330370370371</v>
      </c>
      <c r="AP36" s="57">
        <v>46297.333333333336</v>
      </c>
      <c r="AQ36" t="s">
        <v>1529</v>
      </c>
      <c r="AR36" t="s">
        <v>14</v>
      </c>
      <c r="AS36" t="s">
        <v>219</v>
      </c>
      <c r="AT36" t="s">
        <v>342</v>
      </c>
      <c r="AV36" t="s">
        <v>839</v>
      </c>
      <c r="AW36" t="s">
        <v>976</v>
      </c>
      <c r="AX36" t="s">
        <v>222</v>
      </c>
      <c r="BA36" s="57">
        <v>46297.333333333336</v>
      </c>
      <c r="BB36" t="s">
        <v>975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SUMBAWA</v>
      </c>
    </row>
    <row r="37" spans="1:61">
      <c r="A37">
        <v>36</v>
      </c>
      <c r="B37">
        <v>1002619632</v>
      </c>
      <c r="C37">
        <v>3</v>
      </c>
      <c r="D37" t="s">
        <v>45</v>
      </c>
      <c r="E37">
        <v>5</v>
      </c>
      <c r="F37" t="s">
        <v>210</v>
      </c>
      <c r="G37" t="s">
        <v>118</v>
      </c>
      <c r="H37" t="s">
        <v>211</v>
      </c>
      <c r="I37" t="s">
        <v>212</v>
      </c>
      <c r="J37" t="s">
        <v>213</v>
      </c>
      <c r="K37" t="s">
        <v>149</v>
      </c>
      <c r="L37" t="s">
        <v>214</v>
      </c>
      <c r="M37" t="s">
        <v>224</v>
      </c>
      <c r="N37" t="s">
        <v>215</v>
      </c>
      <c r="O37" s="57">
        <v>46297.499016203707</v>
      </c>
      <c r="P37" s="57">
        <v>46298.467800925922</v>
      </c>
      <c r="Q37">
        <v>69403008</v>
      </c>
      <c r="S37">
        <v>172606792367</v>
      </c>
      <c r="T37" t="s">
        <v>1553</v>
      </c>
      <c r="U37" t="s">
        <v>1554</v>
      </c>
      <c r="V37" t="s">
        <v>1555</v>
      </c>
      <c r="Z37">
        <v>117.4945766</v>
      </c>
      <c r="AA37">
        <v>-8.5185905999999996</v>
      </c>
      <c r="AB37" t="s">
        <v>1556</v>
      </c>
      <c r="AC37" t="s">
        <v>235</v>
      </c>
      <c r="AL37" t="s">
        <v>217</v>
      </c>
      <c r="AM37" t="s">
        <v>1557</v>
      </c>
      <c r="AN37" t="s">
        <v>6</v>
      </c>
      <c r="AO37" s="57">
        <v>46063.507453703707</v>
      </c>
      <c r="AP37" s="57">
        <v>46298.458333333336</v>
      </c>
      <c r="AR37" t="s">
        <v>18</v>
      </c>
      <c r="AS37" t="s">
        <v>219</v>
      </c>
      <c r="AT37" t="s">
        <v>220</v>
      </c>
      <c r="AV37" t="s">
        <v>226</v>
      </c>
      <c r="AW37" t="s">
        <v>1558</v>
      </c>
      <c r="AX37" t="s">
        <v>222</v>
      </c>
      <c r="BA37" s="57">
        <v>46298.458333333336</v>
      </c>
      <c r="BB37" t="s">
        <v>1557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SUMBAWA</v>
      </c>
    </row>
    <row r="38" spans="1:61">
      <c r="A38">
        <v>37</v>
      </c>
      <c r="B38">
        <v>1002621261</v>
      </c>
      <c r="C38">
        <v>3</v>
      </c>
      <c r="D38" t="s">
        <v>45</v>
      </c>
      <c r="E38">
        <v>5</v>
      </c>
      <c r="F38" t="s">
        <v>210</v>
      </c>
      <c r="G38" t="s">
        <v>118</v>
      </c>
      <c r="H38" t="s">
        <v>211</v>
      </c>
      <c r="I38" t="s">
        <v>212</v>
      </c>
      <c r="J38" t="s">
        <v>213</v>
      </c>
      <c r="K38" t="s">
        <v>149</v>
      </c>
      <c r="M38" t="s">
        <v>76</v>
      </c>
      <c r="N38" t="s">
        <v>215</v>
      </c>
      <c r="O38" s="57">
        <v>46299.392916666664</v>
      </c>
      <c r="P38" s="57">
        <v>46299.468842592592</v>
      </c>
      <c r="Q38">
        <v>69402948</v>
      </c>
      <c r="S38">
        <v>172606792357</v>
      </c>
      <c r="T38" t="s">
        <v>1547</v>
      </c>
      <c r="U38" t="s">
        <v>1559</v>
      </c>
      <c r="V38" t="s">
        <v>1560</v>
      </c>
      <c r="Z38">
        <v>117.4346771</v>
      </c>
      <c r="AA38">
        <v>-8.5247863000000006</v>
      </c>
      <c r="AB38" t="s">
        <v>1550</v>
      </c>
      <c r="AC38" t="s">
        <v>283</v>
      </c>
      <c r="AL38" t="s">
        <v>217</v>
      </c>
      <c r="AM38" t="s">
        <v>1561</v>
      </c>
      <c r="AN38" t="s">
        <v>6</v>
      </c>
      <c r="AO38" s="57">
        <v>46122.402604166666</v>
      </c>
      <c r="AR38" t="s">
        <v>218</v>
      </c>
      <c r="AS38" t="s">
        <v>219</v>
      </c>
      <c r="AT38" t="s">
        <v>230</v>
      </c>
      <c r="AU38">
        <v>20261004</v>
      </c>
      <c r="AV38" t="s">
        <v>221</v>
      </c>
      <c r="AW38" t="s">
        <v>1562</v>
      </c>
      <c r="AX38" t="s">
        <v>222</v>
      </c>
      <c r="BA38" s="57">
        <v>46299.291666666664</v>
      </c>
      <c r="BB38" t="s">
        <v>1561</v>
      </c>
      <c r="BC38">
        <v>2026</v>
      </c>
      <c r="BD38">
        <v>10</v>
      </c>
      <c r="BE38">
        <v>4</v>
      </c>
      <c r="BF38" s="6">
        <f t="shared" si="0"/>
        <v>46299</v>
      </c>
      <c r="BG38">
        <f t="shared" si="1"/>
        <v>-0.29166666666424135</v>
      </c>
      <c r="BH38" t="str">
        <f t="shared" si="2"/>
        <v>COMPLY</v>
      </c>
      <c r="BI38" t="str">
        <f>VLOOKUP(H38,Sheet2!$A$1:$B$270,2,FALSE)</f>
        <v>SUMBAWA</v>
      </c>
    </row>
    <row r="39" spans="1:61">
      <c r="A39">
        <v>38</v>
      </c>
      <c r="B39">
        <v>1002617985</v>
      </c>
      <c r="C39">
        <v>3</v>
      </c>
      <c r="D39" t="s">
        <v>45</v>
      </c>
      <c r="E39">
        <v>5</v>
      </c>
      <c r="F39" t="s">
        <v>210</v>
      </c>
      <c r="G39" t="s">
        <v>118</v>
      </c>
      <c r="H39" t="s">
        <v>476</v>
      </c>
      <c r="I39" t="s">
        <v>212</v>
      </c>
      <c r="J39" t="s">
        <v>213</v>
      </c>
      <c r="K39" t="s">
        <v>149</v>
      </c>
      <c r="L39" t="s">
        <v>214</v>
      </c>
      <c r="M39" t="s">
        <v>76</v>
      </c>
      <c r="N39" t="s">
        <v>215</v>
      </c>
      <c r="O39" s="57">
        <v>46296.582407407404</v>
      </c>
      <c r="P39" s="57">
        <v>46297.718738425923</v>
      </c>
      <c r="Q39">
        <v>69402415</v>
      </c>
      <c r="S39">
        <v>172607203876</v>
      </c>
      <c r="T39" t="s">
        <v>977</v>
      </c>
      <c r="U39" t="s">
        <v>978</v>
      </c>
      <c r="V39" t="s">
        <v>979</v>
      </c>
      <c r="Z39">
        <v>116.84393909611801</v>
      </c>
      <c r="AA39">
        <v>-8.5645946796152597</v>
      </c>
      <c r="AB39" t="s">
        <v>980</v>
      </c>
      <c r="AC39" t="s">
        <v>235</v>
      </c>
      <c r="AL39" t="s">
        <v>217</v>
      </c>
      <c r="AM39" t="s">
        <v>981</v>
      </c>
      <c r="AN39" t="s">
        <v>6</v>
      </c>
      <c r="AO39" s="57">
        <v>46032.590474537035</v>
      </c>
      <c r="AP39" s="57">
        <v>46297.458333333336</v>
      </c>
      <c r="AR39" t="s">
        <v>218</v>
      </c>
      <c r="AS39" t="s">
        <v>813</v>
      </c>
      <c r="AT39" t="s">
        <v>230</v>
      </c>
      <c r="AU39">
        <v>20261002</v>
      </c>
      <c r="AV39" t="s">
        <v>221</v>
      </c>
      <c r="AW39" t="s">
        <v>928</v>
      </c>
      <c r="AX39" t="s">
        <v>222</v>
      </c>
      <c r="BA39" s="57">
        <v>46297.458333333336</v>
      </c>
      <c r="BB39" t="s">
        <v>981</v>
      </c>
      <c r="BC39">
        <v>2026</v>
      </c>
      <c r="BD39">
        <v>10</v>
      </c>
      <c r="BE39">
        <v>2</v>
      </c>
      <c r="BF39" s="6">
        <f t="shared" si="0"/>
        <v>46297</v>
      </c>
      <c r="BG39">
        <f t="shared" si="1"/>
        <v>-0.45833333333575865</v>
      </c>
      <c r="BH39" t="str">
        <f t="shared" si="2"/>
        <v>COMPLY</v>
      </c>
      <c r="BI39" t="str">
        <f>VLOOKUP(H39,Sheet2!$A$1:$B$270,2,FALSE)</f>
        <v>SUMBAWA</v>
      </c>
    </row>
    <row r="40" spans="1:61">
      <c r="A40">
        <v>39</v>
      </c>
      <c r="B40">
        <v>1002617056</v>
      </c>
      <c r="C40">
        <v>3</v>
      </c>
      <c r="D40" t="s">
        <v>45</v>
      </c>
      <c r="E40">
        <v>5</v>
      </c>
      <c r="F40" t="s">
        <v>210</v>
      </c>
      <c r="G40" t="s">
        <v>118</v>
      </c>
      <c r="H40" t="s">
        <v>452</v>
      </c>
      <c r="I40" t="s">
        <v>1563</v>
      </c>
      <c r="J40" t="s">
        <v>213</v>
      </c>
      <c r="K40" t="s">
        <v>149</v>
      </c>
      <c r="M40" t="s">
        <v>895</v>
      </c>
      <c r="N40" t="s">
        <v>1564</v>
      </c>
      <c r="O40" s="57">
        <v>46296.390196759261</v>
      </c>
      <c r="P40" s="57">
        <v>46296.392013888886</v>
      </c>
      <c r="Q40">
        <v>69402043</v>
      </c>
      <c r="S40">
        <v>172608206609</v>
      </c>
      <c r="T40" t="s">
        <v>1565</v>
      </c>
      <c r="U40" t="s">
        <v>1566</v>
      </c>
      <c r="V40" t="s">
        <v>1567</v>
      </c>
      <c r="Z40">
        <v>116.760835747421</v>
      </c>
      <c r="AA40">
        <v>-8.9905055807090104</v>
      </c>
      <c r="AB40" t="s">
        <v>1568</v>
      </c>
      <c r="AC40" t="s">
        <v>225</v>
      </c>
      <c r="AL40" t="s">
        <v>217</v>
      </c>
      <c r="AM40" t="s">
        <v>213</v>
      </c>
      <c r="AN40" t="s">
        <v>6</v>
      </c>
      <c r="AO40" s="57">
        <v>46032.392847222225</v>
      </c>
      <c r="AR40" t="s">
        <v>886</v>
      </c>
      <c r="AS40" t="s">
        <v>1569</v>
      </c>
      <c r="AT40" t="s">
        <v>230</v>
      </c>
      <c r="AV40" t="s">
        <v>896</v>
      </c>
      <c r="AW40" t="s">
        <v>1570</v>
      </c>
      <c r="AX40" t="s">
        <v>222</v>
      </c>
      <c r="BA40" s="57">
        <v>46296.5</v>
      </c>
      <c r="BB40" t="s">
        <v>213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SUMBAWA</v>
      </c>
    </row>
    <row r="41" spans="1:61">
      <c r="A41">
        <v>40</v>
      </c>
      <c r="B41">
        <v>1002617103</v>
      </c>
      <c r="C41">
        <v>3</v>
      </c>
      <c r="D41" t="s">
        <v>45</v>
      </c>
      <c r="E41">
        <v>5</v>
      </c>
      <c r="F41" t="s">
        <v>210</v>
      </c>
      <c r="G41" t="s">
        <v>118</v>
      </c>
      <c r="H41" t="s">
        <v>452</v>
      </c>
      <c r="I41" t="s">
        <v>1563</v>
      </c>
      <c r="J41" t="s">
        <v>213</v>
      </c>
      <c r="K41" t="s">
        <v>149</v>
      </c>
      <c r="M41" t="s">
        <v>895</v>
      </c>
      <c r="N41" t="s">
        <v>1564</v>
      </c>
      <c r="O41" s="57">
        <v>46296.398159722223</v>
      </c>
      <c r="P41" s="57">
        <v>46296.400520833333</v>
      </c>
      <c r="Q41">
        <v>69402079</v>
      </c>
      <c r="S41">
        <v>172608206612</v>
      </c>
      <c r="T41" t="s">
        <v>1571</v>
      </c>
      <c r="U41" t="s">
        <v>1566</v>
      </c>
      <c r="V41" t="s">
        <v>1572</v>
      </c>
      <c r="Z41">
        <v>116.760835747421</v>
      </c>
      <c r="AA41">
        <v>-8.9905055807090104</v>
      </c>
      <c r="AB41" t="s">
        <v>1568</v>
      </c>
      <c r="AC41" t="s">
        <v>225</v>
      </c>
      <c r="AL41" t="s">
        <v>217</v>
      </c>
      <c r="AM41" t="s">
        <v>213</v>
      </c>
      <c r="AN41" t="s">
        <v>6</v>
      </c>
      <c r="AO41" s="57">
        <v>46032.413738425923</v>
      </c>
      <c r="AR41" t="s">
        <v>886</v>
      </c>
      <c r="AS41" t="s">
        <v>1569</v>
      </c>
      <c r="AT41" t="s">
        <v>230</v>
      </c>
      <c r="AV41" t="s">
        <v>896</v>
      </c>
      <c r="AW41" t="s">
        <v>1573</v>
      </c>
      <c r="AX41" t="s">
        <v>222</v>
      </c>
      <c r="BA41" s="57">
        <v>46296.5</v>
      </c>
      <c r="BB41" t="s">
        <v>213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SUMBAWA</v>
      </c>
    </row>
    <row r="42" spans="1:61">
      <c r="A42">
        <v>41</v>
      </c>
      <c r="B42">
        <v>1002617179</v>
      </c>
      <c r="C42">
        <v>3</v>
      </c>
      <c r="D42" t="s">
        <v>45</v>
      </c>
      <c r="E42">
        <v>5</v>
      </c>
      <c r="F42" t="s">
        <v>210</v>
      </c>
      <c r="G42" t="s">
        <v>118</v>
      </c>
      <c r="H42" t="s">
        <v>452</v>
      </c>
      <c r="I42" t="s">
        <v>1563</v>
      </c>
      <c r="J42" t="s">
        <v>213</v>
      </c>
      <c r="K42" t="s">
        <v>149</v>
      </c>
      <c r="M42" t="s">
        <v>224</v>
      </c>
      <c r="N42" t="s">
        <v>1564</v>
      </c>
      <c r="O42" s="57">
        <v>46296.409212962964</v>
      </c>
      <c r="P42" s="57">
        <v>46296.412118055552</v>
      </c>
      <c r="Q42">
        <v>69402114</v>
      </c>
      <c r="S42">
        <v>172608206614</v>
      </c>
      <c r="T42" t="s">
        <v>1574</v>
      </c>
      <c r="U42" t="s">
        <v>1566</v>
      </c>
      <c r="V42" t="s">
        <v>1575</v>
      </c>
      <c r="Z42">
        <v>116.760835747421</v>
      </c>
      <c r="AA42">
        <v>-8.9905055807090104</v>
      </c>
      <c r="AB42" t="s">
        <v>1568</v>
      </c>
      <c r="AC42" t="s">
        <v>225</v>
      </c>
      <c r="AL42" t="s">
        <v>217</v>
      </c>
      <c r="AM42" t="s">
        <v>213</v>
      </c>
      <c r="AN42" t="s">
        <v>6</v>
      </c>
      <c r="AO42" s="57">
        <v>46032.413738425923</v>
      </c>
      <c r="AR42" t="s">
        <v>18</v>
      </c>
      <c r="AS42" t="s">
        <v>1569</v>
      </c>
      <c r="AT42" t="s">
        <v>230</v>
      </c>
      <c r="AV42" t="s">
        <v>226</v>
      </c>
      <c r="AW42" t="s">
        <v>1576</v>
      </c>
      <c r="AX42" t="s">
        <v>222</v>
      </c>
      <c r="BA42" s="57">
        <v>46296.5</v>
      </c>
      <c r="BB42" t="s">
        <v>213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SUMBAWA</v>
      </c>
    </row>
    <row r="43" spans="1:61">
      <c r="A43">
        <v>42</v>
      </c>
      <c r="B43">
        <v>1002617083</v>
      </c>
      <c r="C43">
        <v>3</v>
      </c>
      <c r="D43" t="s">
        <v>45</v>
      </c>
      <c r="E43">
        <v>5</v>
      </c>
      <c r="F43" t="s">
        <v>210</v>
      </c>
      <c r="G43" t="s">
        <v>118</v>
      </c>
      <c r="H43" t="s">
        <v>452</v>
      </c>
      <c r="I43" t="s">
        <v>1563</v>
      </c>
      <c r="J43" t="s">
        <v>213</v>
      </c>
      <c r="K43" t="s">
        <v>149</v>
      </c>
      <c r="M43" t="s">
        <v>224</v>
      </c>
      <c r="N43" t="s">
        <v>1564</v>
      </c>
      <c r="O43" s="57">
        <v>46296.394976851851</v>
      </c>
      <c r="P43" s="57">
        <v>46296.397245370368</v>
      </c>
      <c r="Q43">
        <v>69402090</v>
      </c>
      <c r="S43">
        <v>172608206611</v>
      </c>
      <c r="T43" t="s">
        <v>1577</v>
      </c>
      <c r="U43" t="s">
        <v>1566</v>
      </c>
      <c r="V43" t="s">
        <v>1578</v>
      </c>
      <c r="Z43">
        <v>116.760835747421</v>
      </c>
      <c r="AA43">
        <v>-8.9905055807090104</v>
      </c>
      <c r="AB43" t="s">
        <v>1568</v>
      </c>
      <c r="AC43" t="s">
        <v>225</v>
      </c>
      <c r="AL43" t="s">
        <v>217</v>
      </c>
      <c r="AM43" t="s">
        <v>213</v>
      </c>
      <c r="AN43" t="s">
        <v>6</v>
      </c>
      <c r="AO43" s="57">
        <v>46032.413738425923</v>
      </c>
      <c r="AR43" t="s">
        <v>18</v>
      </c>
      <c r="AS43" t="s">
        <v>1569</v>
      </c>
      <c r="AT43" t="s">
        <v>230</v>
      </c>
      <c r="AV43" t="s">
        <v>226</v>
      </c>
      <c r="AW43" t="s">
        <v>1579</v>
      </c>
      <c r="AX43" t="s">
        <v>222</v>
      </c>
      <c r="BA43" s="57">
        <v>46296.520833333336</v>
      </c>
      <c r="BB43" t="s">
        <v>213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SUMBAWA</v>
      </c>
    </row>
    <row r="44" spans="1:61">
      <c r="A44">
        <v>43</v>
      </c>
      <c r="B44">
        <v>1002617153</v>
      </c>
      <c r="C44">
        <v>3</v>
      </c>
      <c r="D44" t="s">
        <v>45</v>
      </c>
      <c r="E44">
        <v>5</v>
      </c>
      <c r="F44" t="s">
        <v>210</v>
      </c>
      <c r="G44" t="s">
        <v>118</v>
      </c>
      <c r="H44" t="s">
        <v>452</v>
      </c>
      <c r="I44" t="s">
        <v>1563</v>
      </c>
      <c r="J44" t="s">
        <v>213</v>
      </c>
      <c r="K44" t="s">
        <v>149</v>
      </c>
      <c r="M44" t="s">
        <v>224</v>
      </c>
      <c r="N44" t="s">
        <v>1564</v>
      </c>
      <c r="O44" s="57">
        <v>46296.405543981484</v>
      </c>
      <c r="P44" s="57">
        <v>46296.408090277779</v>
      </c>
      <c r="Q44">
        <v>69402099</v>
      </c>
      <c r="S44">
        <v>172608206613</v>
      </c>
      <c r="T44" t="s">
        <v>1580</v>
      </c>
      <c r="U44" t="s">
        <v>1566</v>
      </c>
      <c r="V44" t="s">
        <v>1581</v>
      </c>
      <c r="Z44">
        <v>116.760835747421</v>
      </c>
      <c r="AA44">
        <v>-8.9905055807090104</v>
      </c>
      <c r="AB44" t="s">
        <v>1568</v>
      </c>
      <c r="AC44" t="s">
        <v>225</v>
      </c>
      <c r="AL44" t="s">
        <v>217</v>
      </c>
      <c r="AM44" t="s">
        <v>213</v>
      </c>
      <c r="AN44" t="s">
        <v>6</v>
      </c>
      <c r="AO44" s="57">
        <v>46032.413738425923</v>
      </c>
      <c r="AR44" t="s">
        <v>18</v>
      </c>
      <c r="AS44" t="s">
        <v>1569</v>
      </c>
      <c r="AT44" t="s">
        <v>230</v>
      </c>
      <c r="AV44" t="s">
        <v>226</v>
      </c>
      <c r="AW44" t="s">
        <v>1579</v>
      </c>
      <c r="AX44" t="s">
        <v>222</v>
      </c>
      <c r="BA44" s="57">
        <v>46296.5</v>
      </c>
      <c r="BB44" t="s">
        <v>213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SUMBAWA</v>
      </c>
    </row>
    <row r="45" spans="1:61">
      <c r="A45">
        <v>44</v>
      </c>
      <c r="B45">
        <v>1002617207</v>
      </c>
      <c r="C45">
        <v>3</v>
      </c>
      <c r="D45" t="s">
        <v>45</v>
      </c>
      <c r="E45">
        <v>5</v>
      </c>
      <c r="F45" t="s">
        <v>210</v>
      </c>
      <c r="G45" t="s">
        <v>118</v>
      </c>
      <c r="H45" t="s">
        <v>452</v>
      </c>
      <c r="I45" t="s">
        <v>1563</v>
      </c>
      <c r="J45" t="s">
        <v>213</v>
      </c>
      <c r="K45" t="s">
        <v>149</v>
      </c>
      <c r="M45" t="s">
        <v>224</v>
      </c>
      <c r="N45" t="s">
        <v>1564</v>
      </c>
      <c r="O45" s="57">
        <v>46296.413263888891</v>
      </c>
      <c r="P45" s="57">
        <v>46296.416666666664</v>
      </c>
      <c r="Q45">
        <v>69402119</v>
      </c>
      <c r="S45">
        <v>172608206615</v>
      </c>
      <c r="T45" t="s">
        <v>1582</v>
      </c>
      <c r="U45" t="s">
        <v>1566</v>
      </c>
      <c r="V45" t="s">
        <v>1583</v>
      </c>
      <c r="Z45">
        <v>116.760835747421</v>
      </c>
      <c r="AA45">
        <v>-8.9905055807090104</v>
      </c>
      <c r="AB45" t="s">
        <v>1568</v>
      </c>
      <c r="AC45" t="s">
        <v>225</v>
      </c>
      <c r="AL45" t="s">
        <v>217</v>
      </c>
      <c r="AM45" t="s">
        <v>213</v>
      </c>
      <c r="AN45" t="s">
        <v>6</v>
      </c>
      <c r="AO45" s="57">
        <v>46032.434247685182</v>
      </c>
      <c r="AR45" t="s">
        <v>18</v>
      </c>
      <c r="AS45" t="s">
        <v>1569</v>
      </c>
      <c r="AT45" t="s">
        <v>230</v>
      </c>
      <c r="AV45" t="s">
        <v>226</v>
      </c>
      <c r="AW45" t="s">
        <v>1579</v>
      </c>
      <c r="AX45" t="s">
        <v>222</v>
      </c>
      <c r="BA45" s="57">
        <v>46296.5</v>
      </c>
      <c r="BB45" t="s">
        <v>213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SUMBAWA</v>
      </c>
    </row>
    <row r="46" spans="1:61">
      <c r="A46">
        <v>45</v>
      </c>
      <c r="B46">
        <v>1002616958</v>
      </c>
      <c r="C46">
        <v>3</v>
      </c>
      <c r="D46" t="s">
        <v>45</v>
      </c>
      <c r="E46">
        <v>5</v>
      </c>
      <c r="F46" t="s">
        <v>210</v>
      </c>
      <c r="G46" t="s">
        <v>118</v>
      </c>
      <c r="H46" t="s">
        <v>452</v>
      </c>
      <c r="I46" t="s">
        <v>1563</v>
      </c>
      <c r="J46" t="s">
        <v>213</v>
      </c>
      <c r="K46" t="s">
        <v>149</v>
      </c>
      <c r="M46" t="s">
        <v>76</v>
      </c>
      <c r="N46" t="s">
        <v>1564</v>
      </c>
      <c r="O46" s="57">
        <v>46296.370636574073</v>
      </c>
      <c r="P46" s="57">
        <v>46296.619560185187</v>
      </c>
      <c r="Q46">
        <v>69402054</v>
      </c>
      <c r="S46">
        <v>172608206279</v>
      </c>
      <c r="T46" t="s">
        <v>1584</v>
      </c>
      <c r="U46" t="s">
        <v>1566</v>
      </c>
      <c r="V46" t="s">
        <v>1585</v>
      </c>
      <c r="Z46">
        <v>116.760835747421</v>
      </c>
      <c r="AA46">
        <v>-8.9905055807090104</v>
      </c>
      <c r="AB46" t="s">
        <v>1568</v>
      </c>
      <c r="AC46" t="s">
        <v>225</v>
      </c>
      <c r="AL46" t="s">
        <v>217</v>
      </c>
      <c r="AM46" t="s">
        <v>213</v>
      </c>
      <c r="AN46" t="s">
        <v>6</v>
      </c>
      <c r="AO46" s="57">
        <v>46032.392847222225</v>
      </c>
      <c r="AR46" t="s">
        <v>218</v>
      </c>
      <c r="AS46" t="s">
        <v>1569</v>
      </c>
      <c r="AT46" t="s">
        <v>230</v>
      </c>
      <c r="AU46">
        <v>20261001</v>
      </c>
      <c r="AV46" t="s">
        <v>221</v>
      </c>
      <c r="AW46" t="s">
        <v>1573</v>
      </c>
      <c r="AX46" t="s">
        <v>222</v>
      </c>
      <c r="BA46" s="57">
        <v>46296.5</v>
      </c>
      <c r="BB46" t="s">
        <v>213</v>
      </c>
      <c r="BC46">
        <v>2026</v>
      </c>
      <c r="BD46">
        <v>10</v>
      </c>
      <c r="BE46">
        <v>1</v>
      </c>
      <c r="BF46" s="6">
        <f t="shared" si="0"/>
        <v>46296</v>
      </c>
      <c r="BG46">
        <f t="shared" si="1"/>
        <v>-0.5</v>
      </c>
      <c r="BH46" t="str">
        <f t="shared" si="2"/>
        <v>COMPLY</v>
      </c>
      <c r="BI46" t="str">
        <f>VLOOKUP(H46,Sheet2!$A$1:$B$270,2,FALSE)</f>
        <v>SUMBAWA</v>
      </c>
    </row>
    <row r="47" spans="1:61">
      <c r="A47">
        <v>46</v>
      </c>
      <c r="B47">
        <v>1002617767</v>
      </c>
      <c r="C47">
        <v>3</v>
      </c>
      <c r="D47" t="s">
        <v>45</v>
      </c>
      <c r="E47">
        <v>5</v>
      </c>
      <c r="F47" t="s">
        <v>210</v>
      </c>
      <c r="G47" t="s">
        <v>118</v>
      </c>
      <c r="H47" t="s">
        <v>452</v>
      </c>
      <c r="I47" t="s">
        <v>1563</v>
      </c>
      <c r="J47" t="s">
        <v>213</v>
      </c>
      <c r="K47" t="s">
        <v>149</v>
      </c>
      <c r="M47" t="s">
        <v>76</v>
      </c>
      <c r="N47" t="s">
        <v>1564</v>
      </c>
      <c r="O47" s="57">
        <v>46296.534050925926</v>
      </c>
      <c r="P47" s="57">
        <v>46296.639282407406</v>
      </c>
      <c r="Q47">
        <v>69378495</v>
      </c>
      <c r="S47">
        <v>172608206621</v>
      </c>
      <c r="T47" t="s">
        <v>1586</v>
      </c>
      <c r="U47" t="s">
        <v>1587</v>
      </c>
      <c r="V47" t="s">
        <v>1588</v>
      </c>
      <c r="Z47">
        <v>116.76269499999999</v>
      </c>
      <c r="AA47">
        <v>-8.9959889999999998</v>
      </c>
      <c r="AB47" t="s">
        <v>1589</v>
      </c>
      <c r="AC47" t="s">
        <v>225</v>
      </c>
      <c r="AL47" t="s">
        <v>217</v>
      </c>
      <c r="AM47" t="s">
        <v>213</v>
      </c>
      <c r="AN47" t="s">
        <v>6</v>
      </c>
      <c r="AO47" s="57">
        <v>46032.559305555558</v>
      </c>
      <c r="AR47" t="s">
        <v>218</v>
      </c>
      <c r="AS47" t="s">
        <v>1569</v>
      </c>
      <c r="AT47" t="s">
        <v>230</v>
      </c>
      <c r="AU47">
        <v>20261001</v>
      </c>
      <c r="AV47" t="s">
        <v>221</v>
      </c>
      <c r="AW47" t="s">
        <v>1590</v>
      </c>
      <c r="AX47" t="s">
        <v>222</v>
      </c>
      <c r="BA47" s="57">
        <v>25569.291666666668</v>
      </c>
      <c r="BB47" t="s">
        <v>213</v>
      </c>
      <c r="BC47">
        <v>2026</v>
      </c>
      <c r="BD47">
        <v>10</v>
      </c>
      <c r="BE47">
        <v>1</v>
      </c>
      <c r="BF47" s="6">
        <f t="shared" si="0"/>
        <v>46296</v>
      </c>
      <c r="BG47">
        <f t="shared" si="1"/>
        <v>20726.708333333332</v>
      </c>
      <c r="BH47" t="str">
        <f t="shared" si="2"/>
        <v>NOT COMPLY</v>
      </c>
      <c r="BI47" t="str">
        <f>VLOOKUP(H47,Sheet2!$A$1:$B$270,2,FALSE)</f>
        <v>SUMBAWA</v>
      </c>
    </row>
    <row r="48" spans="1:61">
      <c r="A48">
        <v>47</v>
      </c>
      <c r="B48">
        <v>1002617248</v>
      </c>
      <c r="C48">
        <v>3</v>
      </c>
      <c r="D48" t="s">
        <v>45</v>
      </c>
      <c r="E48">
        <v>5</v>
      </c>
      <c r="F48" t="s">
        <v>210</v>
      </c>
      <c r="G48" t="s">
        <v>118</v>
      </c>
      <c r="H48" t="s">
        <v>452</v>
      </c>
      <c r="I48" t="s">
        <v>1563</v>
      </c>
      <c r="J48" t="s">
        <v>213</v>
      </c>
      <c r="K48" t="s">
        <v>149</v>
      </c>
      <c r="M48" t="s">
        <v>76</v>
      </c>
      <c r="N48" t="s">
        <v>1564</v>
      </c>
      <c r="O48" s="57">
        <v>46296.419652777775</v>
      </c>
      <c r="P48" s="57">
        <v>46297.791655092595</v>
      </c>
      <c r="Q48">
        <v>69395639</v>
      </c>
      <c r="S48">
        <v>172608206616</v>
      </c>
      <c r="T48" t="s">
        <v>1591</v>
      </c>
      <c r="U48" t="s">
        <v>1592</v>
      </c>
      <c r="V48" t="s">
        <v>1593</v>
      </c>
      <c r="Z48">
        <v>116.7583703</v>
      </c>
      <c r="AA48">
        <v>-8.9897934999999993</v>
      </c>
      <c r="AB48" t="s">
        <v>1568</v>
      </c>
      <c r="AC48" t="s">
        <v>225</v>
      </c>
      <c r="AL48" t="s">
        <v>217</v>
      </c>
      <c r="AM48" t="s">
        <v>1594</v>
      </c>
      <c r="AN48" t="s">
        <v>6</v>
      </c>
      <c r="AO48" s="57">
        <v>46032.434247685182</v>
      </c>
      <c r="AR48" t="s">
        <v>218</v>
      </c>
      <c r="AS48" t="s">
        <v>1569</v>
      </c>
      <c r="AT48" t="s">
        <v>230</v>
      </c>
      <c r="AU48">
        <v>20261002</v>
      </c>
      <c r="AV48" t="s">
        <v>221</v>
      </c>
      <c r="AW48" t="s">
        <v>1595</v>
      </c>
      <c r="AX48" t="s">
        <v>222</v>
      </c>
      <c r="BA48" s="57">
        <v>25569.291666666668</v>
      </c>
      <c r="BB48" t="s">
        <v>1594</v>
      </c>
      <c r="BC48">
        <v>2026</v>
      </c>
      <c r="BD48">
        <v>10</v>
      </c>
      <c r="BE48">
        <v>2</v>
      </c>
      <c r="BF48" s="6">
        <f t="shared" si="0"/>
        <v>46297</v>
      </c>
      <c r="BG48">
        <f t="shared" si="1"/>
        <v>20727.708333333332</v>
      </c>
      <c r="BH48" t="str">
        <f t="shared" si="2"/>
        <v>NOT COMPLY</v>
      </c>
      <c r="BI48" t="str">
        <f>VLOOKUP(H48,Sheet2!$A$1:$B$270,2,FALSE)</f>
        <v>SUMBAWA</v>
      </c>
    </row>
    <row r="49" spans="1:61">
      <c r="A49">
        <v>48</v>
      </c>
      <c r="B49">
        <v>1002617432</v>
      </c>
      <c r="C49">
        <v>3</v>
      </c>
      <c r="D49" t="s">
        <v>45</v>
      </c>
      <c r="E49">
        <v>5</v>
      </c>
      <c r="F49" t="s">
        <v>210</v>
      </c>
      <c r="G49" t="s">
        <v>118</v>
      </c>
      <c r="H49" t="s">
        <v>452</v>
      </c>
      <c r="I49" t="s">
        <v>1563</v>
      </c>
      <c r="J49" t="s">
        <v>213</v>
      </c>
      <c r="K49" t="s">
        <v>149</v>
      </c>
      <c r="M49" t="s">
        <v>76</v>
      </c>
      <c r="N49" t="s">
        <v>1564</v>
      </c>
      <c r="O49" s="57">
        <v>46296.448159722226</v>
      </c>
      <c r="P49" s="57">
        <v>46296.704594907409</v>
      </c>
      <c r="Q49">
        <v>69378525</v>
      </c>
      <c r="S49">
        <v>172608206619</v>
      </c>
      <c r="T49" t="s">
        <v>1596</v>
      </c>
      <c r="U49" t="s">
        <v>1587</v>
      </c>
      <c r="V49" t="s">
        <v>1597</v>
      </c>
      <c r="Z49">
        <v>116.76269499999999</v>
      </c>
      <c r="AA49">
        <v>-8.9959889999999998</v>
      </c>
      <c r="AB49" t="s">
        <v>1589</v>
      </c>
      <c r="AC49" t="s">
        <v>225</v>
      </c>
      <c r="AL49" t="s">
        <v>217</v>
      </c>
      <c r="AM49" t="s">
        <v>213</v>
      </c>
      <c r="AN49" t="s">
        <v>6</v>
      </c>
      <c r="AO49" s="57">
        <v>46032.486342592594</v>
      </c>
      <c r="AR49" t="s">
        <v>218</v>
      </c>
      <c r="AS49" t="s">
        <v>1569</v>
      </c>
      <c r="AT49" t="s">
        <v>230</v>
      </c>
      <c r="AU49">
        <v>20261001</v>
      </c>
      <c r="AV49" t="s">
        <v>221</v>
      </c>
      <c r="AW49" t="s">
        <v>1598</v>
      </c>
      <c r="AX49" t="s">
        <v>222</v>
      </c>
      <c r="BA49" s="57">
        <v>25569.291666666668</v>
      </c>
      <c r="BB49" t="s">
        <v>213</v>
      </c>
      <c r="BC49">
        <v>2026</v>
      </c>
      <c r="BD49">
        <v>10</v>
      </c>
      <c r="BE49">
        <v>1</v>
      </c>
      <c r="BF49" s="6">
        <f t="shared" si="0"/>
        <v>46296</v>
      </c>
      <c r="BG49">
        <f t="shared" si="1"/>
        <v>20726.708333333332</v>
      </c>
      <c r="BH49" t="str">
        <f t="shared" si="2"/>
        <v>NOT COMPLY</v>
      </c>
      <c r="BI49" t="str">
        <f>VLOOKUP(H49,Sheet2!$A$1:$B$270,2,FALSE)</f>
        <v>SUMBAWA</v>
      </c>
    </row>
    <row r="50" spans="1:61">
      <c r="A50">
        <v>49</v>
      </c>
      <c r="B50">
        <v>1002620649</v>
      </c>
      <c r="C50">
        <v>3</v>
      </c>
      <c r="D50" t="s">
        <v>45</v>
      </c>
      <c r="E50">
        <v>5</v>
      </c>
      <c r="F50" t="s">
        <v>210</v>
      </c>
      <c r="G50" t="s">
        <v>118</v>
      </c>
      <c r="H50" t="s">
        <v>452</v>
      </c>
      <c r="I50" t="s">
        <v>212</v>
      </c>
      <c r="J50" t="s">
        <v>213</v>
      </c>
      <c r="K50" t="s">
        <v>149</v>
      </c>
      <c r="L50" t="s">
        <v>214</v>
      </c>
      <c r="M50" t="s">
        <v>76</v>
      </c>
      <c r="N50" t="s">
        <v>215</v>
      </c>
      <c r="O50" s="57">
        <v>46297.79074074074</v>
      </c>
      <c r="P50" s="57">
        <v>46300.296574074076</v>
      </c>
      <c r="Q50">
        <v>69403408</v>
      </c>
      <c r="S50">
        <v>172608206628</v>
      </c>
      <c r="T50" t="s">
        <v>1599</v>
      </c>
      <c r="U50" t="s">
        <v>1600</v>
      </c>
      <c r="V50" t="s">
        <v>1601</v>
      </c>
      <c r="Z50">
        <v>116.751770424765</v>
      </c>
      <c r="AA50">
        <v>-8.9187890974864601</v>
      </c>
      <c r="AB50" t="s">
        <v>1602</v>
      </c>
      <c r="AC50" t="s">
        <v>235</v>
      </c>
      <c r="AL50" t="s">
        <v>217</v>
      </c>
      <c r="AM50" t="s">
        <v>1603</v>
      </c>
      <c r="AN50" t="s">
        <v>6</v>
      </c>
      <c r="AO50" s="57">
        <v>46063.819363425922</v>
      </c>
      <c r="AP50" s="57">
        <v>46298.625</v>
      </c>
      <c r="AR50" t="s">
        <v>218</v>
      </c>
      <c r="AS50" t="s">
        <v>1569</v>
      </c>
      <c r="AT50" t="s">
        <v>230</v>
      </c>
      <c r="AU50">
        <v>20261005</v>
      </c>
      <c r="AV50" t="s">
        <v>221</v>
      </c>
      <c r="AW50" t="s">
        <v>883</v>
      </c>
      <c r="AX50" t="s">
        <v>222</v>
      </c>
      <c r="BA50" s="57">
        <v>46298.625</v>
      </c>
      <c r="BB50" t="s">
        <v>1603</v>
      </c>
      <c r="BC50">
        <v>2026</v>
      </c>
      <c r="BD50">
        <v>10</v>
      </c>
      <c r="BE50">
        <v>5</v>
      </c>
      <c r="BF50" s="6">
        <f t="shared" si="0"/>
        <v>46300</v>
      </c>
      <c r="BG50">
        <f t="shared" si="1"/>
        <v>1.375</v>
      </c>
      <c r="BH50" t="str">
        <f t="shared" si="2"/>
        <v>NOT COMPLY</v>
      </c>
      <c r="BI50" t="str">
        <f>VLOOKUP(H50,Sheet2!$A$1:$B$270,2,FALSE)</f>
        <v>SUMBAWA</v>
      </c>
    </row>
    <row r="51" spans="1:61">
      <c r="A51">
        <v>50</v>
      </c>
      <c r="B51">
        <v>1002619460</v>
      </c>
      <c r="C51">
        <v>3</v>
      </c>
      <c r="D51" t="s">
        <v>45</v>
      </c>
      <c r="E51">
        <v>5</v>
      </c>
      <c r="F51" t="s">
        <v>210</v>
      </c>
      <c r="G51" t="s">
        <v>118</v>
      </c>
      <c r="H51" t="s">
        <v>452</v>
      </c>
      <c r="I51" t="s">
        <v>1563</v>
      </c>
      <c r="J51" t="s">
        <v>213</v>
      </c>
      <c r="K51" t="s">
        <v>149</v>
      </c>
      <c r="M51" t="s">
        <v>76</v>
      </c>
      <c r="N51" t="s">
        <v>1564</v>
      </c>
      <c r="O51" s="57">
        <v>46297.459548611114</v>
      </c>
      <c r="P51" s="57">
        <v>46297.761886574073</v>
      </c>
      <c r="Q51">
        <v>69395644</v>
      </c>
      <c r="S51">
        <v>172608206627</v>
      </c>
      <c r="T51" t="s">
        <v>1604</v>
      </c>
      <c r="U51" t="s">
        <v>1592</v>
      </c>
      <c r="V51" t="s">
        <v>1605</v>
      </c>
      <c r="Z51">
        <v>116.760835747421</v>
      </c>
      <c r="AA51">
        <v>-8.9905055807090104</v>
      </c>
      <c r="AB51" t="s">
        <v>1568</v>
      </c>
      <c r="AC51" t="s">
        <v>225</v>
      </c>
      <c r="AL51" t="s">
        <v>217</v>
      </c>
      <c r="AM51" t="s">
        <v>213</v>
      </c>
      <c r="AN51" t="s">
        <v>6</v>
      </c>
      <c r="AO51" s="57">
        <v>46063.466053240743</v>
      </c>
      <c r="AR51" t="s">
        <v>218</v>
      </c>
      <c r="AS51" t="s">
        <v>1569</v>
      </c>
      <c r="AT51" t="s">
        <v>230</v>
      </c>
      <c r="AU51">
        <v>20261002</v>
      </c>
      <c r="AV51" t="s">
        <v>221</v>
      </c>
      <c r="AW51" t="s">
        <v>1598</v>
      </c>
      <c r="AX51" t="s">
        <v>222</v>
      </c>
      <c r="BA51" s="57">
        <v>25569.291666666668</v>
      </c>
      <c r="BB51" t="s">
        <v>213</v>
      </c>
      <c r="BC51">
        <v>2026</v>
      </c>
      <c r="BD51">
        <v>10</v>
      </c>
      <c r="BE51">
        <v>2</v>
      </c>
      <c r="BF51" s="6">
        <f t="shared" si="0"/>
        <v>46297</v>
      </c>
      <c r="BG51">
        <f t="shared" si="1"/>
        <v>20727.708333333332</v>
      </c>
      <c r="BH51" t="str">
        <f t="shared" si="2"/>
        <v>NOT COMPLY</v>
      </c>
      <c r="BI51" t="str">
        <f>VLOOKUP(H51,Sheet2!$A$1:$B$270,2,FALSE)</f>
        <v>SUMBAWA</v>
      </c>
    </row>
    <row r="52" spans="1:61">
      <c r="A52">
        <v>51</v>
      </c>
      <c r="B52">
        <v>1002619176</v>
      </c>
      <c r="C52">
        <v>3</v>
      </c>
      <c r="D52" t="s">
        <v>45</v>
      </c>
      <c r="E52">
        <v>5</v>
      </c>
      <c r="F52" t="s">
        <v>210</v>
      </c>
      <c r="G52" t="s">
        <v>118</v>
      </c>
      <c r="H52" t="s">
        <v>452</v>
      </c>
      <c r="I52" t="s">
        <v>1563</v>
      </c>
      <c r="J52" t="s">
        <v>213</v>
      </c>
      <c r="K52" t="s">
        <v>149</v>
      </c>
      <c r="M52" t="s">
        <v>76</v>
      </c>
      <c r="N52" t="s">
        <v>1564</v>
      </c>
      <c r="O52" s="57">
        <v>46297.40452546296</v>
      </c>
      <c r="P52" s="57">
        <v>46297.770555555559</v>
      </c>
      <c r="Q52">
        <v>69402793</v>
      </c>
      <c r="S52">
        <v>172608206625</v>
      </c>
      <c r="T52" t="s">
        <v>1606</v>
      </c>
      <c r="U52" t="s">
        <v>1607</v>
      </c>
      <c r="V52" t="s">
        <v>1608</v>
      </c>
      <c r="Z52">
        <v>116.764054231421</v>
      </c>
      <c r="AA52">
        <v>-8.9956834331392805</v>
      </c>
      <c r="AB52" t="s">
        <v>1568</v>
      </c>
      <c r="AC52" t="s">
        <v>225</v>
      </c>
      <c r="AL52" t="s">
        <v>217</v>
      </c>
      <c r="AM52" t="s">
        <v>213</v>
      </c>
      <c r="AN52" t="s">
        <v>6</v>
      </c>
      <c r="AO52" s="57">
        <v>46063.42392361111</v>
      </c>
      <c r="AR52" t="s">
        <v>218</v>
      </c>
      <c r="AS52" t="s">
        <v>1569</v>
      </c>
      <c r="AT52" t="s">
        <v>230</v>
      </c>
      <c r="AU52">
        <v>20261002</v>
      </c>
      <c r="AV52" t="s">
        <v>221</v>
      </c>
      <c r="AW52" t="s">
        <v>1579</v>
      </c>
      <c r="AX52" t="s">
        <v>222</v>
      </c>
      <c r="BA52" s="57">
        <v>46297.5</v>
      </c>
      <c r="BB52" t="s">
        <v>213</v>
      </c>
      <c r="BC52">
        <v>2026</v>
      </c>
      <c r="BD52">
        <v>10</v>
      </c>
      <c r="BE52">
        <v>2</v>
      </c>
      <c r="BF52" s="6">
        <f t="shared" si="0"/>
        <v>46297</v>
      </c>
      <c r="BG52">
        <f t="shared" si="1"/>
        <v>-0.5</v>
      </c>
      <c r="BH52" t="str">
        <f t="shared" si="2"/>
        <v>COMPLY</v>
      </c>
      <c r="BI52" t="str">
        <f>VLOOKUP(H52,Sheet2!$A$1:$B$270,2,FALSE)</f>
        <v>SUMBAWA</v>
      </c>
    </row>
    <row r="53" spans="1:61">
      <c r="A53">
        <v>52</v>
      </c>
      <c r="B53">
        <v>1002619196</v>
      </c>
      <c r="C53">
        <v>3</v>
      </c>
      <c r="D53" t="s">
        <v>45</v>
      </c>
      <c r="E53">
        <v>5</v>
      </c>
      <c r="F53" t="s">
        <v>210</v>
      </c>
      <c r="G53" t="s">
        <v>118</v>
      </c>
      <c r="H53" t="s">
        <v>452</v>
      </c>
      <c r="I53" t="s">
        <v>1563</v>
      </c>
      <c r="J53" t="s">
        <v>213</v>
      </c>
      <c r="K53" t="s">
        <v>149</v>
      </c>
      <c r="M53" t="s">
        <v>76</v>
      </c>
      <c r="N53" t="s">
        <v>1564</v>
      </c>
      <c r="O53" s="57">
        <v>46297.409131944441</v>
      </c>
      <c r="P53" s="57">
        <v>46297.773692129631</v>
      </c>
      <c r="Q53">
        <v>69402820</v>
      </c>
      <c r="S53">
        <v>172608206626</v>
      </c>
      <c r="T53" t="s">
        <v>1609</v>
      </c>
      <c r="U53" t="s">
        <v>1607</v>
      </c>
      <c r="V53" t="s">
        <v>1610</v>
      </c>
      <c r="Z53">
        <v>116.764054231421</v>
      </c>
      <c r="AA53">
        <v>-8.9956834331392805</v>
      </c>
      <c r="AB53" t="s">
        <v>1568</v>
      </c>
      <c r="AC53" t="s">
        <v>225</v>
      </c>
      <c r="AL53" t="s">
        <v>217</v>
      </c>
      <c r="AM53" t="s">
        <v>213</v>
      </c>
      <c r="AN53" t="s">
        <v>6</v>
      </c>
      <c r="AO53" s="57">
        <v>46063.42392361111</v>
      </c>
      <c r="AR53" t="s">
        <v>218</v>
      </c>
      <c r="AS53" t="s">
        <v>1569</v>
      </c>
      <c r="AT53" t="s">
        <v>230</v>
      </c>
      <c r="AU53">
        <v>20261002</v>
      </c>
      <c r="AV53" t="s">
        <v>221</v>
      </c>
      <c r="AW53" t="s">
        <v>1573</v>
      </c>
      <c r="AX53" t="s">
        <v>222</v>
      </c>
      <c r="BA53" s="57">
        <v>46297.5</v>
      </c>
      <c r="BB53" t="s">
        <v>213</v>
      </c>
      <c r="BC53">
        <v>2026</v>
      </c>
      <c r="BD53">
        <v>10</v>
      </c>
      <c r="BE53">
        <v>2</v>
      </c>
      <c r="BF53" s="6">
        <f t="shared" si="0"/>
        <v>46297</v>
      </c>
      <c r="BG53">
        <f t="shared" si="1"/>
        <v>-0.5</v>
      </c>
      <c r="BH53" t="str">
        <f t="shared" si="2"/>
        <v>COMPLY</v>
      </c>
      <c r="BI53" t="str">
        <f>VLOOKUP(H53,Sheet2!$A$1:$B$270,2,FALSE)</f>
        <v>SUMBAWA</v>
      </c>
    </row>
    <row r="54" spans="1:61">
      <c r="A54">
        <v>53</v>
      </c>
      <c r="B54">
        <v>1002619125</v>
      </c>
      <c r="C54">
        <v>3</v>
      </c>
      <c r="D54" t="s">
        <v>45</v>
      </c>
      <c r="E54">
        <v>5</v>
      </c>
      <c r="F54" t="s">
        <v>210</v>
      </c>
      <c r="G54" t="s">
        <v>118</v>
      </c>
      <c r="H54" t="s">
        <v>452</v>
      </c>
      <c r="I54" t="s">
        <v>1563</v>
      </c>
      <c r="J54" t="s">
        <v>213</v>
      </c>
      <c r="K54" t="s">
        <v>149</v>
      </c>
      <c r="M54" t="s">
        <v>76</v>
      </c>
      <c r="N54" t="s">
        <v>1564</v>
      </c>
      <c r="O54" s="57">
        <v>46297.393460648149</v>
      </c>
      <c r="P54" s="57">
        <v>46297.754560185182</v>
      </c>
      <c r="Q54">
        <v>69402775</v>
      </c>
      <c r="S54">
        <v>172608206623</v>
      </c>
      <c r="T54" t="s">
        <v>1611</v>
      </c>
      <c r="U54" t="s">
        <v>1607</v>
      </c>
      <c r="V54" t="s">
        <v>1612</v>
      </c>
      <c r="Z54">
        <v>116.76269499999999</v>
      </c>
      <c r="AA54">
        <v>-8.9959889999999998</v>
      </c>
      <c r="AB54" t="s">
        <v>1568</v>
      </c>
      <c r="AC54" t="s">
        <v>225</v>
      </c>
      <c r="AL54" t="s">
        <v>217</v>
      </c>
      <c r="AM54" t="s">
        <v>213</v>
      </c>
      <c r="AN54" t="s">
        <v>6</v>
      </c>
      <c r="AO54" s="57">
        <v>46063.403113425928</v>
      </c>
      <c r="AR54" t="s">
        <v>218</v>
      </c>
      <c r="AS54" t="s">
        <v>1569</v>
      </c>
      <c r="AT54" t="s">
        <v>230</v>
      </c>
      <c r="AU54">
        <v>20261002</v>
      </c>
      <c r="AV54" t="s">
        <v>221</v>
      </c>
      <c r="AW54" t="s">
        <v>1579</v>
      </c>
      <c r="AX54" t="s">
        <v>222</v>
      </c>
      <c r="BA54" s="57">
        <v>46297.5</v>
      </c>
      <c r="BB54" t="s">
        <v>213</v>
      </c>
      <c r="BC54">
        <v>2026</v>
      </c>
      <c r="BD54">
        <v>10</v>
      </c>
      <c r="BE54">
        <v>2</v>
      </c>
      <c r="BF54" s="6">
        <f t="shared" si="0"/>
        <v>46297</v>
      </c>
      <c r="BG54">
        <f t="shared" si="1"/>
        <v>-0.5</v>
      </c>
      <c r="BH54" t="str">
        <f t="shared" si="2"/>
        <v>COMPLY</v>
      </c>
      <c r="BI54" t="str">
        <f>VLOOKUP(H54,Sheet2!$A$1:$B$270,2,FALSE)</f>
        <v>SUMBAWA</v>
      </c>
    </row>
    <row r="55" spans="1:61">
      <c r="A55">
        <v>54</v>
      </c>
      <c r="B55">
        <v>1002619151</v>
      </c>
      <c r="C55">
        <v>3</v>
      </c>
      <c r="D55" t="s">
        <v>45</v>
      </c>
      <c r="E55">
        <v>5</v>
      </c>
      <c r="F55" t="s">
        <v>210</v>
      </c>
      <c r="G55" t="s">
        <v>118</v>
      </c>
      <c r="H55" t="s">
        <v>452</v>
      </c>
      <c r="I55" t="s">
        <v>1563</v>
      </c>
      <c r="J55" t="s">
        <v>213</v>
      </c>
      <c r="K55" t="s">
        <v>149</v>
      </c>
      <c r="M55" t="s">
        <v>76</v>
      </c>
      <c r="N55" t="s">
        <v>1564</v>
      </c>
      <c r="O55" s="57">
        <v>46297.399652777778</v>
      </c>
      <c r="P55" s="57">
        <v>46297.772418981483</v>
      </c>
      <c r="Q55">
        <v>69402805</v>
      </c>
      <c r="S55">
        <v>172608206624</v>
      </c>
      <c r="T55" t="s">
        <v>1613</v>
      </c>
      <c r="U55" t="s">
        <v>1607</v>
      </c>
      <c r="V55" t="s">
        <v>1614</v>
      </c>
      <c r="Z55">
        <v>116.764054231421</v>
      </c>
      <c r="AA55">
        <v>-8.9956834331392805</v>
      </c>
      <c r="AB55" t="s">
        <v>1568</v>
      </c>
      <c r="AC55" t="s">
        <v>225</v>
      </c>
      <c r="AL55" t="s">
        <v>217</v>
      </c>
      <c r="AM55" t="s">
        <v>213</v>
      </c>
      <c r="AN55" t="s">
        <v>6</v>
      </c>
      <c r="AO55" s="57">
        <v>46063.403113425928</v>
      </c>
      <c r="AR55" t="s">
        <v>218</v>
      </c>
      <c r="AS55" t="s">
        <v>1569</v>
      </c>
      <c r="AT55" t="s">
        <v>230</v>
      </c>
      <c r="AU55">
        <v>20261002</v>
      </c>
      <c r="AV55" t="s">
        <v>221</v>
      </c>
      <c r="AW55" t="s">
        <v>1579</v>
      </c>
      <c r="AX55" t="s">
        <v>222</v>
      </c>
      <c r="BA55" s="57">
        <v>46297.520833333336</v>
      </c>
      <c r="BB55" t="s">
        <v>213</v>
      </c>
      <c r="BC55">
        <v>2026</v>
      </c>
      <c r="BD55">
        <v>10</v>
      </c>
      <c r="BE55">
        <v>2</v>
      </c>
      <c r="BF55" s="6">
        <f t="shared" si="0"/>
        <v>46297</v>
      </c>
      <c r="BG55">
        <f t="shared" si="1"/>
        <v>-0.52083333333575865</v>
      </c>
      <c r="BH55" t="str">
        <f t="shared" si="2"/>
        <v>COMPLY</v>
      </c>
      <c r="BI55" t="str">
        <f>VLOOKUP(H55,Sheet2!$A$1:$B$270,2,FALSE)</f>
        <v>SUMBAWA</v>
      </c>
    </row>
    <row r="56" spans="1:61">
      <c r="A56">
        <v>55</v>
      </c>
      <c r="B56">
        <v>1002619832</v>
      </c>
      <c r="C56">
        <v>3</v>
      </c>
      <c r="D56" t="s">
        <v>45</v>
      </c>
      <c r="E56">
        <v>5</v>
      </c>
      <c r="F56" t="s">
        <v>210</v>
      </c>
      <c r="G56" t="s">
        <v>118</v>
      </c>
      <c r="H56" t="s">
        <v>452</v>
      </c>
      <c r="I56" t="s">
        <v>1563</v>
      </c>
      <c r="J56" t="s">
        <v>213</v>
      </c>
      <c r="K56" t="s">
        <v>149</v>
      </c>
      <c r="M56" t="s">
        <v>255</v>
      </c>
      <c r="N56" t="s">
        <v>1564</v>
      </c>
      <c r="O56" s="57">
        <v>46297.569872685184</v>
      </c>
      <c r="P56" s="57">
        <v>46297.642893518518</v>
      </c>
      <c r="Q56">
        <v>69378432</v>
      </c>
      <c r="S56">
        <v>172608206282</v>
      </c>
      <c r="T56" t="s">
        <v>1615</v>
      </c>
      <c r="U56" t="s">
        <v>1616</v>
      </c>
      <c r="V56" t="s">
        <v>1617</v>
      </c>
      <c r="Z56">
        <v>116.764054231421</v>
      </c>
      <c r="AA56">
        <v>-8.9956834331392805</v>
      </c>
      <c r="AB56" t="s">
        <v>1589</v>
      </c>
      <c r="AC56" t="s">
        <v>225</v>
      </c>
      <c r="AL56" t="s">
        <v>217</v>
      </c>
      <c r="AM56" t="s">
        <v>213</v>
      </c>
      <c r="AN56" t="s">
        <v>6</v>
      </c>
      <c r="AO56" s="57">
        <v>46063.580127314817</v>
      </c>
      <c r="AR56" t="s">
        <v>256</v>
      </c>
      <c r="AS56" t="s">
        <v>1569</v>
      </c>
      <c r="AT56" t="s">
        <v>230</v>
      </c>
      <c r="AV56" t="s">
        <v>257</v>
      </c>
      <c r="AW56" t="s">
        <v>1598</v>
      </c>
      <c r="AX56" t="s">
        <v>222</v>
      </c>
      <c r="BA56" s="57">
        <v>25569.291666666668</v>
      </c>
      <c r="BB56" t="s">
        <v>213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str">
        <f>VLOOKUP(H56,Sheet2!$A$1:$B$270,2,FALSE)</f>
        <v>SUMBAWA</v>
      </c>
    </row>
    <row r="57" spans="1:61">
      <c r="A57">
        <v>56</v>
      </c>
      <c r="B57">
        <v>1002617049</v>
      </c>
      <c r="C57">
        <v>3</v>
      </c>
      <c r="D57" t="s">
        <v>45</v>
      </c>
      <c r="E57">
        <v>5</v>
      </c>
      <c r="F57" t="s">
        <v>210</v>
      </c>
      <c r="G57" t="s">
        <v>118</v>
      </c>
      <c r="H57" t="s">
        <v>276</v>
      </c>
      <c r="I57" t="s">
        <v>1440</v>
      </c>
      <c r="J57" t="s">
        <v>213</v>
      </c>
      <c r="K57" t="s">
        <v>149</v>
      </c>
      <c r="M57" t="s">
        <v>76</v>
      </c>
      <c r="N57" t="s">
        <v>1507</v>
      </c>
      <c r="O57" s="57">
        <v>46296.389108796298</v>
      </c>
      <c r="P57" s="57">
        <v>46296.731388888889</v>
      </c>
      <c r="Q57">
        <v>69397628</v>
      </c>
      <c r="S57">
        <v>172610203823</v>
      </c>
      <c r="T57" t="s">
        <v>1525</v>
      </c>
      <c r="U57" t="s">
        <v>1618</v>
      </c>
      <c r="V57" t="s">
        <v>1619</v>
      </c>
      <c r="Z57">
        <v>116.85493630000001</v>
      </c>
      <c r="AA57">
        <v>-8.7518650999999998</v>
      </c>
      <c r="AB57" t="s">
        <v>1528</v>
      </c>
      <c r="AC57" t="s">
        <v>284</v>
      </c>
      <c r="AL57" t="s">
        <v>217</v>
      </c>
      <c r="AM57" t="s">
        <v>213</v>
      </c>
      <c r="AN57" t="s">
        <v>6</v>
      </c>
      <c r="AO57" s="57">
        <v>46032.392847222225</v>
      </c>
      <c r="AR57" t="s">
        <v>218</v>
      </c>
      <c r="AS57" t="s">
        <v>1569</v>
      </c>
      <c r="AT57" t="s">
        <v>230</v>
      </c>
      <c r="AU57">
        <v>20261001</v>
      </c>
      <c r="AV57" t="s">
        <v>221</v>
      </c>
      <c r="AW57" t="s">
        <v>1620</v>
      </c>
      <c r="AX57" t="s">
        <v>222</v>
      </c>
      <c r="BA57" s="57">
        <v>25569.291666666668</v>
      </c>
      <c r="BB57" t="s">
        <v>213</v>
      </c>
      <c r="BC57">
        <v>2026</v>
      </c>
      <c r="BD57">
        <v>10</v>
      </c>
      <c r="BE57">
        <v>1</v>
      </c>
      <c r="BF57" s="6">
        <f t="shared" si="0"/>
        <v>46296</v>
      </c>
      <c r="BG57">
        <f t="shared" si="1"/>
        <v>20726.708333333332</v>
      </c>
      <c r="BH57" t="str">
        <f t="shared" si="2"/>
        <v>NOT COMPLY</v>
      </c>
      <c r="BI57" t="str">
        <f>VLOOKUP(H57,Sheet2!$A$1:$B$270,2,FALSE)</f>
        <v>SUMBAWA</v>
      </c>
    </row>
    <row r="58" spans="1:61">
      <c r="A58">
        <v>57</v>
      </c>
      <c r="B58">
        <v>1002620982</v>
      </c>
      <c r="C58">
        <v>3</v>
      </c>
      <c r="D58" t="s">
        <v>38</v>
      </c>
      <c r="E58">
        <v>5</v>
      </c>
      <c r="F58" t="s">
        <v>247</v>
      </c>
      <c r="G58" t="s">
        <v>91</v>
      </c>
      <c r="H58" t="s">
        <v>509</v>
      </c>
      <c r="I58" t="s">
        <v>212</v>
      </c>
      <c r="J58" t="s">
        <v>213</v>
      </c>
      <c r="K58" t="s">
        <v>149</v>
      </c>
      <c r="L58" t="s">
        <v>214</v>
      </c>
      <c r="M58" t="s">
        <v>76</v>
      </c>
      <c r="N58" t="s">
        <v>215</v>
      </c>
      <c r="O58" s="57">
        <v>46298.553935185184</v>
      </c>
      <c r="P58" s="57">
        <v>46298.706574074073</v>
      </c>
      <c r="Q58">
        <v>69403613</v>
      </c>
      <c r="S58">
        <v>152725202847</v>
      </c>
      <c r="T58" t="s">
        <v>1621</v>
      </c>
      <c r="U58" t="s">
        <v>1622</v>
      </c>
      <c r="V58" t="s">
        <v>1623</v>
      </c>
      <c r="Z58">
        <v>112.89444</v>
      </c>
      <c r="AA58">
        <v>-8.222963</v>
      </c>
      <c r="AB58" t="s">
        <v>1624</v>
      </c>
      <c r="AC58" t="s">
        <v>235</v>
      </c>
      <c r="AL58" t="s">
        <v>217</v>
      </c>
      <c r="AM58" t="s">
        <v>1625</v>
      </c>
      <c r="AN58" t="s">
        <v>6</v>
      </c>
      <c r="AO58" s="57">
        <v>46091.559224537035</v>
      </c>
      <c r="AP58" s="57">
        <v>46299.625</v>
      </c>
      <c r="AR58" t="s">
        <v>218</v>
      </c>
      <c r="AS58" t="s">
        <v>219</v>
      </c>
      <c r="AT58" t="s">
        <v>342</v>
      </c>
      <c r="AU58">
        <v>20261003</v>
      </c>
      <c r="AV58" t="s">
        <v>221</v>
      </c>
      <c r="AW58" t="s">
        <v>1626</v>
      </c>
      <c r="AX58" t="s">
        <v>222</v>
      </c>
      <c r="BA58" s="57">
        <v>46299.625</v>
      </c>
      <c r="BB58" t="s">
        <v>1625</v>
      </c>
      <c r="BC58">
        <v>2026</v>
      </c>
      <c r="BD58">
        <v>10</v>
      </c>
      <c r="BE58">
        <v>3</v>
      </c>
      <c r="BF58" s="6">
        <f t="shared" si="0"/>
        <v>46298</v>
      </c>
      <c r="BG58">
        <f t="shared" si="1"/>
        <v>-1.625</v>
      </c>
      <c r="BH58" t="str">
        <f t="shared" si="2"/>
        <v>COMPLY</v>
      </c>
      <c r="BI58" t="str">
        <f>VLOOKUP(H58,Sheet2!$A$1:$B$270,2,FALSE)</f>
        <v>MALANG</v>
      </c>
    </row>
    <row r="59" spans="1:61">
      <c r="A59">
        <v>58</v>
      </c>
      <c r="B59">
        <v>1002618893</v>
      </c>
      <c r="C59">
        <v>3</v>
      </c>
      <c r="D59" t="s">
        <v>38</v>
      </c>
      <c r="E59">
        <v>5</v>
      </c>
      <c r="F59" t="s">
        <v>247</v>
      </c>
      <c r="G59" t="s">
        <v>91</v>
      </c>
      <c r="H59" t="s">
        <v>512</v>
      </c>
      <c r="I59" t="s">
        <v>212</v>
      </c>
      <c r="J59" t="s">
        <v>213</v>
      </c>
      <c r="K59" t="s">
        <v>149</v>
      </c>
      <c r="L59" t="s">
        <v>214</v>
      </c>
      <c r="M59" t="s">
        <v>279</v>
      </c>
      <c r="N59" t="s">
        <v>215</v>
      </c>
      <c r="O59" s="57">
        <v>46297.336574074077</v>
      </c>
      <c r="P59" s="57">
        <v>46298.223645833335</v>
      </c>
      <c r="Q59">
        <v>69402682</v>
      </c>
      <c r="S59">
        <v>152712204186</v>
      </c>
      <c r="T59" t="s">
        <v>1627</v>
      </c>
      <c r="U59" t="s">
        <v>1628</v>
      </c>
      <c r="V59" t="s">
        <v>1629</v>
      </c>
      <c r="Z59">
        <v>112.78721</v>
      </c>
      <c r="AA59">
        <v>-8.2437489999999993</v>
      </c>
      <c r="AB59" t="s">
        <v>1630</v>
      </c>
      <c r="AC59" t="s">
        <v>235</v>
      </c>
      <c r="AL59" t="s">
        <v>217</v>
      </c>
      <c r="AM59" t="s">
        <v>1631</v>
      </c>
      <c r="AN59" t="s">
        <v>6</v>
      </c>
      <c r="AO59" s="57">
        <v>46063.351053240738</v>
      </c>
      <c r="AP59" s="57">
        <v>46298.333333333336</v>
      </c>
      <c r="AR59" t="s">
        <v>239</v>
      </c>
      <c r="AS59" t="s">
        <v>565</v>
      </c>
      <c r="AT59" t="s">
        <v>230</v>
      </c>
      <c r="AV59" t="s">
        <v>799</v>
      </c>
      <c r="AW59" t="s">
        <v>884</v>
      </c>
      <c r="AX59" t="s">
        <v>222</v>
      </c>
      <c r="BA59" s="57">
        <v>46298.333333333336</v>
      </c>
      <c r="BB59" t="s">
        <v>1631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MALANG</v>
      </c>
    </row>
    <row r="60" spans="1:61">
      <c r="A60">
        <v>59</v>
      </c>
      <c r="B60">
        <v>1002621409</v>
      </c>
      <c r="C60">
        <v>3</v>
      </c>
      <c r="D60" t="s">
        <v>38</v>
      </c>
      <c r="E60">
        <v>5</v>
      </c>
      <c r="F60" t="s">
        <v>247</v>
      </c>
      <c r="G60" t="s">
        <v>91</v>
      </c>
      <c r="H60" t="s">
        <v>410</v>
      </c>
      <c r="I60" t="s">
        <v>212</v>
      </c>
      <c r="J60" t="s">
        <v>213</v>
      </c>
      <c r="K60" t="s">
        <v>149</v>
      </c>
      <c r="L60" t="s">
        <v>214</v>
      </c>
      <c r="M60" t="s">
        <v>279</v>
      </c>
      <c r="N60" t="s">
        <v>215</v>
      </c>
      <c r="O60" s="57">
        <v>46299.584444444445</v>
      </c>
      <c r="P60" s="57">
        <v>46300.225532407407</v>
      </c>
      <c r="Q60">
        <v>69403909</v>
      </c>
      <c r="S60">
        <v>152715213491</v>
      </c>
      <c r="T60" t="s">
        <v>1632</v>
      </c>
      <c r="U60" t="s">
        <v>1633</v>
      </c>
      <c r="V60" t="s">
        <v>1634</v>
      </c>
      <c r="Z60">
        <v>112.618283712253</v>
      </c>
      <c r="AA60">
        <v>-8.19984535891885</v>
      </c>
      <c r="AB60" t="s">
        <v>1635</v>
      </c>
      <c r="AC60" t="s">
        <v>235</v>
      </c>
      <c r="AL60" t="s">
        <v>217</v>
      </c>
      <c r="AM60" t="s">
        <v>1636</v>
      </c>
      <c r="AN60" t="s">
        <v>6</v>
      </c>
      <c r="AO60" s="57">
        <v>46122.590717592589</v>
      </c>
      <c r="AP60" s="57">
        <v>46300.458333333336</v>
      </c>
      <c r="AR60" t="s">
        <v>239</v>
      </c>
      <c r="AS60" t="s">
        <v>565</v>
      </c>
      <c r="AT60" t="s">
        <v>230</v>
      </c>
      <c r="AV60" t="s">
        <v>799</v>
      </c>
      <c r="AW60" t="s">
        <v>879</v>
      </c>
      <c r="AX60" t="s">
        <v>222</v>
      </c>
      <c r="BA60" s="57">
        <v>46300.458333333336</v>
      </c>
      <c r="BB60" t="s">
        <v>1636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MALANG</v>
      </c>
    </row>
    <row r="61" spans="1:61">
      <c r="A61">
        <v>60</v>
      </c>
      <c r="B61">
        <v>1002619454</v>
      </c>
      <c r="C61">
        <v>3</v>
      </c>
      <c r="D61" t="s">
        <v>38</v>
      </c>
      <c r="E61">
        <v>5</v>
      </c>
      <c r="F61" t="s">
        <v>247</v>
      </c>
      <c r="G61" t="s">
        <v>91</v>
      </c>
      <c r="H61" t="s">
        <v>421</v>
      </c>
      <c r="I61" t="s">
        <v>212</v>
      </c>
      <c r="J61" t="s">
        <v>213</v>
      </c>
      <c r="K61" t="s">
        <v>149</v>
      </c>
      <c r="M61" t="s">
        <v>279</v>
      </c>
      <c r="N61" t="s">
        <v>215</v>
      </c>
      <c r="O61" s="57">
        <v>46297.459953703707</v>
      </c>
      <c r="P61" s="57">
        <v>46300.224212962959</v>
      </c>
      <c r="Q61">
        <v>69402913</v>
      </c>
      <c r="S61">
        <v>152713217331</v>
      </c>
      <c r="T61" t="s">
        <v>1637</v>
      </c>
      <c r="U61" t="s">
        <v>1638</v>
      </c>
      <c r="V61" t="s">
        <v>1639</v>
      </c>
      <c r="Z61">
        <v>112.68666690000001</v>
      </c>
      <c r="AA61">
        <v>-8.1776052999999997</v>
      </c>
      <c r="AB61" t="s">
        <v>1640</v>
      </c>
      <c r="AC61" t="s">
        <v>229</v>
      </c>
      <c r="AL61" t="s">
        <v>217</v>
      </c>
      <c r="AM61" t="s">
        <v>1641</v>
      </c>
      <c r="AN61" t="s">
        <v>6</v>
      </c>
      <c r="AO61" s="57">
        <v>46063.466053240743</v>
      </c>
      <c r="AP61" s="57">
        <v>46300.333333333336</v>
      </c>
      <c r="AR61" t="s">
        <v>239</v>
      </c>
      <c r="AS61" t="s">
        <v>565</v>
      </c>
      <c r="AT61" t="s">
        <v>230</v>
      </c>
      <c r="AV61" t="s">
        <v>799</v>
      </c>
      <c r="AW61" t="s">
        <v>540</v>
      </c>
      <c r="AX61" t="s">
        <v>222</v>
      </c>
      <c r="BA61" s="57">
        <v>46300.333333333336</v>
      </c>
      <c r="BB61" t="s">
        <v>1641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MALANG</v>
      </c>
    </row>
    <row r="62" spans="1:61">
      <c r="A62">
        <v>61</v>
      </c>
      <c r="B62">
        <v>1002621501</v>
      </c>
      <c r="C62">
        <v>3</v>
      </c>
      <c r="D62" t="s">
        <v>38</v>
      </c>
      <c r="E62">
        <v>5</v>
      </c>
      <c r="F62" t="s">
        <v>247</v>
      </c>
      <c r="G62" t="s">
        <v>91</v>
      </c>
      <c r="H62" t="s">
        <v>322</v>
      </c>
      <c r="I62" t="s">
        <v>212</v>
      </c>
      <c r="J62" t="s">
        <v>213</v>
      </c>
      <c r="K62" t="s">
        <v>149</v>
      </c>
      <c r="L62" t="s">
        <v>214</v>
      </c>
      <c r="M62" t="s">
        <v>238</v>
      </c>
      <c r="N62" t="s">
        <v>215</v>
      </c>
      <c r="O62" s="57">
        <v>46299.743634259263</v>
      </c>
      <c r="P62" s="57">
        <v>46299.744513888887</v>
      </c>
      <c r="Q62">
        <v>69403990</v>
      </c>
      <c r="S62">
        <v>152704231743</v>
      </c>
      <c r="T62" t="s">
        <v>1642</v>
      </c>
      <c r="U62" t="s">
        <v>1643</v>
      </c>
      <c r="V62" t="s">
        <v>1644</v>
      </c>
      <c r="Z62">
        <v>112.6195108518</v>
      </c>
      <c r="AA62">
        <v>-8.0037150013869898</v>
      </c>
      <c r="AB62" t="s">
        <v>1645</v>
      </c>
      <c r="AC62" t="s">
        <v>216</v>
      </c>
      <c r="AL62" t="s">
        <v>217</v>
      </c>
      <c r="AM62" t="s">
        <v>1646</v>
      </c>
      <c r="AN62" t="s">
        <v>6</v>
      </c>
      <c r="AO62" s="57">
        <v>46122.746898148151</v>
      </c>
      <c r="AP62" s="57">
        <v>46302.333333333336</v>
      </c>
      <c r="AR62" t="s">
        <v>239</v>
      </c>
      <c r="AS62" t="s">
        <v>549</v>
      </c>
      <c r="AT62" t="s">
        <v>230</v>
      </c>
      <c r="AV62" t="s">
        <v>238</v>
      </c>
      <c r="AW62" t="s">
        <v>882</v>
      </c>
      <c r="AX62" t="s">
        <v>222</v>
      </c>
      <c r="BA62" s="57">
        <v>46302.333333333336</v>
      </c>
      <c r="BB62" t="s">
        <v>1646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MALANG</v>
      </c>
    </row>
    <row r="63" spans="1:61">
      <c r="A63">
        <v>62</v>
      </c>
      <c r="B63">
        <v>1002620164</v>
      </c>
      <c r="C63">
        <v>3</v>
      </c>
      <c r="D63" t="s">
        <v>38</v>
      </c>
      <c r="E63">
        <v>5</v>
      </c>
      <c r="F63" t="s">
        <v>247</v>
      </c>
      <c r="G63" t="s">
        <v>91</v>
      </c>
      <c r="H63" t="s">
        <v>396</v>
      </c>
      <c r="I63" t="s">
        <v>212</v>
      </c>
      <c r="J63" t="s">
        <v>213</v>
      </c>
      <c r="K63" t="s">
        <v>149</v>
      </c>
      <c r="M63" t="s">
        <v>1647</v>
      </c>
      <c r="N63" t="s">
        <v>215</v>
      </c>
      <c r="O63" s="57">
        <v>46297.630370370367</v>
      </c>
      <c r="P63" s="57">
        <v>46299.428483796299</v>
      </c>
      <c r="Q63">
        <v>69403224</v>
      </c>
      <c r="S63">
        <v>152718219151</v>
      </c>
      <c r="T63" t="s">
        <v>1648</v>
      </c>
      <c r="U63" t="s">
        <v>1649</v>
      </c>
      <c r="V63" t="s">
        <v>1650</v>
      </c>
      <c r="Z63">
        <v>112.60142070000001</v>
      </c>
      <c r="AA63">
        <v>-8.0872174999999995</v>
      </c>
      <c r="AB63" t="s">
        <v>1651</v>
      </c>
      <c r="AC63" t="s">
        <v>229</v>
      </c>
      <c r="AL63" t="s">
        <v>217</v>
      </c>
      <c r="AM63" t="s">
        <v>1652</v>
      </c>
      <c r="AN63" t="s">
        <v>6</v>
      </c>
      <c r="AO63" s="57">
        <v>46063.652951388889</v>
      </c>
      <c r="AP63" s="57">
        <v>46300</v>
      </c>
      <c r="AS63" t="s">
        <v>91</v>
      </c>
      <c r="AT63" t="s">
        <v>230</v>
      </c>
      <c r="AV63" t="s">
        <v>1647</v>
      </c>
      <c r="AW63" t="s">
        <v>541</v>
      </c>
      <c r="AX63" t="s">
        <v>222</v>
      </c>
      <c r="BA63" s="57">
        <v>46300.333333333336</v>
      </c>
      <c r="BB63" t="s">
        <v>1652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MALANG</v>
      </c>
    </row>
    <row r="64" spans="1:61">
      <c r="A64">
        <v>63</v>
      </c>
      <c r="B64">
        <v>1002618464</v>
      </c>
      <c r="C64">
        <v>3</v>
      </c>
      <c r="D64" t="s">
        <v>38</v>
      </c>
      <c r="E64">
        <v>5</v>
      </c>
      <c r="F64" t="s">
        <v>247</v>
      </c>
      <c r="G64" t="s">
        <v>91</v>
      </c>
      <c r="H64" t="s">
        <v>386</v>
      </c>
      <c r="I64" t="s">
        <v>212</v>
      </c>
      <c r="J64" t="s">
        <v>213</v>
      </c>
      <c r="K64" t="s">
        <v>149</v>
      </c>
      <c r="L64" t="s">
        <v>214</v>
      </c>
      <c r="M64" t="s">
        <v>76</v>
      </c>
      <c r="N64" t="s">
        <v>215</v>
      </c>
      <c r="O64" s="57">
        <v>46296.661574074074</v>
      </c>
      <c r="P64" s="57">
        <v>46297.5468287037</v>
      </c>
      <c r="Q64">
        <v>69402562</v>
      </c>
      <c r="S64">
        <v>152703903703</v>
      </c>
      <c r="T64" t="s">
        <v>982</v>
      </c>
      <c r="U64" t="s">
        <v>983</v>
      </c>
      <c r="V64" t="s">
        <v>984</v>
      </c>
      <c r="Z64">
        <v>112.61766799999999</v>
      </c>
      <c r="AA64">
        <v>-7.9542149999999996</v>
      </c>
      <c r="AB64" t="s">
        <v>985</v>
      </c>
      <c r="AC64" t="s">
        <v>235</v>
      </c>
      <c r="AL64" t="s">
        <v>217</v>
      </c>
      <c r="AM64" t="s">
        <v>986</v>
      </c>
      <c r="AN64" t="s">
        <v>6</v>
      </c>
      <c r="AO64" s="57">
        <v>46032.694421296299</v>
      </c>
      <c r="AP64" s="57">
        <v>46297.625</v>
      </c>
      <c r="AR64" t="s">
        <v>218</v>
      </c>
      <c r="AS64" t="s">
        <v>549</v>
      </c>
      <c r="AT64" t="s">
        <v>230</v>
      </c>
      <c r="AU64">
        <v>20261002</v>
      </c>
      <c r="AV64" t="s">
        <v>221</v>
      </c>
      <c r="AW64" t="s">
        <v>878</v>
      </c>
      <c r="AX64" t="s">
        <v>222</v>
      </c>
      <c r="BA64" s="57">
        <v>46297.625</v>
      </c>
      <c r="BB64" t="s">
        <v>986</v>
      </c>
      <c r="BC64">
        <v>2026</v>
      </c>
      <c r="BD64">
        <v>10</v>
      </c>
      <c r="BE64">
        <v>2</v>
      </c>
      <c r="BF64" s="6">
        <f t="shared" si="0"/>
        <v>46297</v>
      </c>
      <c r="BG64">
        <f t="shared" si="1"/>
        <v>-0.625</v>
      </c>
      <c r="BH64" t="str">
        <f t="shared" si="2"/>
        <v>COMPLY</v>
      </c>
      <c r="BI64" t="str">
        <f>VLOOKUP(H64,Sheet2!$A$1:$B$270,2,FALSE)</f>
        <v>MALANG</v>
      </c>
    </row>
    <row r="65" spans="1:61">
      <c r="A65">
        <v>64</v>
      </c>
      <c r="B65">
        <v>1002616858</v>
      </c>
      <c r="C65">
        <v>3</v>
      </c>
      <c r="D65" t="s">
        <v>38</v>
      </c>
      <c r="E65">
        <v>5</v>
      </c>
      <c r="F65" t="s">
        <v>247</v>
      </c>
      <c r="G65" t="s">
        <v>91</v>
      </c>
      <c r="H65" t="s">
        <v>386</v>
      </c>
      <c r="I65" t="s">
        <v>212</v>
      </c>
      <c r="J65" t="s">
        <v>213</v>
      </c>
      <c r="K65" t="s">
        <v>149</v>
      </c>
      <c r="L65" t="s">
        <v>214</v>
      </c>
      <c r="M65" t="s">
        <v>76</v>
      </c>
      <c r="N65" t="s">
        <v>215</v>
      </c>
      <c r="O65" s="57">
        <v>46296.345613425925</v>
      </c>
      <c r="P65" s="57">
        <v>46296.652743055558</v>
      </c>
      <c r="Q65">
        <v>69402006</v>
      </c>
      <c r="S65">
        <v>152703256261</v>
      </c>
      <c r="T65" t="s">
        <v>987</v>
      </c>
      <c r="U65" t="s">
        <v>988</v>
      </c>
      <c r="V65" t="s">
        <v>989</v>
      </c>
      <c r="Z65">
        <v>112.583508686236</v>
      </c>
      <c r="AA65">
        <v>-7.9376766752176602</v>
      </c>
      <c r="AB65" t="s">
        <v>990</v>
      </c>
      <c r="AC65" t="s">
        <v>235</v>
      </c>
      <c r="AL65" t="s">
        <v>217</v>
      </c>
      <c r="AM65" t="s">
        <v>971</v>
      </c>
      <c r="AN65" t="s">
        <v>6</v>
      </c>
      <c r="AO65" s="57">
        <v>46032.351168981484</v>
      </c>
      <c r="AP65" s="57">
        <v>46297.333333333336</v>
      </c>
      <c r="AR65" t="s">
        <v>218</v>
      </c>
      <c r="AS65" t="s">
        <v>549</v>
      </c>
      <c r="AT65" t="s">
        <v>230</v>
      </c>
      <c r="AU65">
        <v>20261001</v>
      </c>
      <c r="AV65" t="s">
        <v>221</v>
      </c>
      <c r="AW65" t="s">
        <v>878</v>
      </c>
      <c r="AX65" t="s">
        <v>222</v>
      </c>
      <c r="BA65" s="57">
        <v>46297.333333333336</v>
      </c>
      <c r="BB65" t="s">
        <v>971</v>
      </c>
      <c r="BC65">
        <v>2026</v>
      </c>
      <c r="BD65">
        <v>10</v>
      </c>
      <c r="BE65">
        <v>1</v>
      </c>
      <c r="BF65" s="6">
        <f t="shared" si="0"/>
        <v>46296</v>
      </c>
      <c r="BG65">
        <f t="shared" si="1"/>
        <v>-1.3333333333357587</v>
      </c>
      <c r="BH65" t="str">
        <f t="shared" si="2"/>
        <v>COMPLY</v>
      </c>
      <c r="BI65" t="str">
        <f>VLOOKUP(H65,Sheet2!$A$1:$B$270,2,FALSE)</f>
        <v>MALANG</v>
      </c>
    </row>
    <row r="66" spans="1:61">
      <c r="A66">
        <v>65</v>
      </c>
      <c r="B66">
        <v>1002620775</v>
      </c>
      <c r="C66">
        <v>3</v>
      </c>
      <c r="D66" t="s">
        <v>38</v>
      </c>
      <c r="E66">
        <v>5</v>
      </c>
      <c r="F66" t="s">
        <v>247</v>
      </c>
      <c r="G66" t="s">
        <v>91</v>
      </c>
      <c r="H66" t="s">
        <v>401</v>
      </c>
      <c r="I66" t="s">
        <v>212</v>
      </c>
      <c r="J66" t="s">
        <v>213</v>
      </c>
      <c r="K66" t="s">
        <v>149</v>
      </c>
      <c r="L66" t="s">
        <v>214</v>
      </c>
      <c r="M66" t="s">
        <v>76</v>
      </c>
      <c r="N66" t="s">
        <v>215</v>
      </c>
      <c r="O66" s="57">
        <v>46298.397615740738</v>
      </c>
      <c r="P66" s="57">
        <v>46299.777766203704</v>
      </c>
      <c r="Q66">
        <v>69403489</v>
      </c>
      <c r="S66">
        <v>152701239320</v>
      </c>
      <c r="T66" t="s">
        <v>1653</v>
      </c>
      <c r="U66" t="s">
        <v>1654</v>
      </c>
      <c r="V66" t="s">
        <v>1655</v>
      </c>
      <c r="Z66">
        <v>112.63304050000001</v>
      </c>
      <c r="AA66">
        <v>-7.9840022999999896</v>
      </c>
      <c r="AB66" t="s">
        <v>1656</v>
      </c>
      <c r="AC66" t="s">
        <v>235</v>
      </c>
      <c r="AL66" t="s">
        <v>217</v>
      </c>
      <c r="AM66" t="s">
        <v>1657</v>
      </c>
      <c r="AN66" t="s">
        <v>6</v>
      </c>
      <c r="AO66" s="57">
        <v>46091.40283564815</v>
      </c>
      <c r="AP66" s="57">
        <v>46299.333333333336</v>
      </c>
      <c r="AR66" t="s">
        <v>218</v>
      </c>
      <c r="AS66" t="s">
        <v>247</v>
      </c>
      <c r="AT66" t="s">
        <v>230</v>
      </c>
      <c r="AU66">
        <v>20261004</v>
      </c>
      <c r="AV66" t="s">
        <v>221</v>
      </c>
      <c r="AW66" t="s">
        <v>928</v>
      </c>
      <c r="AX66" t="s">
        <v>222</v>
      </c>
      <c r="BA66" s="57">
        <v>46299.333333333336</v>
      </c>
      <c r="BB66" t="s">
        <v>1657</v>
      </c>
      <c r="BC66">
        <v>2026</v>
      </c>
      <c r="BD66">
        <v>10</v>
      </c>
      <c r="BE66">
        <v>4</v>
      </c>
      <c r="BF66" s="6">
        <f t="shared" ref="BF66:BF129" si="3">DATE(BC66,BD66,BE66)</f>
        <v>46299</v>
      </c>
      <c r="BG66">
        <f t="shared" ref="BG66:BG129" si="4">BF66-BA66</f>
        <v>-0.33333333333575865</v>
      </c>
      <c r="BH66" t="str">
        <f t="shared" ref="BH66:BH129" si="5">IF(BG66=1,"COMPLY",IF(BG66&lt;1,"COMPLY","NOT COMPLY"))</f>
        <v>COMPLY</v>
      </c>
      <c r="BI66" t="str">
        <f>VLOOKUP(H66,Sheet2!$A$1:$B$270,2,FALSE)</f>
        <v>MALANG</v>
      </c>
    </row>
    <row r="67" spans="1:61">
      <c r="A67">
        <v>66</v>
      </c>
      <c r="B67">
        <v>1002620849</v>
      </c>
      <c r="C67">
        <v>3</v>
      </c>
      <c r="D67" t="s">
        <v>38</v>
      </c>
      <c r="E67">
        <v>5</v>
      </c>
      <c r="F67" t="s">
        <v>247</v>
      </c>
      <c r="G67" t="s">
        <v>91</v>
      </c>
      <c r="H67" t="s">
        <v>401</v>
      </c>
      <c r="I67" t="s">
        <v>212</v>
      </c>
      <c r="J67" t="s">
        <v>213</v>
      </c>
      <c r="K67" t="s">
        <v>149</v>
      </c>
      <c r="L67" t="s">
        <v>214</v>
      </c>
      <c r="M67" t="s">
        <v>76</v>
      </c>
      <c r="N67" t="s">
        <v>215</v>
      </c>
      <c r="O67" s="57">
        <v>46298.462256944447</v>
      </c>
      <c r="P67" s="57">
        <v>46298.691122685188</v>
      </c>
      <c r="Q67">
        <v>69403522</v>
      </c>
      <c r="S67">
        <v>152701239321</v>
      </c>
      <c r="T67" t="s">
        <v>1658</v>
      </c>
      <c r="U67" t="s">
        <v>1659</v>
      </c>
      <c r="V67" t="s">
        <v>1660</v>
      </c>
      <c r="Z67">
        <v>112.6352435</v>
      </c>
      <c r="AA67">
        <v>-7.9674364000000004</v>
      </c>
      <c r="AB67" t="s">
        <v>1661</v>
      </c>
      <c r="AC67" t="s">
        <v>216</v>
      </c>
      <c r="AL67" t="s">
        <v>217</v>
      </c>
      <c r="AM67" t="s">
        <v>1662</v>
      </c>
      <c r="AN67" t="s">
        <v>6</v>
      </c>
      <c r="AO67" s="57">
        <v>46091.465949074074</v>
      </c>
      <c r="AP67" s="57">
        <v>46299.333333333336</v>
      </c>
      <c r="AR67" t="s">
        <v>218</v>
      </c>
      <c r="AS67" t="s">
        <v>247</v>
      </c>
      <c r="AT67" t="s">
        <v>230</v>
      </c>
      <c r="AU67">
        <v>20261003</v>
      </c>
      <c r="AV67" t="s">
        <v>221</v>
      </c>
      <c r="AW67" t="s">
        <v>879</v>
      </c>
      <c r="AX67" t="s">
        <v>222</v>
      </c>
      <c r="BA67" s="57">
        <v>46299.333333333336</v>
      </c>
      <c r="BB67" t="s">
        <v>1662</v>
      </c>
      <c r="BC67">
        <v>2026</v>
      </c>
      <c r="BD67">
        <v>10</v>
      </c>
      <c r="BE67">
        <v>3</v>
      </c>
      <c r="BF67" s="6">
        <f t="shared" si="3"/>
        <v>46298</v>
      </c>
      <c r="BG67">
        <f t="shared" si="4"/>
        <v>-1.3333333333357587</v>
      </c>
      <c r="BH67" t="str">
        <f t="shared" si="5"/>
        <v>COMPLY</v>
      </c>
      <c r="BI67" t="str">
        <f>VLOOKUP(H67,Sheet2!$A$1:$B$270,2,FALSE)</f>
        <v>MALANG</v>
      </c>
    </row>
    <row r="68" spans="1:61">
      <c r="A68">
        <v>67</v>
      </c>
      <c r="B68">
        <v>1002619473</v>
      </c>
      <c r="C68">
        <v>3</v>
      </c>
      <c r="D68" t="s">
        <v>38</v>
      </c>
      <c r="E68">
        <v>5</v>
      </c>
      <c r="F68" t="s">
        <v>247</v>
      </c>
      <c r="G68" t="s">
        <v>87</v>
      </c>
      <c r="H68" t="s">
        <v>285</v>
      </c>
      <c r="I68" t="s">
        <v>212</v>
      </c>
      <c r="J68" t="s">
        <v>213</v>
      </c>
      <c r="K68" t="s">
        <v>149</v>
      </c>
      <c r="M68" t="s">
        <v>76</v>
      </c>
      <c r="N68" t="s">
        <v>215</v>
      </c>
      <c r="O68" s="57">
        <v>46297.464525462965</v>
      </c>
      <c r="P68" s="57">
        <v>46297.542986111112</v>
      </c>
      <c r="Q68">
        <v>69400319</v>
      </c>
      <c r="S68">
        <v>152711247519</v>
      </c>
      <c r="T68" t="s">
        <v>1663</v>
      </c>
      <c r="U68" t="s">
        <v>1664</v>
      </c>
      <c r="V68" t="s">
        <v>1665</v>
      </c>
      <c r="Z68">
        <v>112.6099</v>
      </c>
      <c r="AA68">
        <v>-7.8974000000000002</v>
      </c>
      <c r="AB68" t="s">
        <v>1666</v>
      </c>
      <c r="AC68" t="s">
        <v>229</v>
      </c>
      <c r="AL68" t="s">
        <v>217</v>
      </c>
      <c r="AM68" t="s">
        <v>1667</v>
      </c>
      <c r="AN68" t="s">
        <v>6</v>
      </c>
      <c r="AO68" s="57">
        <v>46063.466053240743</v>
      </c>
      <c r="AR68" t="s">
        <v>218</v>
      </c>
      <c r="AS68" t="s">
        <v>1668</v>
      </c>
      <c r="AT68" t="s">
        <v>342</v>
      </c>
      <c r="AU68">
        <v>20261002</v>
      </c>
      <c r="AV68" t="s">
        <v>221</v>
      </c>
      <c r="AW68" t="s">
        <v>1669</v>
      </c>
      <c r="AX68" t="s">
        <v>222</v>
      </c>
      <c r="BA68" s="57">
        <v>46297.291666666664</v>
      </c>
      <c r="BB68" t="s">
        <v>1667</v>
      </c>
      <c r="BC68">
        <v>2026</v>
      </c>
      <c r="BD68">
        <v>10</v>
      </c>
      <c r="BE68">
        <v>2</v>
      </c>
      <c r="BF68" s="6">
        <f t="shared" si="3"/>
        <v>46297</v>
      </c>
      <c r="BG68">
        <f t="shared" si="4"/>
        <v>-0.29166666666424135</v>
      </c>
      <c r="BH68" t="str">
        <f t="shared" si="5"/>
        <v>COMPLY</v>
      </c>
      <c r="BI68" t="str">
        <f>VLOOKUP(H68,Sheet2!$A$1:$B$270,2,FALSE)</f>
        <v>BATU</v>
      </c>
    </row>
    <row r="69" spans="1:61">
      <c r="A69">
        <v>68</v>
      </c>
      <c r="B69">
        <v>1002620453</v>
      </c>
      <c r="C69">
        <v>3</v>
      </c>
      <c r="D69" t="s">
        <v>38</v>
      </c>
      <c r="E69">
        <v>5</v>
      </c>
      <c r="F69" t="s">
        <v>247</v>
      </c>
      <c r="G69" t="s">
        <v>87</v>
      </c>
      <c r="H69" t="s">
        <v>285</v>
      </c>
      <c r="I69" t="s">
        <v>212</v>
      </c>
      <c r="J69" t="s">
        <v>213</v>
      </c>
      <c r="K69" t="s">
        <v>149</v>
      </c>
      <c r="M69" t="s">
        <v>279</v>
      </c>
      <c r="N69" t="s">
        <v>215</v>
      </c>
      <c r="O69" s="57">
        <v>46297.690891203703</v>
      </c>
      <c r="P69" s="57">
        <v>46300.224537037036</v>
      </c>
      <c r="Q69">
        <v>69403317</v>
      </c>
      <c r="S69">
        <v>152711247525</v>
      </c>
      <c r="T69" t="s">
        <v>1670</v>
      </c>
      <c r="U69" t="s">
        <v>1671</v>
      </c>
      <c r="V69" t="s">
        <v>1672</v>
      </c>
      <c r="Z69">
        <v>112.575734853744</v>
      </c>
      <c r="AA69">
        <v>-7.9262484614668196</v>
      </c>
      <c r="AB69" t="s">
        <v>1673</v>
      </c>
      <c r="AC69" t="s">
        <v>225</v>
      </c>
      <c r="AL69" t="s">
        <v>217</v>
      </c>
      <c r="AM69" t="s">
        <v>1674</v>
      </c>
      <c r="AN69" t="s">
        <v>6</v>
      </c>
      <c r="AO69" s="57">
        <v>46063.694699074076</v>
      </c>
      <c r="AP69" s="57">
        <v>46300.333333333336</v>
      </c>
      <c r="AR69" t="s">
        <v>239</v>
      </c>
      <c r="AS69" t="s">
        <v>1668</v>
      </c>
      <c r="AT69" t="s">
        <v>230</v>
      </c>
      <c r="AV69" t="s">
        <v>799</v>
      </c>
      <c r="AW69" t="s">
        <v>540</v>
      </c>
      <c r="AX69" t="s">
        <v>222</v>
      </c>
      <c r="BA69" s="57">
        <v>46300.333333333336</v>
      </c>
      <c r="BB69" t="s">
        <v>1674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BATU</v>
      </c>
    </row>
    <row r="70" spans="1:61">
      <c r="A70">
        <v>69</v>
      </c>
      <c r="B70">
        <v>1002620672</v>
      </c>
      <c r="C70">
        <v>3</v>
      </c>
      <c r="D70" t="s">
        <v>38</v>
      </c>
      <c r="E70">
        <v>5</v>
      </c>
      <c r="F70" t="s">
        <v>247</v>
      </c>
      <c r="G70" t="s">
        <v>87</v>
      </c>
      <c r="H70" t="s">
        <v>438</v>
      </c>
      <c r="I70" t="s">
        <v>212</v>
      </c>
      <c r="J70" t="s">
        <v>213</v>
      </c>
      <c r="K70" t="s">
        <v>149</v>
      </c>
      <c r="L70" t="s">
        <v>214</v>
      </c>
      <c r="M70" t="s">
        <v>76</v>
      </c>
      <c r="N70" t="s">
        <v>215</v>
      </c>
      <c r="O70" s="57">
        <v>46297.81150462963</v>
      </c>
      <c r="P70" s="57">
        <v>46299.740543981483</v>
      </c>
      <c r="Q70">
        <v>69403413</v>
      </c>
      <c r="S70">
        <v>152720204431</v>
      </c>
      <c r="T70" t="s">
        <v>1675</v>
      </c>
      <c r="U70" t="s">
        <v>1676</v>
      </c>
      <c r="V70" t="s">
        <v>1677</v>
      </c>
      <c r="Z70">
        <v>112.69858928231901</v>
      </c>
      <c r="AA70">
        <v>-7.8267674025097502</v>
      </c>
      <c r="AB70" t="s">
        <v>1678</v>
      </c>
      <c r="AC70" t="s">
        <v>235</v>
      </c>
      <c r="AL70" t="s">
        <v>217</v>
      </c>
      <c r="AM70" t="s">
        <v>1679</v>
      </c>
      <c r="AN70" t="s">
        <v>6</v>
      </c>
      <c r="AO70" s="57">
        <v>46063.819363425922</v>
      </c>
      <c r="AP70" s="57">
        <v>46299.333333333336</v>
      </c>
      <c r="AR70" t="s">
        <v>218</v>
      </c>
      <c r="AS70" t="s">
        <v>566</v>
      </c>
      <c r="AT70" t="s">
        <v>230</v>
      </c>
      <c r="AU70">
        <v>20261004</v>
      </c>
      <c r="AV70" t="s">
        <v>221</v>
      </c>
      <c r="AW70" t="s">
        <v>877</v>
      </c>
      <c r="AX70" t="s">
        <v>222</v>
      </c>
      <c r="BA70" s="57">
        <v>46299.333333333336</v>
      </c>
      <c r="BB70" t="s">
        <v>1679</v>
      </c>
      <c r="BC70">
        <v>2026</v>
      </c>
      <c r="BD70">
        <v>10</v>
      </c>
      <c r="BE70">
        <v>4</v>
      </c>
      <c r="BF70" s="6">
        <f t="shared" si="3"/>
        <v>46299</v>
      </c>
      <c r="BG70">
        <f t="shared" si="4"/>
        <v>-0.33333333333575865</v>
      </c>
      <c r="BH70" t="str">
        <f t="shared" si="5"/>
        <v>COMPLY</v>
      </c>
      <c r="BI70" t="str">
        <f>VLOOKUP(H70,Sheet2!$A$1:$B$270,2,FALSE)</f>
        <v>BATU</v>
      </c>
    </row>
    <row r="71" spans="1:61">
      <c r="A71">
        <v>70</v>
      </c>
      <c r="B71">
        <v>1002617199</v>
      </c>
      <c r="C71">
        <v>3</v>
      </c>
      <c r="D71" t="s">
        <v>38</v>
      </c>
      <c r="E71">
        <v>5</v>
      </c>
      <c r="F71" t="s">
        <v>247</v>
      </c>
      <c r="G71" t="s">
        <v>87</v>
      </c>
      <c r="H71" t="s">
        <v>423</v>
      </c>
      <c r="I71" t="s">
        <v>212</v>
      </c>
      <c r="J71" t="s">
        <v>213</v>
      </c>
      <c r="K71" t="s">
        <v>149</v>
      </c>
      <c r="M71" t="s">
        <v>76</v>
      </c>
      <c r="N71" t="s">
        <v>215</v>
      </c>
      <c r="O71" s="57">
        <v>46296.412326388891</v>
      </c>
      <c r="P71" s="57">
        <v>46296.629166666666</v>
      </c>
      <c r="Q71">
        <v>69402128</v>
      </c>
      <c r="S71">
        <v>152717206397</v>
      </c>
      <c r="T71" t="s">
        <v>991</v>
      </c>
      <c r="U71" t="s">
        <v>992</v>
      </c>
      <c r="V71" t="s">
        <v>993</v>
      </c>
      <c r="Z71">
        <v>112.7620486</v>
      </c>
      <c r="AA71">
        <v>-8.0064463999999997</v>
      </c>
      <c r="AB71" t="s">
        <v>994</v>
      </c>
      <c r="AC71" t="s">
        <v>283</v>
      </c>
      <c r="AL71" t="s">
        <v>217</v>
      </c>
      <c r="AM71" t="s">
        <v>995</v>
      </c>
      <c r="AN71" t="s">
        <v>6</v>
      </c>
      <c r="AO71" s="57">
        <v>46032.413738425923</v>
      </c>
      <c r="AP71" s="57">
        <v>46297.333333333336</v>
      </c>
      <c r="AR71" t="s">
        <v>218</v>
      </c>
      <c r="AS71" t="s">
        <v>566</v>
      </c>
      <c r="AT71" t="s">
        <v>230</v>
      </c>
      <c r="AU71">
        <v>20261001</v>
      </c>
      <c r="AV71" t="s">
        <v>221</v>
      </c>
      <c r="AW71" t="s">
        <v>540</v>
      </c>
      <c r="AX71" t="s">
        <v>222</v>
      </c>
      <c r="BA71" s="57">
        <v>46297.333333333336</v>
      </c>
      <c r="BB71" t="s">
        <v>995</v>
      </c>
      <c r="BC71">
        <v>2026</v>
      </c>
      <c r="BD71">
        <v>10</v>
      </c>
      <c r="BE71">
        <v>1</v>
      </c>
      <c r="BF71" s="6">
        <f t="shared" si="3"/>
        <v>46296</v>
      </c>
      <c r="BG71">
        <f t="shared" si="4"/>
        <v>-1.3333333333357587</v>
      </c>
      <c r="BH71" t="str">
        <f t="shared" si="5"/>
        <v>COMPLY</v>
      </c>
      <c r="BI71" t="str">
        <f>VLOOKUP(H71,Sheet2!$A$1:$B$270,2,FALSE)</f>
        <v>BATU</v>
      </c>
    </row>
    <row r="72" spans="1:61">
      <c r="A72">
        <v>71</v>
      </c>
      <c r="B72">
        <v>1002619877</v>
      </c>
      <c r="C72">
        <v>3</v>
      </c>
      <c r="D72" t="s">
        <v>38</v>
      </c>
      <c r="E72">
        <v>5</v>
      </c>
      <c r="F72" t="s">
        <v>247</v>
      </c>
      <c r="G72" t="s">
        <v>87</v>
      </c>
      <c r="H72" t="s">
        <v>352</v>
      </c>
      <c r="I72" t="s">
        <v>212</v>
      </c>
      <c r="J72" t="s">
        <v>213</v>
      </c>
      <c r="K72" t="s">
        <v>149</v>
      </c>
      <c r="M72" t="s">
        <v>1680</v>
      </c>
      <c r="N72" t="s">
        <v>215</v>
      </c>
      <c r="O72" s="57">
        <v>46297.581550925926</v>
      </c>
      <c r="P72" s="57">
        <v>46297.582685185182</v>
      </c>
      <c r="Q72">
        <v>69403129</v>
      </c>
      <c r="S72">
        <v>152707239477</v>
      </c>
      <c r="T72" t="s">
        <v>1681</v>
      </c>
      <c r="Z72">
        <v>112.518196105957</v>
      </c>
      <c r="AA72">
        <v>-7.8968585074744402</v>
      </c>
      <c r="AB72" t="s">
        <v>1682</v>
      </c>
      <c r="AC72" t="s">
        <v>225</v>
      </c>
      <c r="AO72" s="57">
        <v>46063.61105324074</v>
      </c>
      <c r="AR72" t="s">
        <v>6</v>
      </c>
      <c r="AS72" t="s">
        <v>87</v>
      </c>
      <c r="AT72" t="s">
        <v>230</v>
      </c>
      <c r="AV72" t="s">
        <v>1683</v>
      </c>
      <c r="AW72" t="s">
        <v>1684</v>
      </c>
      <c r="AX72" t="s">
        <v>222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BATU</v>
      </c>
    </row>
    <row r="73" spans="1:61">
      <c r="A73">
        <v>72</v>
      </c>
      <c r="B73">
        <v>1002618310</v>
      </c>
      <c r="C73">
        <v>3</v>
      </c>
      <c r="D73" t="s">
        <v>38</v>
      </c>
      <c r="E73">
        <v>5</v>
      </c>
      <c r="F73" t="s">
        <v>247</v>
      </c>
      <c r="G73" t="s">
        <v>87</v>
      </c>
      <c r="H73" t="s">
        <v>248</v>
      </c>
      <c r="I73" t="s">
        <v>212</v>
      </c>
      <c r="J73" t="s">
        <v>213</v>
      </c>
      <c r="K73" t="s">
        <v>149</v>
      </c>
      <c r="M73" t="s">
        <v>76</v>
      </c>
      <c r="N73" t="s">
        <v>215</v>
      </c>
      <c r="O73" s="57">
        <v>46296.640486111108</v>
      </c>
      <c r="P73" s="57">
        <v>46296.736701388887</v>
      </c>
      <c r="Q73">
        <v>69399650</v>
      </c>
      <c r="S73">
        <v>152702232862</v>
      </c>
      <c r="T73" t="s">
        <v>921</v>
      </c>
      <c r="U73" t="s">
        <v>996</v>
      </c>
      <c r="V73" t="s">
        <v>997</v>
      </c>
      <c r="Z73">
        <v>112.6462487</v>
      </c>
      <c r="AA73">
        <v>-7.9537868999999999</v>
      </c>
      <c r="AB73" t="s">
        <v>922</v>
      </c>
      <c r="AC73" t="s">
        <v>229</v>
      </c>
      <c r="AL73" t="s">
        <v>217</v>
      </c>
      <c r="AM73" t="s">
        <v>998</v>
      </c>
      <c r="AN73" t="s">
        <v>6</v>
      </c>
      <c r="AO73" s="57">
        <v>46032.642337962963</v>
      </c>
      <c r="AR73" t="s">
        <v>218</v>
      </c>
      <c r="AS73" t="s">
        <v>847</v>
      </c>
      <c r="AT73" t="s">
        <v>230</v>
      </c>
      <c r="AU73">
        <v>20261001</v>
      </c>
      <c r="AV73" t="s">
        <v>221</v>
      </c>
      <c r="AW73" t="s">
        <v>541</v>
      </c>
      <c r="AX73" t="s">
        <v>222</v>
      </c>
      <c r="BA73" s="57">
        <v>46296.291666666664</v>
      </c>
      <c r="BB73" t="s">
        <v>998</v>
      </c>
      <c r="BC73">
        <v>2026</v>
      </c>
      <c r="BD73">
        <v>10</v>
      </c>
      <c r="BE73">
        <v>1</v>
      </c>
      <c r="BF73" s="6">
        <f t="shared" si="3"/>
        <v>46296</v>
      </c>
      <c r="BG73">
        <f t="shared" si="4"/>
        <v>-0.29166666666424135</v>
      </c>
      <c r="BH73" t="str">
        <f t="shared" si="5"/>
        <v>COMPLY</v>
      </c>
      <c r="BI73" t="str">
        <f>VLOOKUP(H73,Sheet2!$A$1:$B$270,2,FALSE)</f>
        <v>BATU</v>
      </c>
    </row>
    <row r="74" spans="1:61">
      <c r="A74">
        <v>73</v>
      </c>
      <c r="B74">
        <v>1002619594</v>
      </c>
      <c r="C74">
        <v>3</v>
      </c>
      <c r="D74" t="s">
        <v>38</v>
      </c>
      <c r="E74">
        <v>5</v>
      </c>
      <c r="F74" t="s">
        <v>247</v>
      </c>
      <c r="G74" t="s">
        <v>87</v>
      </c>
      <c r="H74" t="s">
        <v>248</v>
      </c>
      <c r="I74" t="s">
        <v>212</v>
      </c>
      <c r="J74" t="s">
        <v>213</v>
      </c>
      <c r="K74" t="s">
        <v>149</v>
      </c>
      <c r="M74" t="s">
        <v>76</v>
      </c>
      <c r="N74" t="s">
        <v>215</v>
      </c>
      <c r="O74" s="57">
        <v>46297.489386574074</v>
      </c>
      <c r="P74" s="57">
        <v>46297.828055555554</v>
      </c>
      <c r="Q74">
        <v>69396803</v>
      </c>
      <c r="S74">
        <v>152702232877</v>
      </c>
      <c r="T74" t="s">
        <v>1685</v>
      </c>
      <c r="U74" t="s">
        <v>1686</v>
      </c>
      <c r="V74" t="s">
        <v>1687</v>
      </c>
      <c r="Z74">
        <v>112.6561858</v>
      </c>
      <c r="AA74">
        <v>-7.9213461000000001</v>
      </c>
      <c r="AB74" t="s">
        <v>1688</v>
      </c>
      <c r="AC74" t="s">
        <v>216</v>
      </c>
      <c r="AL74" t="s">
        <v>217</v>
      </c>
      <c r="AM74" t="s">
        <v>1689</v>
      </c>
      <c r="AN74" t="s">
        <v>6</v>
      </c>
      <c r="AO74" s="57">
        <v>46063.507453703707</v>
      </c>
      <c r="AR74" t="s">
        <v>218</v>
      </c>
      <c r="AS74" t="s">
        <v>847</v>
      </c>
      <c r="AT74" t="s">
        <v>342</v>
      </c>
      <c r="AU74">
        <v>20261002</v>
      </c>
      <c r="AV74" t="s">
        <v>221</v>
      </c>
      <c r="AW74" t="s">
        <v>1690</v>
      </c>
      <c r="AX74" t="s">
        <v>222</v>
      </c>
      <c r="BA74" s="57">
        <v>46297.291666666664</v>
      </c>
      <c r="BB74" t="s">
        <v>1689</v>
      </c>
      <c r="BC74">
        <v>2026</v>
      </c>
      <c r="BD74">
        <v>10</v>
      </c>
      <c r="BE74">
        <v>2</v>
      </c>
      <c r="BF74" s="6">
        <f t="shared" si="3"/>
        <v>46297</v>
      </c>
      <c r="BG74">
        <f t="shared" si="4"/>
        <v>-0.29166666666424135</v>
      </c>
      <c r="BH74" t="str">
        <f t="shared" si="5"/>
        <v>COMPLY</v>
      </c>
      <c r="BI74" t="str">
        <f>VLOOKUP(H74,Sheet2!$A$1:$B$270,2,FALSE)</f>
        <v>BATU</v>
      </c>
    </row>
    <row r="75" spans="1:61">
      <c r="A75">
        <v>74</v>
      </c>
      <c r="B75">
        <v>1002620916</v>
      </c>
      <c r="C75">
        <v>3</v>
      </c>
      <c r="D75" t="s">
        <v>38</v>
      </c>
      <c r="E75">
        <v>5</v>
      </c>
      <c r="F75" t="s">
        <v>247</v>
      </c>
      <c r="G75" t="s">
        <v>87</v>
      </c>
      <c r="H75" t="s">
        <v>248</v>
      </c>
      <c r="I75" t="s">
        <v>212</v>
      </c>
      <c r="J75" t="s">
        <v>213</v>
      </c>
      <c r="K75" t="s">
        <v>149</v>
      </c>
      <c r="L75" t="s">
        <v>214</v>
      </c>
      <c r="M75" t="s">
        <v>76</v>
      </c>
      <c r="N75" t="s">
        <v>215</v>
      </c>
      <c r="O75" s="57">
        <v>46298.503599537034</v>
      </c>
      <c r="P75" s="57">
        <v>46299.322835648149</v>
      </c>
      <c r="Q75">
        <v>69403561</v>
      </c>
      <c r="S75">
        <v>152702248507</v>
      </c>
      <c r="T75" t="s">
        <v>1691</v>
      </c>
      <c r="U75" t="s">
        <v>1692</v>
      </c>
      <c r="V75" t="s">
        <v>1693</v>
      </c>
      <c r="Z75">
        <v>112.6179394</v>
      </c>
      <c r="AA75">
        <v>-7.9482950999999904</v>
      </c>
      <c r="AB75" t="s">
        <v>1694</v>
      </c>
      <c r="AC75" t="s">
        <v>235</v>
      </c>
      <c r="AL75" t="s">
        <v>217</v>
      </c>
      <c r="AM75" t="s">
        <v>1695</v>
      </c>
      <c r="AN75" t="s">
        <v>6</v>
      </c>
      <c r="AO75" s="57">
        <v>46091.517858796295</v>
      </c>
      <c r="AP75" s="57">
        <v>46299.458333333336</v>
      </c>
      <c r="AR75" t="s">
        <v>218</v>
      </c>
      <c r="AS75" t="s">
        <v>847</v>
      </c>
      <c r="AT75" t="s">
        <v>230</v>
      </c>
      <c r="AU75">
        <v>20261004</v>
      </c>
      <c r="AV75" t="s">
        <v>221</v>
      </c>
      <c r="AW75" t="s">
        <v>928</v>
      </c>
      <c r="AX75" t="s">
        <v>222</v>
      </c>
      <c r="BA75" s="57">
        <v>46299.458333333336</v>
      </c>
      <c r="BB75" t="s">
        <v>1695</v>
      </c>
      <c r="BC75">
        <v>2026</v>
      </c>
      <c r="BD75">
        <v>10</v>
      </c>
      <c r="BE75">
        <v>4</v>
      </c>
      <c r="BF75" s="6">
        <f t="shared" si="3"/>
        <v>46299</v>
      </c>
      <c r="BG75">
        <f t="shared" si="4"/>
        <v>-0.45833333333575865</v>
      </c>
      <c r="BH75" t="str">
        <f t="shared" si="5"/>
        <v>COMPLY</v>
      </c>
      <c r="BI75" t="str">
        <f>VLOOKUP(H75,Sheet2!$A$1:$B$270,2,FALSE)</f>
        <v>BATU</v>
      </c>
    </row>
    <row r="76" spans="1:61">
      <c r="A76">
        <v>75</v>
      </c>
      <c r="B76">
        <v>1002620870</v>
      </c>
      <c r="C76">
        <v>3</v>
      </c>
      <c r="D76" t="s">
        <v>38</v>
      </c>
      <c r="E76">
        <v>5</v>
      </c>
      <c r="F76" t="s">
        <v>247</v>
      </c>
      <c r="G76" t="s">
        <v>87</v>
      </c>
      <c r="H76" t="s">
        <v>437</v>
      </c>
      <c r="I76" t="s">
        <v>212</v>
      </c>
      <c r="J76" t="s">
        <v>213</v>
      </c>
      <c r="K76" t="s">
        <v>149</v>
      </c>
      <c r="M76" t="s">
        <v>279</v>
      </c>
      <c r="N76" t="s">
        <v>563</v>
      </c>
      <c r="O76" s="57">
        <v>46298.476145833331</v>
      </c>
      <c r="P76" s="57">
        <v>46300.224872685183</v>
      </c>
      <c r="Q76">
        <v>69403484</v>
      </c>
      <c r="S76">
        <v>152710214293</v>
      </c>
      <c r="T76" t="s">
        <v>1696</v>
      </c>
      <c r="U76" t="s">
        <v>1697</v>
      </c>
      <c r="V76" t="s">
        <v>1698</v>
      </c>
      <c r="Z76">
        <v>112.68331019999999</v>
      </c>
      <c r="AA76">
        <v>-7.9638188000000003</v>
      </c>
      <c r="AB76" t="s">
        <v>1699</v>
      </c>
      <c r="AC76" t="s">
        <v>229</v>
      </c>
      <c r="AL76" t="s">
        <v>217</v>
      </c>
      <c r="AM76" t="s">
        <v>1700</v>
      </c>
      <c r="AN76" t="s">
        <v>6</v>
      </c>
      <c r="AO76" s="57">
        <v>46091.486087962963</v>
      </c>
      <c r="AP76" s="57">
        <v>46300.333333333336</v>
      </c>
      <c r="AR76" t="s">
        <v>239</v>
      </c>
      <c r="AS76" t="s">
        <v>566</v>
      </c>
      <c r="AT76" t="s">
        <v>230</v>
      </c>
      <c r="AV76" t="s">
        <v>799</v>
      </c>
      <c r="AW76" t="s">
        <v>540</v>
      </c>
      <c r="AX76" t="s">
        <v>222</v>
      </c>
      <c r="BA76" s="57">
        <v>46300.333333333336</v>
      </c>
      <c r="BB76" t="s">
        <v>1700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BATU</v>
      </c>
    </row>
    <row r="77" spans="1:61">
      <c r="A77">
        <v>76</v>
      </c>
      <c r="B77">
        <v>1002618740</v>
      </c>
      <c r="C77">
        <v>3</v>
      </c>
      <c r="D77" t="s">
        <v>38</v>
      </c>
      <c r="E77">
        <v>5</v>
      </c>
      <c r="F77" t="s">
        <v>90</v>
      </c>
      <c r="G77" t="s">
        <v>88</v>
      </c>
      <c r="H77" t="s">
        <v>453</v>
      </c>
      <c r="I77" t="s">
        <v>212</v>
      </c>
      <c r="J77" t="s">
        <v>213</v>
      </c>
      <c r="K77" t="s">
        <v>149</v>
      </c>
      <c r="L77" t="s">
        <v>214</v>
      </c>
      <c r="M77" t="s">
        <v>76</v>
      </c>
      <c r="N77" t="s">
        <v>215</v>
      </c>
      <c r="O77" s="57">
        <v>46296.732349537036</v>
      </c>
      <c r="P77" s="57">
        <v>46297.56758101852</v>
      </c>
      <c r="Q77">
        <v>69402633</v>
      </c>
      <c r="S77">
        <v>152737202990</v>
      </c>
      <c r="T77" t="s">
        <v>999</v>
      </c>
      <c r="U77" t="s">
        <v>1000</v>
      </c>
      <c r="V77" t="s">
        <v>1001</v>
      </c>
      <c r="Z77">
        <v>112.282687</v>
      </c>
      <c r="AA77">
        <v>-8.1238980000000005</v>
      </c>
      <c r="AB77" t="s">
        <v>1002</v>
      </c>
      <c r="AC77" t="s">
        <v>235</v>
      </c>
      <c r="AL77" t="s">
        <v>217</v>
      </c>
      <c r="AM77" t="s">
        <v>1003</v>
      </c>
      <c r="AN77" t="s">
        <v>6</v>
      </c>
      <c r="AO77" s="57">
        <v>46032.736354166664</v>
      </c>
      <c r="AP77" s="57">
        <v>46297.625</v>
      </c>
      <c r="AR77" t="s">
        <v>218</v>
      </c>
      <c r="AS77" t="s">
        <v>550</v>
      </c>
      <c r="AT77" t="s">
        <v>342</v>
      </c>
      <c r="AU77">
        <v>20261002</v>
      </c>
      <c r="AV77" t="s">
        <v>221</v>
      </c>
      <c r="AW77" t="s">
        <v>906</v>
      </c>
      <c r="AX77" t="s">
        <v>222</v>
      </c>
      <c r="BA77" s="57">
        <v>46297.625</v>
      </c>
      <c r="BB77" t="s">
        <v>1003</v>
      </c>
      <c r="BC77">
        <v>2026</v>
      </c>
      <c r="BD77">
        <v>10</v>
      </c>
      <c r="BE77">
        <v>2</v>
      </c>
      <c r="BF77" s="6">
        <f t="shared" si="3"/>
        <v>46297</v>
      </c>
      <c r="BG77">
        <f t="shared" si="4"/>
        <v>-0.625</v>
      </c>
      <c r="BH77" t="str">
        <f t="shared" si="5"/>
        <v>COMPLY</v>
      </c>
      <c r="BI77" t="str">
        <f>VLOOKUP(H77,Sheet2!$A$1:$B$270,2,FALSE)</f>
        <v>BLITAR</v>
      </c>
    </row>
    <row r="78" spans="1:61">
      <c r="A78">
        <v>77</v>
      </c>
      <c r="B78">
        <v>1002620821</v>
      </c>
      <c r="C78">
        <v>3</v>
      </c>
      <c r="D78" t="s">
        <v>38</v>
      </c>
      <c r="E78">
        <v>5</v>
      </c>
      <c r="F78" t="s">
        <v>90</v>
      </c>
      <c r="G78" t="s">
        <v>98</v>
      </c>
      <c r="H78" t="s">
        <v>506</v>
      </c>
      <c r="I78" t="s">
        <v>212</v>
      </c>
      <c r="J78" t="s">
        <v>213</v>
      </c>
      <c r="K78" t="s">
        <v>149</v>
      </c>
      <c r="L78" t="s">
        <v>214</v>
      </c>
      <c r="M78" t="s">
        <v>76</v>
      </c>
      <c r="N78" t="s">
        <v>215</v>
      </c>
      <c r="O78" s="57">
        <v>46298.434421296297</v>
      </c>
      <c r="P78" s="57">
        <v>46298.710335648146</v>
      </c>
      <c r="Q78">
        <v>69403511</v>
      </c>
      <c r="S78">
        <v>152637211616</v>
      </c>
      <c r="T78" t="s">
        <v>1701</v>
      </c>
      <c r="U78" t="s">
        <v>1702</v>
      </c>
      <c r="V78" t="s">
        <v>1703</v>
      </c>
      <c r="Z78">
        <v>111.991340853273</v>
      </c>
      <c r="AA78">
        <v>-8.1386068885492904</v>
      </c>
      <c r="AB78" t="s">
        <v>1704</v>
      </c>
      <c r="AC78" t="s">
        <v>216</v>
      </c>
      <c r="AL78" t="s">
        <v>217</v>
      </c>
      <c r="AM78" t="s">
        <v>1705</v>
      </c>
      <c r="AN78" t="s">
        <v>6</v>
      </c>
      <c r="AO78" s="57">
        <v>46091.444571759261</v>
      </c>
      <c r="AP78" s="57">
        <v>46299.333333333336</v>
      </c>
      <c r="AR78" t="s">
        <v>218</v>
      </c>
      <c r="AS78" t="s">
        <v>98</v>
      </c>
      <c r="AT78" t="s">
        <v>230</v>
      </c>
      <c r="AU78">
        <v>20261003</v>
      </c>
      <c r="AV78" t="s">
        <v>221</v>
      </c>
      <c r="AW78" t="s">
        <v>880</v>
      </c>
      <c r="AX78" t="s">
        <v>222</v>
      </c>
      <c r="BA78" s="57">
        <v>46299.333333333336</v>
      </c>
      <c r="BB78" t="s">
        <v>1705</v>
      </c>
      <c r="BC78">
        <v>2026</v>
      </c>
      <c r="BD78">
        <v>10</v>
      </c>
      <c r="BE78">
        <v>3</v>
      </c>
      <c r="BF78" s="6">
        <f t="shared" si="3"/>
        <v>46298</v>
      </c>
      <c r="BG78">
        <f t="shared" si="4"/>
        <v>-1.3333333333357587</v>
      </c>
      <c r="BH78" t="str">
        <f t="shared" si="5"/>
        <v>COMPLY</v>
      </c>
      <c r="BI78" t="str">
        <f>VLOOKUP(H78,Sheet2!$A$1:$B$270,2,FALSE)</f>
        <v>BLITAR</v>
      </c>
    </row>
    <row r="79" spans="1:61">
      <c r="A79">
        <v>78</v>
      </c>
      <c r="B79">
        <v>1002620356</v>
      </c>
      <c r="C79">
        <v>3</v>
      </c>
      <c r="D79" t="s">
        <v>38</v>
      </c>
      <c r="E79">
        <v>5</v>
      </c>
      <c r="F79" t="s">
        <v>90</v>
      </c>
      <c r="G79" t="s">
        <v>98</v>
      </c>
      <c r="H79" t="s">
        <v>294</v>
      </c>
      <c r="I79" t="s">
        <v>212</v>
      </c>
      <c r="J79" t="s">
        <v>213</v>
      </c>
      <c r="K79" t="s">
        <v>149</v>
      </c>
      <c r="L79" t="s">
        <v>214</v>
      </c>
      <c r="M79" t="s">
        <v>279</v>
      </c>
      <c r="N79" t="s">
        <v>215</v>
      </c>
      <c r="O79" s="57">
        <v>46297.664293981485</v>
      </c>
      <c r="P79" s="57">
        <v>46298.224351851852</v>
      </c>
      <c r="Q79">
        <v>69403273</v>
      </c>
      <c r="S79">
        <v>152606246689</v>
      </c>
      <c r="T79" t="s">
        <v>1706</v>
      </c>
      <c r="U79" t="s">
        <v>1707</v>
      </c>
      <c r="V79" t="s">
        <v>1708</v>
      </c>
      <c r="Z79">
        <v>111.91484490000001</v>
      </c>
      <c r="AA79">
        <v>-8.0690539000000001</v>
      </c>
      <c r="AB79" t="s">
        <v>1709</v>
      </c>
      <c r="AC79" t="s">
        <v>851</v>
      </c>
      <c r="AL79" t="s">
        <v>217</v>
      </c>
      <c r="AM79" t="s">
        <v>1710</v>
      </c>
      <c r="AN79" t="s">
        <v>6</v>
      </c>
      <c r="AO79" s="57">
        <v>46063.673761574071</v>
      </c>
      <c r="AP79" s="57">
        <v>46298.625</v>
      </c>
      <c r="AR79" t="s">
        <v>239</v>
      </c>
      <c r="AS79" t="s">
        <v>98</v>
      </c>
      <c r="AT79" t="s">
        <v>220</v>
      </c>
      <c r="AV79" t="s">
        <v>799</v>
      </c>
      <c r="AW79" t="s">
        <v>871</v>
      </c>
      <c r="AX79" t="s">
        <v>222</v>
      </c>
      <c r="BA79" s="57">
        <v>46298.625</v>
      </c>
      <c r="BB79" t="s">
        <v>1710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BLITAR</v>
      </c>
    </row>
    <row r="80" spans="1:61">
      <c r="A80">
        <v>79</v>
      </c>
      <c r="B80">
        <v>1002621375</v>
      </c>
      <c r="C80">
        <v>3</v>
      </c>
      <c r="D80" t="s">
        <v>38</v>
      </c>
      <c r="E80">
        <v>5</v>
      </c>
      <c r="F80" t="s">
        <v>90</v>
      </c>
      <c r="G80" t="s">
        <v>98</v>
      </c>
      <c r="H80" t="s">
        <v>294</v>
      </c>
      <c r="I80" t="s">
        <v>212</v>
      </c>
      <c r="J80" t="s">
        <v>213</v>
      </c>
      <c r="K80" t="s">
        <v>149</v>
      </c>
      <c r="L80" t="s">
        <v>214</v>
      </c>
      <c r="M80" t="s">
        <v>279</v>
      </c>
      <c r="N80" t="s">
        <v>215</v>
      </c>
      <c r="O80" s="57">
        <v>46299.54074074074</v>
      </c>
      <c r="P80" s="57">
        <v>46300.225219907406</v>
      </c>
      <c r="Q80">
        <v>69403892</v>
      </c>
      <c r="S80">
        <v>152606246698</v>
      </c>
      <c r="T80" t="s">
        <v>1711</v>
      </c>
      <c r="U80" t="s">
        <v>1712</v>
      </c>
      <c r="V80" t="s">
        <v>1713</v>
      </c>
      <c r="Z80">
        <v>111.93372298032</v>
      </c>
      <c r="AA80">
        <v>-8.0174769243447894</v>
      </c>
      <c r="AB80" t="s">
        <v>1714</v>
      </c>
      <c r="AC80" t="s">
        <v>216</v>
      </c>
      <c r="AL80" t="s">
        <v>217</v>
      </c>
      <c r="AM80" t="s">
        <v>1715</v>
      </c>
      <c r="AN80" t="s">
        <v>6</v>
      </c>
      <c r="AO80" s="57">
        <v>46122.549178240741</v>
      </c>
      <c r="AP80" s="57">
        <v>46300.458333333336</v>
      </c>
      <c r="AR80" t="s">
        <v>239</v>
      </c>
      <c r="AS80" t="s">
        <v>98</v>
      </c>
      <c r="AT80" t="s">
        <v>230</v>
      </c>
      <c r="AV80" t="s">
        <v>799</v>
      </c>
      <c r="AW80" t="s">
        <v>879</v>
      </c>
      <c r="AX80" t="s">
        <v>222</v>
      </c>
      <c r="BA80" s="57">
        <v>46300.458333333336</v>
      </c>
      <c r="BB80" t="s">
        <v>1715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BLITAR</v>
      </c>
    </row>
    <row r="81" spans="1:61">
      <c r="A81">
        <v>80</v>
      </c>
      <c r="B81">
        <v>1002620919</v>
      </c>
      <c r="C81">
        <v>3</v>
      </c>
      <c r="D81" t="s">
        <v>38</v>
      </c>
      <c r="E81">
        <v>5</v>
      </c>
      <c r="F81" t="s">
        <v>90</v>
      </c>
      <c r="G81" t="s">
        <v>98</v>
      </c>
      <c r="H81" t="s">
        <v>294</v>
      </c>
      <c r="I81" t="s">
        <v>212</v>
      </c>
      <c r="J81" t="s">
        <v>213</v>
      </c>
      <c r="K81" t="s">
        <v>149</v>
      </c>
      <c r="M81" t="s">
        <v>1716</v>
      </c>
      <c r="N81" t="s">
        <v>215</v>
      </c>
      <c r="O81" s="57">
        <v>46298.508611111109</v>
      </c>
      <c r="P81" s="57">
        <v>46299.670127314814</v>
      </c>
      <c r="Q81">
        <v>69403543</v>
      </c>
      <c r="S81">
        <v>152606246690</v>
      </c>
      <c r="T81" t="s">
        <v>1717</v>
      </c>
      <c r="U81" t="s">
        <v>1718</v>
      </c>
      <c r="Z81">
        <v>111.892297493252</v>
      </c>
      <c r="AA81">
        <v>-8.0674503695408593</v>
      </c>
      <c r="AB81" t="s">
        <v>1719</v>
      </c>
      <c r="AC81" t="s">
        <v>229</v>
      </c>
      <c r="AO81" s="57">
        <v>46091.517858796295</v>
      </c>
      <c r="AR81" t="s">
        <v>5</v>
      </c>
      <c r="AS81" t="s">
        <v>98</v>
      </c>
      <c r="AT81" t="s">
        <v>230</v>
      </c>
      <c r="AV81" t="s">
        <v>1720</v>
      </c>
      <c r="AW81" t="s">
        <v>559</v>
      </c>
      <c r="AX81" t="s">
        <v>222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BLITAR</v>
      </c>
    </row>
    <row r="82" spans="1:61">
      <c r="A82">
        <v>81</v>
      </c>
      <c r="B82">
        <v>1002621302</v>
      </c>
      <c r="C82">
        <v>3</v>
      </c>
      <c r="D82" t="s">
        <v>38</v>
      </c>
      <c r="E82">
        <v>5</v>
      </c>
      <c r="F82" t="s">
        <v>90</v>
      </c>
      <c r="G82" t="s">
        <v>98</v>
      </c>
      <c r="H82" t="s">
        <v>294</v>
      </c>
      <c r="I82" t="s">
        <v>212</v>
      </c>
      <c r="J82" t="s">
        <v>213</v>
      </c>
      <c r="K82" t="s">
        <v>149</v>
      </c>
      <c r="M82" t="s">
        <v>538</v>
      </c>
      <c r="N82" t="s">
        <v>215</v>
      </c>
      <c r="O82" s="57">
        <v>46299.446296296293</v>
      </c>
      <c r="P82" s="57">
        <v>46300.367476851854</v>
      </c>
      <c r="Q82">
        <v>69403845</v>
      </c>
      <c r="S82">
        <v>152606246697</v>
      </c>
      <c r="T82" t="s">
        <v>1721</v>
      </c>
      <c r="U82" t="s">
        <v>1722</v>
      </c>
      <c r="Z82">
        <v>111.893053650856</v>
      </c>
      <c r="AA82">
        <v>-8.0677154444563897</v>
      </c>
      <c r="AB82" t="s">
        <v>1723</v>
      </c>
      <c r="AC82" t="s">
        <v>1724</v>
      </c>
      <c r="AO82" s="57">
        <v>46122.454733796294</v>
      </c>
      <c r="AR82" t="s">
        <v>6</v>
      </c>
      <c r="AS82" t="s">
        <v>98</v>
      </c>
      <c r="AT82" t="s">
        <v>230</v>
      </c>
      <c r="AV82" t="s">
        <v>1725</v>
      </c>
      <c r="AW82" t="s">
        <v>540</v>
      </c>
      <c r="AX82" t="s">
        <v>222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BLITAR</v>
      </c>
    </row>
    <row r="83" spans="1:61">
      <c r="A83">
        <v>82</v>
      </c>
      <c r="B83">
        <v>1002617286</v>
      </c>
      <c r="C83">
        <v>3</v>
      </c>
      <c r="D83" t="s">
        <v>38</v>
      </c>
      <c r="E83">
        <v>5</v>
      </c>
      <c r="F83" t="s">
        <v>90</v>
      </c>
      <c r="G83" t="s">
        <v>98</v>
      </c>
      <c r="H83" t="s">
        <v>294</v>
      </c>
      <c r="I83" t="s">
        <v>212</v>
      </c>
      <c r="J83" t="s">
        <v>213</v>
      </c>
      <c r="K83" t="s">
        <v>149</v>
      </c>
      <c r="L83" t="s">
        <v>214</v>
      </c>
      <c r="M83" t="s">
        <v>1726</v>
      </c>
      <c r="N83" t="s">
        <v>215</v>
      </c>
      <c r="O83" s="57">
        <v>46296.426168981481</v>
      </c>
      <c r="P83" s="57">
        <v>46298.957824074074</v>
      </c>
      <c r="Q83">
        <v>69402140</v>
      </c>
      <c r="S83">
        <v>152606246682</v>
      </c>
      <c r="T83" t="s">
        <v>1004</v>
      </c>
      <c r="U83" t="s">
        <v>936</v>
      </c>
      <c r="V83" t="s">
        <v>1005</v>
      </c>
      <c r="Z83">
        <v>111.90527480095599</v>
      </c>
      <c r="AA83">
        <v>-8.0650980588810999</v>
      </c>
      <c r="AB83" t="s">
        <v>1006</v>
      </c>
      <c r="AC83" t="s">
        <v>216</v>
      </c>
      <c r="AL83" t="s">
        <v>217</v>
      </c>
      <c r="AM83" t="s">
        <v>1007</v>
      </c>
      <c r="AN83" t="s">
        <v>6</v>
      </c>
      <c r="AO83" s="57">
        <v>46032.434247685182</v>
      </c>
      <c r="AP83" s="57">
        <v>46297.333333333336</v>
      </c>
      <c r="AR83" t="s">
        <v>12</v>
      </c>
      <c r="AS83" t="s">
        <v>98</v>
      </c>
      <c r="AT83" t="s">
        <v>220</v>
      </c>
      <c r="AV83" t="s">
        <v>1727</v>
      </c>
      <c r="AW83" t="s">
        <v>871</v>
      </c>
      <c r="AX83" t="s">
        <v>222</v>
      </c>
      <c r="AZ83" t="s">
        <v>1727</v>
      </c>
      <c r="BA83" s="57">
        <v>46297.333333333336</v>
      </c>
      <c r="BB83" t="s">
        <v>1007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BLITAR</v>
      </c>
    </row>
    <row r="84" spans="1:61">
      <c r="A84">
        <v>83</v>
      </c>
      <c r="B84">
        <v>1002619658</v>
      </c>
      <c r="C84">
        <v>3</v>
      </c>
      <c r="D84" t="s">
        <v>38</v>
      </c>
      <c r="E84">
        <v>5</v>
      </c>
      <c r="F84" t="s">
        <v>90</v>
      </c>
      <c r="G84" t="s">
        <v>98</v>
      </c>
      <c r="H84" t="s">
        <v>294</v>
      </c>
      <c r="I84" t="s">
        <v>212</v>
      </c>
      <c r="J84" t="s">
        <v>213</v>
      </c>
      <c r="K84" t="s">
        <v>149</v>
      </c>
      <c r="M84" t="s">
        <v>1726</v>
      </c>
      <c r="N84" t="s">
        <v>215</v>
      </c>
      <c r="O84" s="57">
        <v>46297.51966435185</v>
      </c>
      <c r="P84" s="57">
        <v>46297.711157407408</v>
      </c>
      <c r="Q84">
        <v>69403019</v>
      </c>
      <c r="S84">
        <v>152606246517</v>
      </c>
      <c r="T84" t="s">
        <v>1728</v>
      </c>
      <c r="U84" t="s">
        <v>1729</v>
      </c>
      <c r="Z84">
        <v>111.894285678863</v>
      </c>
      <c r="AA84">
        <v>-8.0674879426031794</v>
      </c>
      <c r="AB84" t="s">
        <v>1730</v>
      </c>
      <c r="AC84" t="s">
        <v>229</v>
      </c>
      <c r="AO84" s="57">
        <v>46063.538553240738</v>
      </c>
      <c r="AR84" t="s">
        <v>1731</v>
      </c>
      <c r="AS84" t="s">
        <v>98</v>
      </c>
      <c r="AT84" t="s">
        <v>220</v>
      </c>
      <c r="AV84" t="s">
        <v>1732</v>
      </c>
      <c r="AW84" t="s">
        <v>540</v>
      </c>
      <c r="AX84" t="s">
        <v>222</v>
      </c>
      <c r="AZ84" t="s">
        <v>1732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BLITAR</v>
      </c>
    </row>
    <row r="85" spans="1:61">
      <c r="A85">
        <v>84</v>
      </c>
      <c r="B85">
        <v>1002619957</v>
      </c>
      <c r="C85">
        <v>3</v>
      </c>
      <c r="D85" t="s">
        <v>38</v>
      </c>
      <c r="E85">
        <v>5</v>
      </c>
      <c r="F85" t="s">
        <v>90</v>
      </c>
      <c r="G85" t="s">
        <v>88</v>
      </c>
      <c r="H85" t="s">
        <v>424</v>
      </c>
      <c r="I85" t="s">
        <v>212</v>
      </c>
      <c r="J85" t="s">
        <v>213</v>
      </c>
      <c r="K85" t="s">
        <v>149</v>
      </c>
      <c r="L85" t="s">
        <v>214</v>
      </c>
      <c r="M85" t="s">
        <v>76</v>
      </c>
      <c r="N85" t="s">
        <v>215</v>
      </c>
      <c r="O85" s="57">
        <v>46297.594895833332</v>
      </c>
      <c r="P85" s="57">
        <v>46298.601631944446</v>
      </c>
      <c r="Q85">
        <v>69403144</v>
      </c>
      <c r="S85">
        <v>152730235859</v>
      </c>
      <c r="T85" t="s">
        <v>1733</v>
      </c>
      <c r="U85" t="s">
        <v>1734</v>
      </c>
      <c r="V85" t="s">
        <v>1735</v>
      </c>
      <c r="Z85">
        <v>112.2589758</v>
      </c>
      <c r="AA85">
        <v>-8.1243128000000002</v>
      </c>
      <c r="AB85" t="s">
        <v>1736</v>
      </c>
      <c r="AC85" t="s">
        <v>235</v>
      </c>
      <c r="AL85" t="s">
        <v>217</v>
      </c>
      <c r="AM85" t="s">
        <v>1737</v>
      </c>
      <c r="AN85" t="s">
        <v>6</v>
      </c>
      <c r="AO85" s="57">
        <v>46063.61105324074</v>
      </c>
      <c r="AP85" s="57">
        <v>46298.458333333336</v>
      </c>
      <c r="AR85" t="s">
        <v>218</v>
      </c>
      <c r="AS85" t="s">
        <v>219</v>
      </c>
      <c r="AT85" t="s">
        <v>230</v>
      </c>
      <c r="AU85">
        <v>20261003</v>
      </c>
      <c r="AV85" t="s">
        <v>221</v>
      </c>
      <c r="AW85" t="s">
        <v>885</v>
      </c>
      <c r="AX85" t="s">
        <v>222</v>
      </c>
      <c r="BA85" s="57">
        <v>46298.458333333336</v>
      </c>
      <c r="BB85" t="s">
        <v>1737</v>
      </c>
      <c r="BC85">
        <v>2026</v>
      </c>
      <c r="BD85">
        <v>10</v>
      </c>
      <c r="BE85">
        <v>3</v>
      </c>
      <c r="BF85" s="6">
        <f t="shared" si="3"/>
        <v>46298</v>
      </c>
      <c r="BG85">
        <f t="shared" si="4"/>
        <v>-0.45833333333575865</v>
      </c>
      <c r="BH85" t="str">
        <f t="shared" si="5"/>
        <v>COMPLY</v>
      </c>
      <c r="BI85" t="str">
        <f>VLOOKUP(H85,Sheet2!$A$1:$B$270,2,FALSE)</f>
        <v>BLITAR</v>
      </c>
    </row>
    <row r="86" spans="1:61">
      <c r="A86">
        <v>85</v>
      </c>
      <c r="B86">
        <v>1002620520</v>
      </c>
      <c r="C86">
        <v>3</v>
      </c>
      <c r="D86" t="s">
        <v>38</v>
      </c>
      <c r="E86">
        <v>5</v>
      </c>
      <c r="F86" t="s">
        <v>90</v>
      </c>
      <c r="G86" t="s">
        <v>88</v>
      </c>
      <c r="H86" t="s">
        <v>424</v>
      </c>
      <c r="I86" t="s">
        <v>212</v>
      </c>
      <c r="J86" t="s">
        <v>213</v>
      </c>
      <c r="K86" t="s">
        <v>149</v>
      </c>
      <c r="L86" t="s">
        <v>214</v>
      </c>
      <c r="M86" t="s">
        <v>76</v>
      </c>
      <c r="N86" t="s">
        <v>215</v>
      </c>
      <c r="O86" s="57">
        <v>46297.709479166668</v>
      </c>
      <c r="P86" s="57">
        <v>46298.813194444447</v>
      </c>
      <c r="Q86">
        <v>69403336</v>
      </c>
      <c r="S86">
        <v>152730235864</v>
      </c>
      <c r="T86" t="s">
        <v>1738</v>
      </c>
      <c r="U86" t="s">
        <v>1739</v>
      </c>
      <c r="V86" t="s">
        <v>1740</v>
      </c>
      <c r="Z86">
        <v>112.195503090279</v>
      </c>
      <c r="AA86">
        <v>-8.0827403309527295</v>
      </c>
      <c r="AB86" t="s">
        <v>1741</v>
      </c>
      <c r="AC86" t="s">
        <v>235</v>
      </c>
      <c r="AL86" t="s">
        <v>217</v>
      </c>
      <c r="AM86" t="s">
        <v>1742</v>
      </c>
      <c r="AN86" t="s">
        <v>6</v>
      </c>
      <c r="AO86" s="57">
        <v>46063.716145833336</v>
      </c>
      <c r="AP86" s="57">
        <v>46298.625</v>
      </c>
      <c r="AR86" t="s">
        <v>218</v>
      </c>
      <c r="AS86" t="s">
        <v>219</v>
      </c>
      <c r="AT86" t="s">
        <v>230</v>
      </c>
      <c r="AU86">
        <v>20261003</v>
      </c>
      <c r="AV86" t="s">
        <v>221</v>
      </c>
      <c r="AW86" t="s">
        <v>877</v>
      </c>
      <c r="AX86" t="s">
        <v>222</v>
      </c>
      <c r="BA86" s="57">
        <v>46298.625</v>
      </c>
      <c r="BB86" t="s">
        <v>1742</v>
      </c>
      <c r="BC86">
        <v>2026</v>
      </c>
      <c r="BD86">
        <v>10</v>
      </c>
      <c r="BE86">
        <v>3</v>
      </c>
      <c r="BF86" s="6">
        <f t="shared" si="3"/>
        <v>46298</v>
      </c>
      <c r="BG86">
        <f t="shared" si="4"/>
        <v>-0.625</v>
      </c>
      <c r="BH86" t="str">
        <f t="shared" si="5"/>
        <v>COMPLY</v>
      </c>
      <c r="BI86" t="str">
        <f>VLOOKUP(H86,Sheet2!$A$1:$B$270,2,FALSE)</f>
        <v>BLITAR</v>
      </c>
    </row>
    <row r="87" spans="1:61">
      <c r="A87">
        <v>86</v>
      </c>
      <c r="B87">
        <v>1002617592</v>
      </c>
      <c r="C87">
        <v>3</v>
      </c>
      <c r="D87" t="s">
        <v>59</v>
      </c>
      <c r="E87">
        <v>4</v>
      </c>
      <c r="F87" t="s">
        <v>241</v>
      </c>
      <c r="G87" t="s">
        <v>241</v>
      </c>
      <c r="H87" t="s">
        <v>287</v>
      </c>
      <c r="I87" t="s">
        <v>212</v>
      </c>
      <c r="J87" t="s">
        <v>213</v>
      </c>
      <c r="K87" t="s">
        <v>149</v>
      </c>
      <c r="L87" t="s">
        <v>214</v>
      </c>
      <c r="M87" t="s">
        <v>76</v>
      </c>
      <c r="N87" t="s">
        <v>215</v>
      </c>
      <c r="O87" s="57">
        <v>46296.476782407408</v>
      </c>
      <c r="P87" s="57">
        <v>46298.369155092594</v>
      </c>
      <c r="Q87">
        <v>69402247</v>
      </c>
      <c r="S87">
        <v>146137148326</v>
      </c>
      <c r="T87" t="s">
        <v>1008</v>
      </c>
      <c r="U87" t="s">
        <v>1743</v>
      </c>
      <c r="V87" t="s">
        <v>1009</v>
      </c>
      <c r="Z87">
        <v>110.25726611905201</v>
      </c>
      <c r="AA87">
        <v>-7.3721803621597299</v>
      </c>
      <c r="AB87" t="s">
        <v>1010</v>
      </c>
      <c r="AC87" t="s">
        <v>235</v>
      </c>
      <c r="AL87" t="s">
        <v>217</v>
      </c>
      <c r="AM87" t="s">
        <v>1011</v>
      </c>
      <c r="AN87" t="s">
        <v>6</v>
      </c>
      <c r="AO87" s="57">
        <v>46032.486342592594</v>
      </c>
      <c r="AP87" s="57">
        <v>46298.625</v>
      </c>
      <c r="AR87" t="s">
        <v>218</v>
      </c>
      <c r="AS87" t="s">
        <v>219</v>
      </c>
      <c r="AT87" t="s">
        <v>230</v>
      </c>
      <c r="AU87">
        <v>20261003</v>
      </c>
      <c r="AV87" t="s">
        <v>221</v>
      </c>
      <c r="AW87" t="s">
        <v>877</v>
      </c>
      <c r="AX87" t="s">
        <v>222</v>
      </c>
      <c r="BA87" s="57">
        <v>46298.625</v>
      </c>
      <c r="BB87" t="s">
        <v>1011</v>
      </c>
      <c r="BC87">
        <v>2026</v>
      </c>
      <c r="BD87">
        <v>10</v>
      </c>
      <c r="BE87">
        <v>3</v>
      </c>
      <c r="BF87" s="6">
        <f t="shared" si="3"/>
        <v>46298</v>
      </c>
      <c r="BG87">
        <f t="shared" si="4"/>
        <v>-0.625</v>
      </c>
      <c r="BH87" t="str">
        <f t="shared" si="5"/>
        <v>COMPLY</v>
      </c>
      <c r="BI87" t="e">
        <f>VLOOKUP(H87,Sheet2!$A$1:$B$270,2,FALSE)</f>
        <v>#N/A</v>
      </c>
    </row>
    <row r="88" spans="1:61">
      <c r="A88">
        <v>87</v>
      </c>
      <c r="B88">
        <v>1002619545</v>
      </c>
      <c r="C88">
        <v>3</v>
      </c>
      <c r="D88" t="s">
        <v>59</v>
      </c>
      <c r="E88">
        <v>4</v>
      </c>
      <c r="F88" t="s">
        <v>241</v>
      </c>
      <c r="G88" t="s">
        <v>241</v>
      </c>
      <c r="H88" t="s">
        <v>287</v>
      </c>
      <c r="I88" t="s">
        <v>212</v>
      </c>
      <c r="J88" t="s">
        <v>213</v>
      </c>
      <c r="K88" t="s">
        <v>149</v>
      </c>
      <c r="L88" t="s">
        <v>214</v>
      </c>
      <c r="M88" t="s">
        <v>255</v>
      </c>
      <c r="N88" t="s">
        <v>215</v>
      </c>
      <c r="O88" s="57">
        <v>46297.476087962961</v>
      </c>
      <c r="P88" s="57">
        <v>46299.644016203703</v>
      </c>
      <c r="Q88">
        <v>69402950</v>
      </c>
      <c r="S88">
        <v>146137148318</v>
      </c>
      <c r="T88" t="s">
        <v>1744</v>
      </c>
      <c r="U88" t="s">
        <v>1745</v>
      </c>
      <c r="V88" t="s">
        <v>1746</v>
      </c>
      <c r="Z88">
        <v>110.1687846</v>
      </c>
      <c r="AA88">
        <v>-7.5391551999999997</v>
      </c>
      <c r="AB88" t="s">
        <v>1747</v>
      </c>
      <c r="AC88" t="s">
        <v>235</v>
      </c>
      <c r="AL88" t="s">
        <v>217</v>
      </c>
      <c r="AM88" t="s">
        <v>1748</v>
      </c>
      <c r="AN88" t="s">
        <v>6</v>
      </c>
      <c r="AO88" s="57">
        <v>46063.486087962963</v>
      </c>
      <c r="AP88" s="57">
        <v>46299.625</v>
      </c>
      <c r="AR88" t="s">
        <v>256</v>
      </c>
      <c r="AS88" t="s">
        <v>219</v>
      </c>
      <c r="AT88" t="s">
        <v>230</v>
      </c>
      <c r="AV88" t="s">
        <v>257</v>
      </c>
      <c r="AW88" t="s">
        <v>883</v>
      </c>
      <c r="AX88" t="s">
        <v>222</v>
      </c>
      <c r="BA88" s="57">
        <v>46299.625</v>
      </c>
      <c r="BB88" t="s">
        <v>1748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e">
        <f>VLOOKUP(H88,Sheet2!$A$1:$B$270,2,FALSE)</f>
        <v>#N/A</v>
      </c>
    </row>
    <row r="89" spans="1:61">
      <c r="A89">
        <v>88</v>
      </c>
      <c r="B89">
        <v>1002620316</v>
      </c>
      <c r="C89">
        <v>3</v>
      </c>
      <c r="D89" t="s">
        <v>59</v>
      </c>
      <c r="E89">
        <v>4</v>
      </c>
      <c r="F89" t="s">
        <v>241</v>
      </c>
      <c r="G89" t="s">
        <v>241</v>
      </c>
      <c r="H89" t="s">
        <v>287</v>
      </c>
      <c r="I89" t="s">
        <v>212</v>
      </c>
      <c r="J89" t="s">
        <v>213</v>
      </c>
      <c r="K89" t="s">
        <v>149</v>
      </c>
      <c r="L89" t="s">
        <v>214</v>
      </c>
      <c r="M89" t="s">
        <v>238</v>
      </c>
      <c r="N89" t="s">
        <v>215</v>
      </c>
      <c r="O89" s="57">
        <v>46297.655312499999</v>
      </c>
      <c r="P89" s="57">
        <v>46297.656956018516</v>
      </c>
      <c r="Q89">
        <v>69403267</v>
      </c>
      <c r="S89">
        <v>146137148332</v>
      </c>
      <c r="T89" t="s">
        <v>1749</v>
      </c>
      <c r="U89" t="s">
        <v>1750</v>
      </c>
      <c r="V89" t="s">
        <v>1751</v>
      </c>
      <c r="Z89">
        <v>110.294973</v>
      </c>
      <c r="AA89">
        <v>-7.453913</v>
      </c>
      <c r="AB89" t="s">
        <v>1752</v>
      </c>
      <c r="AC89" t="s">
        <v>235</v>
      </c>
      <c r="AL89" t="s">
        <v>217</v>
      </c>
      <c r="AM89" t="s">
        <v>1753</v>
      </c>
      <c r="AN89" t="s">
        <v>6</v>
      </c>
      <c r="AO89" s="57">
        <v>46063.663495370369</v>
      </c>
      <c r="AP89" s="57">
        <v>46300.625</v>
      </c>
      <c r="AR89" t="s">
        <v>239</v>
      </c>
      <c r="AS89" t="s">
        <v>219</v>
      </c>
      <c r="AT89" t="s">
        <v>230</v>
      </c>
      <c r="AV89" t="s">
        <v>238</v>
      </c>
      <c r="AW89" t="s">
        <v>882</v>
      </c>
      <c r="AX89" t="s">
        <v>222</v>
      </c>
      <c r="BA89" s="57">
        <v>46300.625</v>
      </c>
      <c r="BB89" t="s">
        <v>1753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e">
        <f>VLOOKUP(H89,Sheet2!$A$1:$B$270,2,FALSE)</f>
        <v>#N/A</v>
      </c>
    </row>
    <row r="90" spans="1:61">
      <c r="A90">
        <v>89</v>
      </c>
      <c r="B90">
        <v>1002618470</v>
      </c>
      <c r="C90">
        <v>3</v>
      </c>
      <c r="D90" t="s">
        <v>38</v>
      </c>
      <c r="E90">
        <v>5</v>
      </c>
      <c r="F90" t="s">
        <v>90</v>
      </c>
      <c r="G90" t="s">
        <v>90</v>
      </c>
      <c r="H90" t="s">
        <v>344</v>
      </c>
      <c r="I90" t="s">
        <v>212</v>
      </c>
      <c r="J90" t="s">
        <v>213</v>
      </c>
      <c r="K90" t="s">
        <v>149</v>
      </c>
      <c r="L90" t="s">
        <v>214</v>
      </c>
      <c r="M90" t="s">
        <v>76</v>
      </c>
      <c r="N90" t="s">
        <v>215</v>
      </c>
      <c r="O90" s="57">
        <v>46296.663645833331</v>
      </c>
      <c r="P90" s="57">
        <v>46298.410671296297</v>
      </c>
      <c r="Q90">
        <v>69402566</v>
      </c>
      <c r="S90">
        <v>152639219602</v>
      </c>
      <c r="T90" t="s">
        <v>1012</v>
      </c>
      <c r="U90" t="s">
        <v>1013</v>
      </c>
      <c r="V90" t="s">
        <v>1014</v>
      </c>
      <c r="Z90">
        <v>112.193374894559</v>
      </c>
      <c r="AA90">
        <v>-7.7675328725875801</v>
      </c>
      <c r="AB90" t="s">
        <v>1015</v>
      </c>
      <c r="AC90" t="s">
        <v>216</v>
      </c>
      <c r="AL90" t="s">
        <v>217</v>
      </c>
      <c r="AM90" t="s">
        <v>1016</v>
      </c>
      <c r="AN90" t="s">
        <v>6</v>
      </c>
      <c r="AO90" s="57">
        <v>46032.694421296299</v>
      </c>
      <c r="AP90" s="57">
        <v>46297.625</v>
      </c>
      <c r="AR90" t="s">
        <v>218</v>
      </c>
      <c r="AS90" t="s">
        <v>303</v>
      </c>
      <c r="AT90" t="s">
        <v>230</v>
      </c>
      <c r="AU90">
        <v>20261003</v>
      </c>
      <c r="AV90" t="s">
        <v>221</v>
      </c>
      <c r="AW90" t="s">
        <v>879</v>
      </c>
      <c r="AX90" t="s">
        <v>222</v>
      </c>
      <c r="BA90" s="57">
        <v>46297.625</v>
      </c>
      <c r="BB90" t="s">
        <v>1016</v>
      </c>
      <c r="BC90">
        <v>2026</v>
      </c>
      <c r="BD90">
        <v>10</v>
      </c>
      <c r="BE90">
        <v>3</v>
      </c>
      <c r="BF90" s="6">
        <f t="shared" si="3"/>
        <v>46298</v>
      </c>
      <c r="BG90">
        <f t="shared" si="4"/>
        <v>0.375</v>
      </c>
      <c r="BH90" t="str">
        <f t="shared" si="5"/>
        <v>COMPLY</v>
      </c>
      <c r="BI90" t="str">
        <f>VLOOKUP(H90,Sheet2!$A$1:$B$270,2,FALSE)</f>
        <v>KEDIRI</v>
      </c>
    </row>
    <row r="91" spans="1:61">
      <c r="A91">
        <v>90</v>
      </c>
      <c r="B91">
        <v>1002619511</v>
      </c>
      <c r="C91">
        <v>3</v>
      </c>
      <c r="D91" t="s">
        <v>38</v>
      </c>
      <c r="E91">
        <v>5</v>
      </c>
      <c r="F91" t="s">
        <v>90</v>
      </c>
      <c r="G91" t="s">
        <v>90</v>
      </c>
      <c r="H91" t="s">
        <v>344</v>
      </c>
      <c r="I91" t="s">
        <v>212</v>
      </c>
      <c r="J91" t="s">
        <v>213</v>
      </c>
      <c r="K91" t="s">
        <v>149</v>
      </c>
      <c r="M91" t="s">
        <v>819</v>
      </c>
      <c r="N91" t="s">
        <v>563</v>
      </c>
      <c r="O91" s="57">
        <v>46297.472858796296</v>
      </c>
      <c r="P91" s="57">
        <v>46297.473680555559</v>
      </c>
      <c r="Q91">
        <v>66525052</v>
      </c>
      <c r="S91">
        <v>152639219543</v>
      </c>
      <c r="T91" t="s">
        <v>1754</v>
      </c>
      <c r="U91" t="s">
        <v>1755</v>
      </c>
      <c r="Z91">
        <v>112.185352589544</v>
      </c>
      <c r="AA91">
        <v>-7.7645908191612403</v>
      </c>
      <c r="AB91" t="s">
        <v>1756</v>
      </c>
      <c r="AC91" t="s">
        <v>225</v>
      </c>
      <c r="AO91" s="57">
        <v>46063.475972222222</v>
      </c>
      <c r="AR91" t="s">
        <v>325</v>
      </c>
      <c r="AS91" t="s">
        <v>303</v>
      </c>
      <c r="AT91" t="s">
        <v>230</v>
      </c>
      <c r="AV91" t="s">
        <v>820</v>
      </c>
      <c r="AW91" t="s">
        <v>540</v>
      </c>
      <c r="AX91" t="s">
        <v>222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KEDIRI</v>
      </c>
    </row>
    <row r="92" spans="1:61">
      <c r="A92">
        <v>91</v>
      </c>
      <c r="B92">
        <v>1002621267</v>
      </c>
      <c r="C92">
        <v>3</v>
      </c>
      <c r="D92" t="s">
        <v>38</v>
      </c>
      <c r="E92">
        <v>5</v>
      </c>
      <c r="F92" t="s">
        <v>90</v>
      </c>
      <c r="G92" t="s">
        <v>90</v>
      </c>
      <c r="H92" t="s">
        <v>302</v>
      </c>
      <c r="I92" t="s">
        <v>212</v>
      </c>
      <c r="J92" t="s">
        <v>213</v>
      </c>
      <c r="K92" t="s">
        <v>149</v>
      </c>
      <c r="L92" t="s">
        <v>214</v>
      </c>
      <c r="M92" t="s">
        <v>224</v>
      </c>
      <c r="N92" t="s">
        <v>215</v>
      </c>
      <c r="O92" s="57">
        <v>46299.397685185184</v>
      </c>
      <c r="P92" s="57">
        <v>46300.343576388892</v>
      </c>
      <c r="Q92">
        <v>69403814</v>
      </c>
      <c r="S92">
        <v>152650206852</v>
      </c>
      <c r="T92" t="s">
        <v>1757</v>
      </c>
      <c r="U92" t="s">
        <v>1758</v>
      </c>
      <c r="V92" t="s">
        <v>1759</v>
      </c>
      <c r="Z92">
        <v>112.133314103205</v>
      </c>
      <c r="AA92">
        <v>-7.9850021224439702</v>
      </c>
      <c r="AB92" t="s">
        <v>1760</v>
      </c>
      <c r="AC92" t="s">
        <v>235</v>
      </c>
      <c r="AL92" t="s">
        <v>217</v>
      </c>
      <c r="AM92" t="s">
        <v>1761</v>
      </c>
      <c r="AN92" t="s">
        <v>6</v>
      </c>
      <c r="AO92" s="57">
        <v>46122.402604166666</v>
      </c>
      <c r="AP92" s="57">
        <v>46300.333333333336</v>
      </c>
      <c r="AR92" t="s">
        <v>18</v>
      </c>
      <c r="AS92" t="s">
        <v>303</v>
      </c>
      <c r="AT92" t="s">
        <v>230</v>
      </c>
      <c r="AV92" t="s">
        <v>226</v>
      </c>
      <c r="AW92" t="s">
        <v>882</v>
      </c>
      <c r="AX92" t="s">
        <v>222</v>
      </c>
      <c r="BA92" s="57">
        <v>46300.333333333336</v>
      </c>
      <c r="BB92" t="s">
        <v>1761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KEDIRI</v>
      </c>
    </row>
    <row r="93" spans="1:61">
      <c r="A93">
        <v>92</v>
      </c>
      <c r="B93">
        <v>1002620876</v>
      </c>
      <c r="C93">
        <v>3</v>
      </c>
      <c r="D93" t="s">
        <v>38</v>
      </c>
      <c r="E93">
        <v>5</v>
      </c>
      <c r="F93" t="s">
        <v>90</v>
      </c>
      <c r="G93" t="s">
        <v>90</v>
      </c>
      <c r="H93" t="s">
        <v>302</v>
      </c>
      <c r="I93" t="s">
        <v>212</v>
      </c>
      <c r="J93" t="s">
        <v>213</v>
      </c>
      <c r="K93" t="s">
        <v>149</v>
      </c>
      <c r="L93" t="s">
        <v>214</v>
      </c>
      <c r="M93" t="s">
        <v>76</v>
      </c>
      <c r="N93" t="s">
        <v>215</v>
      </c>
      <c r="O93" s="57">
        <v>46298.480949074074</v>
      </c>
      <c r="P93" s="57">
        <v>46298.889687499999</v>
      </c>
      <c r="Q93">
        <v>69403548</v>
      </c>
      <c r="S93">
        <v>152650206851</v>
      </c>
      <c r="T93" t="s">
        <v>1762</v>
      </c>
      <c r="U93" t="s">
        <v>1763</v>
      </c>
      <c r="V93" t="s">
        <v>1764</v>
      </c>
      <c r="Z93">
        <v>112.15516479999999</v>
      </c>
      <c r="AA93">
        <v>-7.9300468999999998</v>
      </c>
      <c r="AB93" t="s">
        <v>1765</v>
      </c>
      <c r="AC93" t="s">
        <v>235</v>
      </c>
      <c r="AL93" t="s">
        <v>217</v>
      </c>
      <c r="AM93" t="s">
        <v>1766</v>
      </c>
      <c r="AN93" t="s">
        <v>6</v>
      </c>
      <c r="AO93" s="57">
        <v>46091.486087962963</v>
      </c>
      <c r="AP93" s="57">
        <v>46299.333333333336</v>
      </c>
      <c r="AR93" t="s">
        <v>218</v>
      </c>
      <c r="AS93" t="s">
        <v>303</v>
      </c>
      <c r="AT93" t="s">
        <v>230</v>
      </c>
      <c r="AU93">
        <v>20261003</v>
      </c>
      <c r="AV93" t="s">
        <v>221</v>
      </c>
      <c r="AW93" t="s">
        <v>878</v>
      </c>
      <c r="AX93" t="s">
        <v>222</v>
      </c>
      <c r="BA93" s="57">
        <v>46299.333333333336</v>
      </c>
      <c r="BB93" t="s">
        <v>1766</v>
      </c>
      <c r="BC93">
        <v>2026</v>
      </c>
      <c r="BD93">
        <v>10</v>
      </c>
      <c r="BE93">
        <v>3</v>
      </c>
      <c r="BF93" s="6">
        <f t="shared" si="3"/>
        <v>46298</v>
      </c>
      <c r="BG93">
        <f t="shared" si="4"/>
        <v>-1.3333333333357587</v>
      </c>
      <c r="BH93" t="str">
        <f t="shared" si="5"/>
        <v>COMPLY</v>
      </c>
      <c r="BI93" t="str">
        <f>VLOOKUP(H93,Sheet2!$A$1:$B$270,2,FALSE)</f>
        <v>KEDIRI</v>
      </c>
    </row>
    <row r="94" spans="1:61">
      <c r="A94">
        <v>93</v>
      </c>
      <c r="B94">
        <v>1002620466</v>
      </c>
      <c r="C94">
        <v>3</v>
      </c>
      <c r="D94" t="s">
        <v>38</v>
      </c>
      <c r="E94">
        <v>5</v>
      </c>
      <c r="F94" t="s">
        <v>90</v>
      </c>
      <c r="G94" t="s">
        <v>93</v>
      </c>
      <c r="H94" t="s">
        <v>419</v>
      </c>
      <c r="I94" t="s">
        <v>212</v>
      </c>
      <c r="J94" t="s">
        <v>213</v>
      </c>
      <c r="K94" t="s">
        <v>149</v>
      </c>
      <c r="L94" t="s">
        <v>214</v>
      </c>
      <c r="M94" t="s">
        <v>76</v>
      </c>
      <c r="N94" t="s">
        <v>215</v>
      </c>
      <c r="O94" s="57">
        <v>46297.695590277777</v>
      </c>
      <c r="P94" s="57">
        <v>46298.627268518518</v>
      </c>
      <c r="Q94">
        <v>69403320</v>
      </c>
      <c r="S94">
        <v>152628205235</v>
      </c>
      <c r="T94" t="s">
        <v>1767</v>
      </c>
      <c r="U94" t="s">
        <v>1768</v>
      </c>
      <c r="V94" t="s">
        <v>1769</v>
      </c>
      <c r="Z94">
        <v>111.9531832</v>
      </c>
      <c r="AA94">
        <v>-7.5227737000000001</v>
      </c>
      <c r="AB94" t="s">
        <v>1770</v>
      </c>
      <c r="AC94" t="s">
        <v>216</v>
      </c>
      <c r="AL94" t="s">
        <v>217</v>
      </c>
      <c r="AM94" t="s">
        <v>1771</v>
      </c>
      <c r="AN94" t="s">
        <v>6</v>
      </c>
      <c r="AO94" s="57">
        <v>46063.705462962964</v>
      </c>
      <c r="AP94" s="57">
        <v>46298.625</v>
      </c>
      <c r="AR94" t="s">
        <v>218</v>
      </c>
      <c r="AS94" t="s">
        <v>569</v>
      </c>
      <c r="AT94" t="s">
        <v>220</v>
      </c>
      <c r="AU94">
        <v>20261003</v>
      </c>
      <c r="AV94" t="s">
        <v>221</v>
      </c>
      <c r="AW94" t="s">
        <v>1772</v>
      </c>
      <c r="AX94" t="s">
        <v>222</v>
      </c>
      <c r="BA94" s="57">
        <v>46298.625</v>
      </c>
      <c r="BB94" t="s">
        <v>1771</v>
      </c>
      <c r="BC94">
        <v>2026</v>
      </c>
      <c r="BD94">
        <v>10</v>
      </c>
      <c r="BE94">
        <v>3</v>
      </c>
      <c r="BF94" s="6">
        <f t="shared" si="3"/>
        <v>46298</v>
      </c>
      <c r="BG94">
        <f t="shared" si="4"/>
        <v>-0.625</v>
      </c>
      <c r="BH94" t="str">
        <f t="shared" si="5"/>
        <v>COMPLY</v>
      </c>
      <c r="BI94" t="str">
        <f>VLOOKUP(H94,Sheet2!$A$1:$B$270,2,FALSE)</f>
        <v>NGANJUK</v>
      </c>
    </row>
    <row r="95" spans="1:61">
      <c r="A95">
        <v>94</v>
      </c>
      <c r="B95">
        <v>1002619284</v>
      </c>
      <c r="C95">
        <v>3</v>
      </c>
      <c r="D95" t="s">
        <v>38</v>
      </c>
      <c r="E95">
        <v>5</v>
      </c>
      <c r="F95" t="s">
        <v>90</v>
      </c>
      <c r="G95" t="s">
        <v>93</v>
      </c>
      <c r="H95" t="s">
        <v>419</v>
      </c>
      <c r="I95" t="s">
        <v>212</v>
      </c>
      <c r="J95" t="s">
        <v>213</v>
      </c>
      <c r="K95" t="s">
        <v>149</v>
      </c>
      <c r="M95" t="s">
        <v>76</v>
      </c>
      <c r="N95" t="s">
        <v>215</v>
      </c>
      <c r="O95" s="57">
        <v>46297.428900462961</v>
      </c>
      <c r="P95" s="57">
        <v>46297.727083333331</v>
      </c>
      <c r="Q95">
        <v>69402853</v>
      </c>
      <c r="S95">
        <v>152628205053</v>
      </c>
      <c r="T95" t="s">
        <v>1773</v>
      </c>
      <c r="U95" t="s">
        <v>1774</v>
      </c>
      <c r="V95" t="s">
        <v>1775</v>
      </c>
      <c r="Z95">
        <v>111.9173729</v>
      </c>
      <c r="AA95">
        <v>-7.5365758999999999</v>
      </c>
      <c r="AB95" t="s">
        <v>1776</v>
      </c>
      <c r="AC95" t="s">
        <v>229</v>
      </c>
      <c r="AL95" t="s">
        <v>217</v>
      </c>
      <c r="AM95" t="s">
        <v>1777</v>
      </c>
      <c r="AN95" t="s">
        <v>6</v>
      </c>
      <c r="AO95" s="57">
        <v>46063.444386574076</v>
      </c>
      <c r="AP95" s="57">
        <v>46298.458333333336</v>
      </c>
      <c r="AR95" t="s">
        <v>218</v>
      </c>
      <c r="AS95" t="s">
        <v>569</v>
      </c>
      <c r="AT95" t="s">
        <v>230</v>
      </c>
      <c r="AU95">
        <v>20261002</v>
      </c>
      <c r="AV95" t="s">
        <v>221</v>
      </c>
      <c r="AW95" t="s">
        <v>540</v>
      </c>
      <c r="AX95" t="s">
        <v>222</v>
      </c>
      <c r="BA95" s="57">
        <v>46298.458333333336</v>
      </c>
      <c r="BB95" t="s">
        <v>1777</v>
      </c>
      <c r="BC95">
        <v>2026</v>
      </c>
      <c r="BD95">
        <v>10</v>
      </c>
      <c r="BE95">
        <v>2</v>
      </c>
      <c r="BF95" s="6">
        <f t="shared" si="3"/>
        <v>46297</v>
      </c>
      <c r="BG95">
        <f t="shared" si="4"/>
        <v>-1.4583333333357587</v>
      </c>
      <c r="BH95" t="str">
        <f t="shared" si="5"/>
        <v>COMPLY</v>
      </c>
      <c r="BI95" t="str">
        <f>VLOOKUP(H95,Sheet2!$A$1:$B$270,2,FALSE)</f>
        <v>NGANJUK</v>
      </c>
    </row>
    <row r="96" spans="1:61">
      <c r="A96">
        <v>95</v>
      </c>
      <c r="B96">
        <v>1002620773</v>
      </c>
      <c r="C96">
        <v>3</v>
      </c>
      <c r="D96" t="s">
        <v>38</v>
      </c>
      <c r="E96">
        <v>5</v>
      </c>
      <c r="F96" t="s">
        <v>90</v>
      </c>
      <c r="G96" t="s">
        <v>93</v>
      </c>
      <c r="H96" t="s">
        <v>379</v>
      </c>
      <c r="I96" t="s">
        <v>212</v>
      </c>
      <c r="J96" t="s">
        <v>213</v>
      </c>
      <c r="K96" t="s">
        <v>149</v>
      </c>
      <c r="L96" t="s">
        <v>828</v>
      </c>
      <c r="M96" t="s">
        <v>76</v>
      </c>
      <c r="N96" t="s">
        <v>215</v>
      </c>
      <c r="O96" s="57">
        <v>46298.396990740737</v>
      </c>
      <c r="P96" s="57">
        <v>46299.774386574078</v>
      </c>
      <c r="Q96">
        <v>69403488</v>
      </c>
      <c r="R96">
        <v>3582801011</v>
      </c>
      <c r="S96">
        <v>152615203756</v>
      </c>
      <c r="T96" t="s">
        <v>1778</v>
      </c>
      <c r="U96" t="s">
        <v>1779</v>
      </c>
      <c r="V96" t="s">
        <v>1780</v>
      </c>
      <c r="Z96">
        <v>112.1079771</v>
      </c>
      <c r="AA96">
        <v>-7.5900366999999997</v>
      </c>
      <c r="AB96" t="s">
        <v>1781</v>
      </c>
      <c r="AC96" t="s">
        <v>235</v>
      </c>
      <c r="AL96" t="s">
        <v>217</v>
      </c>
      <c r="AM96" t="s">
        <v>1782</v>
      </c>
      <c r="AN96" t="s">
        <v>6</v>
      </c>
      <c r="AO96" s="57">
        <v>46091.40283564815</v>
      </c>
      <c r="AP96" s="57">
        <v>46299.333333333336</v>
      </c>
      <c r="AR96" t="s">
        <v>218</v>
      </c>
      <c r="AS96" t="s">
        <v>569</v>
      </c>
      <c r="AT96" t="s">
        <v>230</v>
      </c>
      <c r="AU96">
        <v>20261004</v>
      </c>
      <c r="AV96" t="s">
        <v>221</v>
      </c>
      <c r="AW96" t="s">
        <v>1783</v>
      </c>
      <c r="AX96" t="s">
        <v>222</v>
      </c>
      <c r="BA96" s="57">
        <v>46299.333333333336</v>
      </c>
      <c r="BB96" t="s">
        <v>1782</v>
      </c>
      <c r="BC96">
        <v>2026</v>
      </c>
      <c r="BD96">
        <v>10</v>
      </c>
      <c r="BE96">
        <v>4</v>
      </c>
      <c r="BF96" s="6">
        <f t="shared" si="3"/>
        <v>46299</v>
      </c>
      <c r="BG96">
        <f t="shared" si="4"/>
        <v>-0.33333333333575865</v>
      </c>
      <c r="BH96" t="str">
        <f t="shared" si="5"/>
        <v>COMPLY</v>
      </c>
      <c r="BI96" t="str">
        <f>VLOOKUP(H96,Sheet2!$A$1:$B$270,2,FALSE)</f>
        <v>NGANJUK</v>
      </c>
    </row>
    <row r="97" spans="1:61">
      <c r="A97">
        <v>96</v>
      </c>
      <c r="B97">
        <v>1002620731</v>
      </c>
      <c r="C97">
        <v>3</v>
      </c>
      <c r="D97" t="s">
        <v>38</v>
      </c>
      <c r="E97">
        <v>5</v>
      </c>
      <c r="F97" t="s">
        <v>90</v>
      </c>
      <c r="G97" t="s">
        <v>93</v>
      </c>
      <c r="H97" t="s">
        <v>379</v>
      </c>
      <c r="I97" t="s">
        <v>212</v>
      </c>
      <c r="J97" t="s">
        <v>213</v>
      </c>
      <c r="K97" t="s">
        <v>149</v>
      </c>
      <c r="L97" t="s">
        <v>828</v>
      </c>
      <c r="M97" t="s">
        <v>76</v>
      </c>
      <c r="N97" t="s">
        <v>215</v>
      </c>
      <c r="O97" s="57">
        <v>46298.349062499998</v>
      </c>
      <c r="P97" s="57">
        <v>46299.771481481483</v>
      </c>
      <c r="Q97">
        <v>69403452</v>
      </c>
      <c r="R97">
        <v>3582801010</v>
      </c>
      <c r="S97">
        <v>152615203754</v>
      </c>
      <c r="T97" t="s">
        <v>1778</v>
      </c>
      <c r="U97" t="s">
        <v>1779</v>
      </c>
      <c r="V97" t="s">
        <v>1784</v>
      </c>
      <c r="Z97">
        <v>112.1079771</v>
      </c>
      <c r="AA97">
        <v>-7.5900366999999997</v>
      </c>
      <c r="AB97" t="s">
        <v>1785</v>
      </c>
      <c r="AC97" t="s">
        <v>235</v>
      </c>
      <c r="AL97" t="s">
        <v>217</v>
      </c>
      <c r="AM97" t="s">
        <v>1786</v>
      </c>
      <c r="AN97" t="s">
        <v>6</v>
      </c>
      <c r="AO97" s="57">
        <v>46091.350902777776</v>
      </c>
      <c r="AP97" s="57">
        <v>46299.333333333336</v>
      </c>
      <c r="AR97" t="s">
        <v>218</v>
      </c>
      <c r="AS97" t="s">
        <v>569</v>
      </c>
      <c r="AT97" t="s">
        <v>230</v>
      </c>
      <c r="AU97">
        <v>20261004</v>
      </c>
      <c r="AV97" t="s">
        <v>221</v>
      </c>
      <c r="AW97" t="s">
        <v>1783</v>
      </c>
      <c r="AX97" t="s">
        <v>222</v>
      </c>
      <c r="BA97" s="57">
        <v>46299.333333333336</v>
      </c>
      <c r="BB97" t="s">
        <v>1786</v>
      </c>
      <c r="BC97">
        <v>2026</v>
      </c>
      <c r="BD97">
        <v>10</v>
      </c>
      <c r="BE97">
        <v>4</v>
      </c>
      <c r="BF97" s="6">
        <f t="shared" si="3"/>
        <v>46299</v>
      </c>
      <c r="BG97">
        <f t="shared" si="4"/>
        <v>-0.33333333333575865</v>
      </c>
      <c r="BH97" t="str">
        <f t="shared" si="5"/>
        <v>COMPLY</v>
      </c>
      <c r="BI97" t="str">
        <f>VLOOKUP(H97,Sheet2!$A$1:$B$270,2,FALSE)</f>
        <v>NGANJUK</v>
      </c>
    </row>
    <row r="98" spans="1:61">
      <c r="A98">
        <v>97</v>
      </c>
      <c r="B98">
        <v>1002619175</v>
      </c>
      <c r="C98">
        <v>3</v>
      </c>
      <c r="D98" t="s">
        <v>38</v>
      </c>
      <c r="E98">
        <v>5</v>
      </c>
      <c r="F98" t="s">
        <v>90</v>
      </c>
      <c r="G98" t="s">
        <v>93</v>
      </c>
      <c r="H98" t="s">
        <v>309</v>
      </c>
      <c r="I98" t="s">
        <v>212</v>
      </c>
      <c r="J98" t="s">
        <v>213</v>
      </c>
      <c r="K98" t="s">
        <v>149</v>
      </c>
      <c r="L98" t="s">
        <v>214</v>
      </c>
      <c r="M98" t="s">
        <v>895</v>
      </c>
      <c r="N98" t="s">
        <v>215</v>
      </c>
      <c r="O98" s="57">
        <v>46297.403935185182</v>
      </c>
      <c r="P98" s="57">
        <v>46298.336898148147</v>
      </c>
      <c r="Q98">
        <v>69402815</v>
      </c>
      <c r="S98">
        <v>152641203076</v>
      </c>
      <c r="T98" t="s">
        <v>1787</v>
      </c>
      <c r="U98" t="s">
        <v>1788</v>
      </c>
      <c r="V98" t="s">
        <v>1789</v>
      </c>
      <c r="Z98">
        <v>112.03662995249</v>
      </c>
      <c r="AA98">
        <v>-7.6772180001796597</v>
      </c>
      <c r="AB98" t="s">
        <v>1790</v>
      </c>
      <c r="AC98" t="s">
        <v>216</v>
      </c>
      <c r="AL98" t="s">
        <v>217</v>
      </c>
      <c r="AM98" t="s">
        <v>1791</v>
      </c>
      <c r="AN98" t="s">
        <v>6</v>
      </c>
      <c r="AO98" s="57">
        <v>46063.42392361111</v>
      </c>
      <c r="AP98" s="57">
        <v>46298.333333333336</v>
      </c>
      <c r="AR98" t="s">
        <v>886</v>
      </c>
      <c r="AS98" t="s">
        <v>569</v>
      </c>
      <c r="AT98" t="s">
        <v>230</v>
      </c>
      <c r="AV98" t="s">
        <v>896</v>
      </c>
      <c r="AW98" t="s">
        <v>880</v>
      </c>
      <c r="AX98" t="s">
        <v>222</v>
      </c>
      <c r="BA98" s="57">
        <v>46298.333333333336</v>
      </c>
      <c r="BB98" t="s">
        <v>1791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NGANJUK</v>
      </c>
    </row>
    <row r="99" spans="1:61">
      <c r="A99">
        <v>98</v>
      </c>
      <c r="B99">
        <v>1002619249</v>
      </c>
      <c r="C99">
        <v>3</v>
      </c>
      <c r="D99" t="s">
        <v>38</v>
      </c>
      <c r="E99">
        <v>5</v>
      </c>
      <c r="F99" t="s">
        <v>90</v>
      </c>
      <c r="G99" t="s">
        <v>93</v>
      </c>
      <c r="H99" t="s">
        <v>309</v>
      </c>
      <c r="I99" t="s">
        <v>212</v>
      </c>
      <c r="J99" t="s">
        <v>213</v>
      </c>
      <c r="K99" t="s">
        <v>149</v>
      </c>
      <c r="L99" t="s">
        <v>214</v>
      </c>
      <c r="M99" t="s">
        <v>76</v>
      </c>
      <c r="N99" t="s">
        <v>215</v>
      </c>
      <c r="O99" s="57">
        <v>46297.420590277776</v>
      </c>
      <c r="P99" s="57">
        <v>46298.301863425928</v>
      </c>
      <c r="Q99">
        <v>69402840</v>
      </c>
      <c r="S99">
        <v>152641203077</v>
      </c>
      <c r="T99" t="s">
        <v>1792</v>
      </c>
      <c r="U99" t="s">
        <v>1793</v>
      </c>
      <c r="V99" t="s">
        <v>1794</v>
      </c>
      <c r="Z99">
        <v>112.058712</v>
      </c>
      <c r="AA99">
        <v>-7.6771010000000004</v>
      </c>
      <c r="AB99" t="s">
        <v>1795</v>
      </c>
      <c r="AC99" t="s">
        <v>235</v>
      </c>
      <c r="AL99" t="s">
        <v>217</v>
      </c>
      <c r="AM99" t="s">
        <v>1796</v>
      </c>
      <c r="AN99" t="s">
        <v>6</v>
      </c>
      <c r="AO99" s="57">
        <v>46063.42392361111</v>
      </c>
      <c r="AP99" s="57">
        <v>46298.333333333336</v>
      </c>
      <c r="AR99" t="s">
        <v>218</v>
      </c>
      <c r="AS99" t="s">
        <v>569</v>
      </c>
      <c r="AT99" t="s">
        <v>230</v>
      </c>
      <c r="AU99">
        <v>20261003</v>
      </c>
      <c r="AV99" t="s">
        <v>221</v>
      </c>
      <c r="AW99" t="s">
        <v>928</v>
      </c>
      <c r="AX99" t="s">
        <v>222</v>
      </c>
      <c r="BA99" s="57">
        <v>46298.333333333336</v>
      </c>
      <c r="BB99" t="s">
        <v>1796</v>
      </c>
      <c r="BC99">
        <v>2026</v>
      </c>
      <c r="BD99">
        <v>10</v>
      </c>
      <c r="BE99">
        <v>3</v>
      </c>
      <c r="BF99" s="6">
        <f t="shared" si="3"/>
        <v>46298</v>
      </c>
      <c r="BG99">
        <f t="shared" si="4"/>
        <v>-0.33333333333575865</v>
      </c>
      <c r="BH99" t="str">
        <f t="shared" si="5"/>
        <v>COMPLY</v>
      </c>
      <c r="BI99" t="str">
        <f>VLOOKUP(H99,Sheet2!$A$1:$B$270,2,FALSE)</f>
        <v>NGANJUK</v>
      </c>
    </row>
    <row r="100" spans="1:61">
      <c r="A100">
        <v>99</v>
      </c>
      <c r="B100">
        <v>1002620565</v>
      </c>
      <c r="C100">
        <v>3</v>
      </c>
      <c r="D100" t="s">
        <v>38</v>
      </c>
      <c r="E100">
        <v>5</v>
      </c>
      <c r="F100" t="s">
        <v>90</v>
      </c>
      <c r="G100" t="s">
        <v>90</v>
      </c>
      <c r="H100" t="s">
        <v>407</v>
      </c>
      <c r="I100" t="s">
        <v>212</v>
      </c>
      <c r="J100" t="s">
        <v>213</v>
      </c>
      <c r="K100" t="s">
        <v>149</v>
      </c>
      <c r="L100" t="s">
        <v>214</v>
      </c>
      <c r="M100" t="s">
        <v>224</v>
      </c>
      <c r="N100" t="s">
        <v>215</v>
      </c>
      <c r="O100" s="57">
        <v>46297.722627314812</v>
      </c>
      <c r="P100" s="57">
        <v>46298.641840277778</v>
      </c>
      <c r="Q100">
        <v>69403370</v>
      </c>
      <c r="S100">
        <v>152610241692</v>
      </c>
      <c r="T100" t="s">
        <v>1797</v>
      </c>
      <c r="U100" t="s">
        <v>1798</v>
      </c>
      <c r="V100" t="s">
        <v>1799</v>
      </c>
      <c r="Z100">
        <v>112.051506</v>
      </c>
      <c r="AA100">
        <v>-7.7944100000000001</v>
      </c>
      <c r="AB100" t="s">
        <v>1800</v>
      </c>
      <c r="AC100" t="s">
        <v>235</v>
      </c>
      <c r="AL100" t="s">
        <v>217</v>
      </c>
      <c r="AM100" t="s">
        <v>1603</v>
      </c>
      <c r="AN100" t="s">
        <v>6</v>
      </c>
      <c r="AO100" s="57">
        <v>46063.736041666663</v>
      </c>
      <c r="AP100" s="57">
        <v>46298.625</v>
      </c>
      <c r="AR100" t="s">
        <v>18</v>
      </c>
      <c r="AS100" t="s">
        <v>219</v>
      </c>
      <c r="AT100" t="s">
        <v>342</v>
      </c>
      <c r="AV100" t="s">
        <v>226</v>
      </c>
      <c r="AW100" t="s">
        <v>1801</v>
      </c>
      <c r="AX100" t="s">
        <v>222</v>
      </c>
      <c r="BA100" s="57">
        <v>46298.625</v>
      </c>
      <c r="BB100" t="s">
        <v>1603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KEDIRI</v>
      </c>
    </row>
    <row r="101" spans="1:61">
      <c r="A101">
        <v>100</v>
      </c>
      <c r="B101">
        <v>1002617351</v>
      </c>
      <c r="C101">
        <v>3</v>
      </c>
      <c r="D101" t="s">
        <v>38</v>
      </c>
      <c r="E101">
        <v>5</v>
      </c>
      <c r="F101" t="s">
        <v>90</v>
      </c>
      <c r="G101" t="s">
        <v>90</v>
      </c>
      <c r="H101" t="s">
        <v>447</v>
      </c>
      <c r="I101" t="s">
        <v>212</v>
      </c>
      <c r="J101" t="s">
        <v>213</v>
      </c>
      <c r="K101" t="s">
        <v>149</v>
      </c>
      <c r="L101" t="s">
        <v>214</v>
      </c>
      <c r="M101" t="s">
        <v>76</v>
      </c>
      <c r="N101" t="s">
        <v>215</v>
      </c>
      <c r="O101" s="57">
        <v>46296.437268518515</v>
      </c>
      <c r="P101" s="57">
        <v>46298.481307870374</v>
      </c>
      <c r="Q101">
        <v>69402173</v>
      </c>
      <c r="S101">
        <v>152640226074</v>
      </c>
      <c r="T101" t="s">
        <v>1017</v>
      </c>
      <c r="U101" t="s">
        <v>1018</v>
      </c>
      <c r="V101" t="s">
        <v>1019</v>
      </c>
      <c r="Z101">
        <v>112.003439962863</v>
      </c>
      <c r="AA101">
        <v>-7.8105309457460201</v>
      </c>
      <c r="AB101" t="s">
        <v>1020</v>
      </c>
      <c r="AC101" t="s">
        <v>216</v>
      </c>
      <c r="AL101" t="s">
        <v>217</v>
      </c>
      <c r="AM101" t="s">
        <v>1021</v>
      </c>
      <c r="AN101" t="s">
        <v>6</v>
      </c>
      <c r="AO101" s="57">
        <v>46032.444687499999</v>
      </c>
      <c r="AP101" s="57">
        <v>46297.458333333336</v>
      </c>
      <c r="AR101" t="s">
        <v>218</v>
      </c>
      <c r="AS101" t="s">
        <v>548</v>
      </c>
      <c r="AT101" t="s">
        <v>230</v>
      </c>
      <c r="AU101">
        <v>20261003</v>
      </c>
      <c r="AV101" t="s">
        <v>221</v>
      </c>
      <c r="AW101" t="s">
        <v>885</v>
      </c>
      <c r="AX101" t="s">
        <v>222</v>
      </c>
      <c r="BA101" s="57">
        <v>46297.458333333336</v>
      </c>
      <c r="BB101" t="s">
        <v>1021</v>
      </c>
      <c r="BC101">
        <v>2026</v>
      </c>
      <c r="BD101">
        <v>10</v>
      </c>
      <c r="BE101">
        <v>3</v>
      </c>
      <c r="BF101" s="6">
        <f t="shared" si="3"/>
        <v>46298</v>
      </c>
      <c r="BG101">
        <f t="shared" si="4"/>
        <v>0.54166666666424135</v>
      </c>
      <c r="BH101" t="str">
        <f t="shared" si="5"/>
        <v>COMPLY</v>
      </c>
      <c r="BI101" t="str">
        <f>VLOOKUP(H101,Sheet2!$A$1:$B$270,2,FALSE)</f>
        <v>KEDIRI</v>
      </c>
    </row>
    <row r="102" spans="1:61">
      <c r="A102">
        <v>101</v>
      </c>
      <c r="B102">
        <v>1002618759</v>
      </c>
      <c r="C102">
        <v>3</v>
      </c>
      <c r="D102" t="s">
        <v>38</v>
      </c>
      <c r="E102">
        <v>5</v>
      </c>
      <c r="F102" t="s">
        <v>90</v>
      </c>
      <c r="G102" t="s">
        <v>90</v>
      </c>
      <c r="H102" t="s">
        <v>447</v>
      </c>
      <c r="I102" t="s">
        <v>212</v>
      </c>
      <c r="J102" t="s">
        <v>213</v>
      </c>
      <c r="K102" t="s">
        <v>149</v>
      </c>
      <c r="L102" t="s">
        <v>214</v>
      </c>
      <c r="M102" t="s">
        <v>76</v>
      </c>
      <c r="N102" t="s">
        <v>215</v>
      </c>
      <c r="O102" s="57">
        <v>46296.742754629631</v>
      </c>
      <c r="P102" s="57">
        <v>46297.758148148147</v>
      </c>
      <c r="Q102">
        <v>69402638</v>
      </c>
      <c r="S102">
        <v>152640226092</v>
      </c>
      <c r="T102" t="s">
        <v>897</v>
      </c>
      <c r="U102" t="s">
        <v>1027</v>
      </c>
      <c r="V102" t="s">
        <v>1028</v>
      </c>
      <c r="Z102">
        <v>111.953227</v>
      </c>
      <c r="AA102">
        <v>-7.7798449999999999</v>
      </c>
      <c r="AB102" t="s">
        <v>1029</v>
      </c>
      <c r="AC102" t="s">
        <v>235</v>
      </c>
      <c r="AL102" t="s">
        <v>217</v>
      </c>
      <c r="AM102" t="s">
        <v>1030</v>
      </c>
      <c r="AN102" t="s">
        <v>6</v>
      </c>
      <c r="AO102" s="57">
        <v>46032.746898148151</v>
      </c>
      <c r="AP102" s="57">
        <v>46297.625</v>
      </c>
      <c r="AR102" t="s">
        <v>218</v>
      </c>
      <c r="AS102" t="s">
        <v>548</v>
      </c>
      <c r="AT102" t="s">
        <v>230</v>
      </c>
      <c r="AU102">
        <v>20261002</v>
      </c>
      <c r="AV102" t="s">
        <v>221</v>
      </c>
      <c r="AW102" t="s">
        <v>881</v>
      </c>
      <c r="AX102" t="s">
        <v>222</v>
      </c>
      <c r="BA102" s="57">
        <v>46297.625</v>
      </c>
      <c r="BB102" t="s">
        <v>1030</v>
      </c>
      <c r="BC102">
        <v>2026</v>
      </c>
      <c r="BD102">
        <v>10</v>
      </c>
      <c r="BE102">
        <v>2</v>
      </c>
      <c r="BF102" s="6">
        <f t="shared" si="3"/>
        <v>46297</v>
      </c>
      <c r="BG102">
        <f t="shared" si="4"/>
        <v>-0.625</v>
      </c>
      <c r="BH102" t="str">
        <f t="shared" si="5"/>
        <v>COMPLY</v>
      </c>
      <c r="BI102" t="str">
        <f>VLOOKUP(H102,Sheet2!$A$1:$B$270,2,FALSE)</f>
        <v>KEDIRI</v>
      </c>
    </row>
    <row r="103" spans="1:61">
      <c r="A103">
        <v>102</v>
      </c>
      <c r="B103">
        <v>1002617644</v>
      </c>
      <c r="C103">
        <v>3</v>
      </c>
      <c r="D103" t="s">
        <v>38</v>
      </c>
      <c r="E103">
        <v>5</v>
      </c>
      <c r="F103" t="s">
        <v>90</v>
      </c>
      <c r="G103" t="s">
        <v>90</v>
      </c>
      <c r="H103" t="s">
        <v>447</v>
      </c>
      <c r="I103" t="s">
        <v>212</v>
      </c>
      <c r="J103" t="s">
        <v>213</v>
      </c>
      <c r="K103" t="s">
        <v>149</v>
      </c>
      <c r="L103" t="s">
        <v>214</v>
      </c>
      <c r="M103" t="s">
        <v>76</v>
      </c>
      <c r="N103" t="s">
        <v>215</v>
      </c>
      <c r="O103" s="57">
        <v>46296.488587962966</v>
      </c>
      <c r="P103" s="57">
        <v>46296.727766203701</v>
      </c>
      <c r="Q103">
        <v>69402279</v>
      </c>
      <c r="S103">
        <v>152640226086</v>
      </c>
      <c r="T103" t="s">
        <v>1022</v>
      </c>
      <c r="U103" t="s">
        <v>1023</v>
      </c>
      <c r="V103" t="s">
        <v>1024</v>
      </c>
      <c r="Z103">
        <v>111.96737229999999</v>
      </c>
      <c r="AA103">
        <v>-7.7787601000000004</v>
      </c>
      <c r="AB103" t="s">
        <v>1025</v>
      </c>
      <c r="AC103" t="s">
        <v>235</v>
      </c>
      <c r="AL103" t="s">
        <v>217</v>
      </c>
      <c r="AM103" t="s">
        <v>1026</v>
      </c>
      <c r="AN103" t="s">
        <v>6</v>
      </c>
      <c r="AO103" s="57">
        <v>46032.517557870371</v>
      </c>
      <c r="AP103" s="57">
        <v>46297.333333333336</v>
      </c>
      <c r="AR103" t="s">
        <v>218</v>
      </c>
      <c r="AS103" t="s">
        <v>548</v>
      </c>
      <c r="AT103" t="s">
        <v>230</v>
      </c>
      <c r="AU103">
        <v>20261001</v>
      </c>
      <c r="AV103" t="s">
        <v>221</v>
      </c>
      <c r="AW103" t="s">
        <v>877</v>
      </c>
      <c r="AX103" t="s">
        <v>222</v>
      </c>
      <c r="BA103" s="57">
        <v>46297.333333333336</v>
      </c>
      <c r="BB103" t="s">
        <v>1026</v>
      </c>
      <c r="BC103">
        <v>2026</v>
      </c>
      <c r="BD103">
        <v>10</v>
      </c>
      <c r="BE103">
        <v>1</v>
      </c>
      <c r="BF103" s="6">
        <f t="shared" si="3"/>
        <v>46296</v>
      </c>
      <c r="BG103">
        <f t="shared" si="4"/>
        <v>-1.3333333333357587</v>
      </c>
      <c r="BH103" t="str">
        <f t="shared" si="5"/>
        <v>COMPLY</v>
      </c>
      <c r="BI103" t="str">
        <f>VLOOKUP(H103,Sheet2!$A$1:$B$270,2,FALSE)</f>
        <v>KEDIRI</v>
      </c>
    </row>
    <row r="104" spans="1:61">
      <c r="A104">
        <v>103</v>
      </c>
      <c r="B104">
        <v>1002619090</v>
      </c>
      <c r="C104">
        <v>3</v>
      </c>
      <c r="D104" t="s">
        <v>38</v>
      </c>
      <c r="E104">
        <v>5</v>
      </c>
      <c r="F104" t="s">
        <v>90</v>
      </c>
      <c r="G104" t="s">
        <v>90</v>
      </c>
      <c r="H104" t="s">
        <v>447</v>
      </c>
      <c r="I104" t="s">
        <v>212</v>
      </c>
      <c r="J104" t="s">
        <v>213</v>
      </c>
      <c r="K104" t="s">
        <v>149</v>
      </c>
      <c r="L104" t="s">
        <v>214</v>
      </c>
      <c r="M104" t="s">
        <v>76</v>
      </c>
      <c r="N104" t="s">
        <v>215</v>
      </c>
      <c r="O104" s="57">
        <v>46297.38517361111</v>
      </c>
      <c r="P104" s="57">
        <v>46299.316064814811</v>
      </c>
      <c r="Q104">
        <v>69402769</v>
      </c>
      <c r="S104">
        <v>152640226094</v>
      </c>
      <c r="T104" t="s">
        <v>1802</v>
      </c>
      <c r="U104" t="s">
        <v>1803</v>
      </c>
      <c r="V104" t="s">
        <v>1804</v>
      </c>
      <c r="Z104">
        <v>111.97422098368401</v>
      </c>
      <c r="AA104">
        <v>-7.7470881335725297</v>
      </c>
      <c r="AB104" t="s">
        <v>1805</v>
      </c>
      <c r="AC104" t="s">
        <v>216</v>
      </c>
      <c r="AL104" t="s">
        <v>217</v>
      </c>
      <c r="AM104" t="s">
        <v>1806</v>
      </c>
      <c r="AN104" t="s">
        <v>6</v>
      </c>
      <c r="AO104" s="57">
        <v>46063.39334490741</v>
      </c>
      <c r="AP104" s="57">
        <v>46298.333333333336</v>
      </c>
      <c r="AR104" t="s">
        <v>218</v>
      </c>
      <c r="AS104" t="s">
        <v>548</v>
      </c>
      <c r="AT104" t="s">
        <v>230</v>
      </c>
      <c r="AU104">
        <v>20261004</v>
      </c>
      <c r="AV104" t="s">
        <v>221</v>
      </c>
      <c r="AW104" t="s">
        <v>878</v>
      </c>
      <c r="AX104" t="s">
        <v>222</v>
      </c>
      <c r="BA104" s="57">
        <v>46298.333333333336</v>
      </c>
      <c r="BB104" t="s">
        <v>1806</v>
      </c>
      <c r="BC104">
        <v>2026</v>
      </c>
      <c r="BD104">
        <v>10</v>
      </c>
      <c r="BE104">
        <v>4</v>
      </c>
      <c r="BF104" s="6">
        <f t="shared" si="3"/>
        <v>46299</v>
      </c>
      <c r="BG104">
        <f t="shared" si="4"/>
        <v>0.66666666666424135</v>
      </c>
      <c r="BH104" t="str">
        <f t="shared" si="5"/>
        <v>COMPLY</v>
      </c>
      <c r="BI104" t="str">
        <f>VLOOKUP(H104,Sheet2!$A$1:$B$270,2,FALSE)</f>
        <v>KEDIRI</v>
      </c>
    </row>
    <row r="105" spans="1:61">
      <c r="A105">
        <v>104</v>
      </c>
      <c r="B105">
        <v>1002619234</v>
      </c>
      <c r="C105">
        <v>3</v>
      </c>
      <c r="D105" t="s">
        <v>38</v>
      </c>
      <c r="E105">
        <v>5</v>
      </c>
      <c r="F105" t="s">
        <v>92</v>
      </c>
      <c r="G105" t="s">
        <v>92</v>
      </c>
      <c r="H105" t="s">
        <v>470</v>
      </c>
      <c r="I105" t="s">
        <v>212</v>
      </c>
      <c r="J105" t="s">
        <v>213</v>
      </c>
      <c r="K105" t="s">
        <v>149</v>
      </c>
      <c r="L105" t="s">
        <v>214</v>
      </c>
      <c r="M105" t="s">
        <v>76</v>
      </c>
      <c r="N105" t="s">
        <v>215</v>
      </c>
      <c r="O105" s="57">
        <v>46297.417754629627</v>
      </c>
      <c r="P105" s="57">
        <v>46297.841435185182</v>
      </c>
      <c r="Q105">
        <v>69402832</v>
      </c>
      <c r="S105">
        <v>152632207016</v>
      </c>
      <c r="T105" t="s">
        <v>1807</v>
      </c>
      <c r="U105" t="s">
        <v>1808</v>
      </c>
      <c r="V105" t="s">
        <v>1809</v>
      </c>
      <c r="Z105">
        <v>111.617571</v>
      </c>
      <c r="AA105">
        <v>-7.5664610000000003</v>
      </c>
      <c r="AB105" t="s">
        <v>1810</v>
      </c>
      <c r="AC105" t="s">
        <v>235</v>
      </c>
      <c r="AL105" t="s">
        <v>217</v>
      </c>
      <c r="AM105" t="s">
        <v>1811</v>
      </c>
      <c r="AN105" t="s">
        <v>6</v>
      </c>
      <c r="AO105" s="57">
        <v>46063.42392361111</v>
      </c>
      <c r="AP105" s="57">
        <v>46298.333333333336</v>
      </c>
      <c r="AR105" t="s">
        <v>218</v>
      </c>
      <c r="AS105" t="s">
        <v>558</v>
      </c>
      <c r="AT105" t="s">
        <v>230</v>
      </c>
      <c r="AU105">
        <v>20261002</v>
      </c>
      <c r="AV105" t="s">
        <v>221</v>
      </c>
      <c r="AW105" t="s">
        <v>879</v>
      </c>
      <c r="AX105" t="s">
        <v>222</v>
      </c>
      <c r="BA105" s="57">
        <v>46298.333333333336</v>
      </c>
      <c r="BB105" t="s">
        <v>1811</v>
      </c>
      <c r="BC105">
        <v>2026</v>
      </c>
      <c r="BD105">
        <v>10</v>
      </c>
      <c r="BE105">
        <v>2</v>
      </c>
      <c r="BF105" s="6">
        <f t="shared" si="3"/>
        <v>46297</v>
      </c>
      <c r="BG105">
        <f t="shared" si="4"/>
        <v>-1.3333333333357587</v>
      </c>
      <c r="BH105" t="str">
        <f t="shared" si="5"/>
        <v>COMPLY</v>
      </c>
      <c r="BI105" t="str">
        <f>VLOOKUP(H105,Sheet2!$A$1:$B$270,2,FALSE)</f>
        <v>MADIUN</v>
      </c>
    </row>
    <row r="106" spans="1:61">
      <c r="A106">
        <v>105</v>
      </c>
      <c r="B106">
        <v>1002620437</v>
      </c>
      <c r="C106">
        <v>3</v>
      </c>
      <c r="D106" t="s">
        <v>38</v>
      </c>
      <c r="E106">
        <v>5</v>
      </c>
      <c r="F106" t="s">
        <v>92</v>
      </c>
      <c r="G106" t="s">
        <v>92</v>
      </c>
      <c r="H106" t="s">
        <v>470</v>
      </c>
      <c r="I106" t="s">
        <v>212</v>
      </c>
      <c r="J106" t="s">
        <v>213</v>
      </c>
      <c r="K106" t="s">
        <v>149</v>
      </c>
      <c r="L106" t="s">
        <v>214</v>
      </c>
      <c r="M106" t="s">
        <v>279</v>
      </c>
      <c r="N106" t="s">
        <v>215</v>
      </c>
      <c r="O106" s="57">
        <v>46297.685196759259</v>
      </c>
      <c r="P106" s="57">
        <v>46298.60359953704</v>
      </c>
      <c r="Q106">
        <v>69403313</v>
      </c>
      <c r="S106">
        <v>152632207563</v>
      </c>
      <c r="T106" t="s">
        <v>1807</v>
      </c>
      <c r="U106" t="s">
        <v>1812</v>
      </c>
      <c r="V106" t="s">
        <v>1813</v>
      </c>
      <c r="Z106">
        <v>111.623577122125</v>
      </c>
      <c r="AA106">
        <v>-7.5690206238598003</v>
      </c>
      <c r="AB106" t="s">
        <v>1814</v>
      </c>
      <c r="AC106" t="s">
        <v>235</v>
      </c>
      <c r="AL106" t="s">
        <v>217</v>
      </c>
      <c r="AM106" t="s">
        <v>1425</v>
      </c>
      <c r="AN106" t="s">
        <v>6</v>
      </c>
      <c r="AO106" s="57">
        <v>46063.694699074076</v>
      </c>
      <c r="AP106" s="57">
        <v>46298.625</v>
      </c>
      <c r="AR106" t="s">
        <v>239</v>
      </c>
      <c r="AS106" t="s">
        <v>558</v>
      </c>
      <c r="AT106" t="s">
        <v>230</v>
      </c>
      <c r="AV106" t="s">
        <v>1815</v>
      </c>
      <c r="AW106" t="s">
        <v>877</v>
      </c>
      <c r="AX106" t="s">
        <v>222</v>
      </c>
      <c r="BA106" s="57">
        <v>46298.625</v>
      </c>
      <c r="BB106" t="s">
        <v>1425</v>
      </c>
      <c r="BF106" s="6" t="e">
        <f t="shared" si="3"/>
        <v>#NUM!</v>
      </c>
      <c r="BG106" t="e">
        <f t="shared" si="4"/>
        <v>#NUM!</v>
      </c>
      <c r="BH106" t="e">
        <f t="shared" si="5"/>
        <v>#NUM!</v>
      </c>
      <c r="BI106" t="str">
        <f>VLOOKUP(H106,Sheet2!$A$1:$B$270,2,FALSE)</f>
        <v>MADIUN</v>
      </c>
    </row>
    <row r="107" spans="1:61">
      <c r="A107">
        <v>106</v>
      </c>
      <c r="B107">
        <v>1002620505</v>
      </c>
      <c r="C107">
        <v>3</v>
      </c>
      <c r="D107" t="s">
        <v>38</v>
      </c>
      <c r="E107">
        <v>5</v>
      </c>
      <c r="F107" t="s">
        <v>92</v>
      </c>
      <c r="G107" t="s">
        <v>92</v>
      </c>
      <c r="H107" t="s">
        <v>301</v>
      </c>
      <c r="I107" t="s">
        <v>212</v>
      </c>
      <c r="J107" t="s">
        <v>213</v>
      </c>
      <c r="K107" t="s">
        <v>149</v>
      </c>
      <c r="M107" t="s">
        <v>76</v>
      </c>
      <c r="N107" t="s">
        <v>563</v>
      </c>
      <c r="O107" s="57">
        <v>46297.712476851855</v>
      </c>
      <c r="P107" s="57">
        <v>46299.687349537038</v>
      </c>
      <c r="Q107">
        <v>69383033</v>
      </c>
      <c r="S107">
        <v>152601215057</v>
      </c>
      <c r="T107" t="s">
        <v>1816</v>
      </c>
      <c r="U107" t="s">
        <v>1817</v>
      </c>
      <c r="V107" t="s">
        <v>1818</v>
      </c>
      <c r="Z107">
        <v>111.5468582</v>
      </c>
      <c r="AA107">
        <v>-7.6344409999999998</v>
      </c>
      <c r="AB107" t="s">
        <v>1819</v>
      </c>
      <c r="AC107" t="s">
        <v>284</v>
      </c>
      <c r="AL107" t="s">
        <v>217</v>
      </c>
      <c r="AM107" t="s">
        <v>1820</v>
      </c>
      <c r="AN107" t="s">
        <v>6</v>
      </c>
      <c r="AO107" s="57">
        <v>46063.716145833336</v>
      </c>
      <c r="AP107" s="57">
        <v>46299.333333333336</v>
      </c>
      <c r="AR107" t="s">
        <v>218</v>
      </c>
      <c r="AS107" t="s">
        <v>219</v>
      </c>
      <c r="AT107" t="s">
        <v>230</v>
      </c>
      <c r="AU107">
        <v>20261004</v>
      </c>
      <c r="AV107" t="s">
        <v>221</v>
      </c>
      <c r="AW107" t="s">
        <v>1821</v>
      </c>
      <c r="AX107" t="s">
        <v>222</v>
      </c>
      <c r="BA107" s="57">
        <v>46299.333333333336</v>
      </c>
      <c r="BB107" t="s">
        <v>1820</v>
      </c>
      <c r="BC107">
        <v>2026</v>
      </c>
      <c r="BD107">
        <v>10</v>
      </c>
      <c r="BE107">
        <v>4</v>
      </c>
      <c r="BF107" s="6">
        <f t="shared" si="3"/>
        <v>46299</v>
      </c>
      <c r="BG107">
        <f t="shared" si="4"/>
        <v>-0.33333333333575865</v>
      </c>
      <c r="BH107" t="str">
        <f t="shared" si="5"/>
        <v>COMPLY</v>
      </c>
      <c r="BI107" t="str">
        <f>VLOOKUP(H107,Sheet2!$A$1:$B$270,2,FALSE)</f>
        <v>MADIUN</v>
      </c>
    </row>
    <row r="108" spans="1:61">
      <c r="A108">
        <v>107</v>
      </c>
      <c r="B108">
        <v>1002617598</v>
      </c>
      <c r="C108">
        <v>3</v>
      </c>
      <c r="D108" t="s">
        <v>38</v>
      </c>
      <c r="E108">
        <v>5</v>
      </c>
      <c r="F108" t="s">
        <v>92</v>
      </c>
      <c r="G108" t="s">
        <v>94</v>
      </c>
      <c r="H108" t="s">
        <v>426</v>
      </c>
      <c r="I108" t="s">
        <v>212</v>
      </c>
      <c r="J108" t="s">
        <v>213</v>
      </c>
      <c r="K108" t="s">
        <v>149</v>
      </c>
      <c r="L108" t="s">
        <v>214</v>
      </c>
      <c r="M108" t="s">
        <v>76</v>
      </c>
      <c r="N108" t="s">
        <v>215</v>
      </c>
      <c r="O108" s="57">
        <v>46296.478229166663</v>
      </c>
      <c r="P108" s="57">
        <v>46296.650775462964</v>
      </c>
      <c r="Q108">
        <v>69402248</v>
      </c>
      <c r="S108">
        <v>152636207600</v>
      </c>
      <c r="T108" t="s">
        <v>1031</v>
      </c>
      <c r="U108" t="s">
        <v>1032</v>
      </c>
      <c r="V108" t="s">
        <v>1033</v>
      </c>
      <c r="Z108">
        <v>111.556056590195</v>
      </c>
      <c r="AA108">
        <v>-7.4355288236971404</v>
      </c>
      <c r="AB108" t="s">
        <v>1034</v>
      </c>
      <c r="AC108" t="s">
        <v>235</v>
      </c>
      <c r="AL108" t="s">
        <v>217</v>
      </c>
      <c r="AM108" t="s">
        <v>1035</v>
      </c>
      <c r="AN108" t="s">
        <v>6</v>
      </c>
      <c r="AO108" s="57">
        <v>46032.486342592594</v>
      </c>
      <c r="AP108" s="57">
        <v>46297.333333333336</v>
      </c>
      <c r="AR108" t="s">
        <v>218</v>
      </c>
      <c r="AS108" t="s">
        <v>219</v>
      </c>
      <c r="AT108" t="s">
        <v>230</v>
      </c>
      <c r="AU108">
        <v>20261001</v>
      </c>
      <c r="AV108" t="s">
        <v>221</v>
      </c>
      <c r="AW108" t="s">
        <v>881</v>
      </c>
      <c r="AX108" t="s">
        <v>222</v>
      </c>
      <c r="BA108" s="57">
        <v>46297.333333333336</v>
      </c>
      <c r="BB108" t="s">
        <v>1035</v>
      </c>
      <c r="BC108">
        <v>2026</v>
      </c>
      <c r="BD108">
        <v>10</v>
      </c>
      <c r="BE108">
        <v>1</v>
      </c>
      <c r="BF108" s="6">
        <f t="shared" si="3"/>
        <v>46296</v>
      </c>
      <c r="BG108">
        <f t="shared" si="4"/>
        <v>-1.3333333333357587</v>
      </c>
      <c r="BH108" t="str">
        <f t="shared" si="5"/>
        <v>COMPLY</v>
      </c>
      <c r="BI108" t="str">
        <f>VLOOKUP(H108,Sheet2!$A$1:$B$270,2,FALSE)</f>
        <v>MADIUN</v>
      </c>
    </row>
    <row r="109" spans="1:61">
      <c r="A109">
        <v>108</v>
      </c>
      <c r="B109">
        <v>1002620305</v>
      </c>
      <c r="C109">
        <v>3</v>
      </c>
      <c r="D109" t="s">
        <v>38</v>
      </c>
      <c r="E109">
        <v>5</v>
      </c>
      <c r="F109" t="s">
        <v>92</v>
      </c>
      <c r="G109" t="s">
        <v>94</v>
      </c>
      <c r="H109" t="s">
        <v>464</v>
      </c>
      <c r="I109" t="s">
        <v>1440</v>
      </c>
      <c r="J109" t="s">
        <v>213</v>
      </c>
      <c r="K109" t="s">
        <v>149</v>
      </c>
      <c r="M109" t="s">
        <v>76</v>
      </c>
      <c r="N109" t="s">
        <v>1507</v>
      </c>
      <c r="O109" s="57">
        <v>46297.65347222222</v>
      </c>
      <c r="P109" s="57">
        <v>46298.783865740741</v>
      </c>
      <c r="Q109">
        <v>69403241</v>
      </c>
      <c r="S109">
        <v>152634205899</v>
      </c>
      <c r="T109" t="s">
        <v>1822</v>
      </c>
      <c r="U109" t="s">
        <v>1823</v>
      </c>
      <c r="V109" t="s">
        <v>1824</v>
      </c>
      <c r="Z109">
        <v>111.13331530000001</v>
      </c>
      <c r="AA109">
        <v>-7.3642681000000003</v>
      </c>
      <c r="AB109" t="s">
        <v>1825</v>
      </c>
      <c r="AC109" t="s">
        <v>284</v>
      </c>
      <c r="AL109" t="s">
        <v>217</v>
      </c>
      <c r="AM109">
        <v>85725551706</v>
      </c>
      <c r="AN109" t="s">
        <v>6</v>
      </c>
      <c r="AO109" s="57">
        <v>46063.663495370369</v>
      </c>
      <c r="AR109" t="s">
        <v>218</v>
      </c>
      <c r="AS109" t="s">
        <v>219</v>
      </c>
      <c r="AT109" t="s">
        <v>230</v>
      </c>
      <c r="AU109">
        <v>20261003</v>
      </c>
      <c r="AV109" t="s">
        <v>221</v>
      </c>
      <c r="AW109" t="s">
        <v>1826</v>
      </c>
      <c r="AX109" t="s">
        <v>222</v>
      </c>
      <c r="BA109" s="57">
        <v>46297.5</v>
      </c>
      <c r="BB109">
        <v>85725551706</v>
      </c>
      <c r="BC109">
        <v>2026</v>
      </c>
      <c r="BD109">
        <v>10</v>
      </c>
      <c r="BE109">
        <v>3</v>
      </c>
      <c r="BF109" s="6">
        <f t="shared" si="3"/>
        <v>46298</v>
      </c>
      <c r="BG109">
        <f t="shared" si="4"/>
        <v>0.5</v>
      </c>
      <c r="BH109" t="str">
        <f t="shared" si="5"/>
        <v>COMPLY</v>
      </c>
      <c r="BI109" t="str">
        <f>VLOOKUP(H109,Sheet2!$A$1:$B$270,2,FALSE)</f>
        <v>MADIUN</v>
      </c>
    </row>
    <row r="110" spans="1:61">
      <c r="A110">
        <v>109</v>
      </c>
      <c r="B110">
        <v>1002620259</v>
      </c>
      <c r="C110">
        <v>3</v>
      </c>
      <c r="D110" t="s">
        <v>38</v>
      </c>
      <c r="E110">
        <v>5</v>
      </c>
      <c r="F110" t="s">
        <v>92</v>
      </c>
      <c r="G110" t="s">
        <v>95</v>
      </c>
      <c r="H110" t="s">
        <v>243</v>
      </c>
      <c r="I110" t="s">
        <v>212</v>
      </c>
      <c r="J110" t="s">
        <v>213</v>
      </c>
      <c r="K110" t="s">
        <v>149</v>
      </c>
      <c r="L110" t="s">
        <v>214</v>
      </c>
      <c r="M110" t="s">
        <v>895</v>
      </c>
      <c r="N110" t="s">
        <v>215</v>
      </c>
      <c r="O110" s="57">
        <v>46297.643506944441</v>
      </c>
      <c r="P110" s="57">
        <v>46300.336921296293</v>
      </c>
      <c r="Q110">
        <v>69403259</v>
      </c>
      <c r="S110">
        <v>152604231185</v>
      </c>
      <c r="T110" t="s">
        <v>1827</v>
      </c>
      <c r="U110" t="s">
        <v>1828</v>
      </c>
      <c r="V110" t="s">
        <v>1829</v>
      </c>
      <c r="Z110">
        <v>111.450999</v>
      </c>
      <c r="AA110">
        <v>-7.928026</v>
      </c>
      <c r="AB110" t="s">
        <v>1830</v>
      </c>
      <c r="AC110" t="s">
        <v>235</v>
      </c>
      <c r="AL110" t="s">
        <v>217</v>
      </c>
      <c r="AM110" t="s">
        <v>1831</v>
      </c>
      <c r="AN110" t="s">
        <v>6</v>
      </c>
      <c r="AO110" s="57">
        <v>46063.652951388889</v>
      </c>
      <c r="AP110" s="57">
        <v>46300.333333333336</v>
      </c>
      <c r="AR110" t="s">
        <v>886</v>
      </c>
      <c r="AS110" t="s">
        <v>854</v>
      </c>
      <c r="AT110" t="s">
        <v>230</v>
      </c>
      <c r="AV110" t="s">
        <v>896</v>
      </c>
      <c r="AW110" t="s">
        <v>882</v>
      </c>
      <c r="AX110" t="s">
        <v>222</v>
      </c>
      <c r="BA110" s="57">
        <v>46300.333333333336</v>
      </c>
      <c r="BB110" t="s">
        <v>1831</v>
      </c>
      <c r="BF110" s="6" t="e">
        <f t="shared" si="3"/>
        <v>#NUM!</v>
      </c>
      <c r="BG110" t="e">
        <f t="shared" si="4"/>
        <v>#NUM!</v>
      </c>
      <c r="BH110" t="e">
        <f t="shared" si="5"/>
        <v>#NUM!</v>
      </c>
      <c r="BI110" t="str">
        <f>VLOOKUP(H110,Sheet2!$A$1:$B$270,2,FALSE)</f>
        <v>PONOROGO</v>
      </c>
    </row>
    <row r="111" spans="1:61">
      <c r="A111">
        <v>110</v>
      </c>
      <c r="B111">
        <v>1002618105</v>
      </c>
      <c r="C111">
        <v>3</v>
      </c>
      <c r="D111" t="s">
        <v>38</v>
      </c>
      <c r="E111">
        <v>5</v>
      </c>
      <c r="F111" t="s">
        <v>92</v>
      </c>
      <c r="G111" t="s">
        <v>95</v>
      </c>
      <c r="H111" t="s">
        <v>243</v>
      </c>
      <c r="I111" t="s">
        <v>212</v>
      </c>
      <c r="J111" t="s">
        <v>213</v>
      </c>
      <c r="K111" t="s">
        <v>149</v>
      </c>
      <c r="M111" t="s">
        <v>76</v>
      </c>
      <c r="N111" t="s">
        <v>215</v>
      </c>
      <c r="O111" s="57">
        <v>46296.603483796294</v>
      </c>
      <c r="P111" s="57">
        <v>46296.9221875</v>
      </c>
      <c r="Q111">
        <v>69401937</v>
      </c>
      <c r="S111">
        <v>152604231180</v>
      </c>
      <c r="T111" t="s">
        <v>938</v>
      </c>
      <c r="U111" t="s">
        <v>1036</v>
      </c>
      <c r="V111" t="s">
        <v>1037</v>
      </c>
      <c r="Z111">
        <v>111.510003</v>
      </c>
      <c r="AA111">
        <v>-7.9310419999999997</v>
      </c>
      <c r="AB111" t="s">
        <v>939</v>
      </c>
      <c r="AC111" t="s">
        <v>216</v>
      </c>
      <c r="AL111" t="s">
        <v>217</v>
      </c>
      <c r="AM111" t="s">
        <v>1038</v>
      </c>
      <c r="AN111" t="s">
        <v>6</v>
      </c>
      <c r="AO111" s="57">
        <v>46032.611296296294</v>
      </c>
      <c r="AR111" t="s">
        <v>218</v>
      </c>
      <c r="AS111" t="s">
        <v>854</v>
      </c>
      <c r="AT111" t="s">
        <v>230</v>
      </c>
      <c r="AU111">
        <v>20261001</v>
      </c>
      <c r="AV111" t="s">
        <v>221</v>
      </c>
      <c r="AW111" t="s">
        <v>540</v>
      </c>
      <c r="AX111" t="s">
        <v>222</v>
      </c>
      <c r="BA111" s="57">
        <v>46296.291666666664</v>
      </c>
      <c r="BB111" t="s">
        <v>1038</v>
      </c>
      <c r="BC111">
        <v>2026</v>
      </c>
      <c r="BD111">
        <v>10</v>
      </c>
      <c r="BE111">
        <v>1</v>
      </c>
      <c r="BF111" s="6">
        <f t="shared" si="3"/>
        <v>46296</v>
      </c>
      <c r="BG111">
        <f t="shared" si="4"/>
        <v>-0.29166666666424135</v>
      </c>
      <c r="BH111" t="str">
        <f t="shared" si="5"/>
        <v>COMPLY</v>
      </c>
      <c r="BI111" t="str">
        <f>VLOOKUP(H111,Sheet2!$A$1:$B$270,2,FALSE)</f>
        <v>PONOROGO</v>
      </c>
    </row>
    <row r="112" spans="1:61">
      <c r="A112">
        <v>111</v>
      </c>
      <c r="B112">
        <v>1002619458</v>
      </c>
      <c r="C112">
        <v>3</v>
      </c>
      <c r="D112" t="s">
        <v>38</v>
      </c>
      <c r="E112">
        <v>5</v>
      </c>
      <c r="F112" t="s">
        <v>92</v>
      </c>
      <c r="G112" t="s">
        <v>95</v>
      </c>
      <c r="H112" t="s">
        <v>243</v>
      </c>
      <c r="I112" t="s">
        <v>212</v>
      </c>
      <c r="J112" t="s">
        <v>213</v>
      </c>
      <c r="K112" t="s">
        <v>149</v>
      </c>
      <c r="L112" t="s">
        <v>214</v>
      </c>
      <c r="M112" t="s">
        <v>76</v>
      </c>
      <c r="N112" t="s">
        <v>215</v>
      </c>
      <c r="O112" s="57">
        <v>46297.459421296298</v>
      </c>
      <c r="P112" s="57">
        <v>46299.686041666668</v>
      </c>
      <c r="Q112">
        <v>69402915</v>
      </c>
      <c r="S112">
        <v>152604231181</v>
      </c>
      <c r="T112" t="s">
        <v>1832</v>
      </c>
      <c r="U112" t="s">
        <v>1833</v>
      </c>
      <c r="V112" t="s">
        <v>1834</v>
      </c>
      <c r="Z112">
        <v>111.469336</v>
      </c>
      <c r="AA112">
        <v>-7.7819950000000002</v>
      </c>
      <c r="AB112" t="s">
        <v>1835</v>
      </c>
      <c r="AC112" t="s">
        <v>235</v>
      </c>
      <c r="AL112" t="s">
        <v>217</v>
      </c>
      <c r="AM112" t="s">
        <v>1836</v>
      </c>
      <c r="AN112" t="s">
        <v>6</v>
      </c>
      <c r="AO112" s="57">
        <v>46063.466053240743</v>
      </c>
      <c r="AP112" s="57">
        <v>46298.333333333336</v>
      </c>
      <c r="AR112" t="s">
        <v>218</v>
      </c>
      <c r="AS112" t="s">
        <v>854</v>
      </c>
      <c r="AT112" t="s">
        <v>230</v>
      </c>
      <c r="AU112">
        <v>20261004</v>
      </c>
      <c r="AV112" t="s">
        <v>221</v>
      </c>
      <c r="AW112" t="s">
        <v>880</v>
      </c>
      <c r="AX112" t="s">
        <v>222</v>
      </c>
      <c r="BA112" s="57">
        <v>46298.333333333336</v>
      </c>
      <c r="BB112" t="s">
        <v>1836</v>
      </c>
      <c r="BC112">
        <v>2026</v>
      </c>
      <c r="BD112">
        <v>10</v>
      </c>
      <c r="BE112">
        <v>4</v>
      </c>
      <c r="BF112" s="6">
        <f t="shared" si="3"/>
        <v>46299</v>
      </c>
      <c r="BG112">
        <f t="shared" si="4"/>
        <v>0.66666666666424135</v>
      </c>
      <c r="BH112" t="str">
        <f t="shared" si="5"/>
        <v>COMPLY</v>
      </c>
      <c r="BI112" t="str">
        <f>VLOOKUP(H112,Sheet2!$A$1:$B$270,2,FALSE)</f>
        <v>PONOROGO</v>
      </c>
    </row>
    <row r="113" spans="1:61">
      <c r="A113">
        <v>112</v>
      </c>
      <c r="B113">
        <v>1002620977</v>
      </c>
      <c r="C113">
        <v>3</v>
      </c>
      <c r="D113" t="s">
        <v>38</v>
      </c>
      <c r="E113">
        <v>5</v>
      </c>
      <c r="F113" t="s">
        <v>92</v>
      </c>
      <c r="G113" t="s">
        <v>95</v>
      </c>
      <c r="H113" t="s">
        <v>243</v>
      </c>
      <c r="I113" t="s">
        <v>212</v>
      </c>
      <c r="J113" t="s">
        <v>213</v>
      </c>
      <c r="K113" t="s">
        <v>149</v>
      </c>
      <c r="L113" t="s">
        <v>214</v>
      </c>
      <c r="M113" t="s">
        <v>76</v>
      </c>
      <c r="N113" t="s">
        <v>215</v>
      </c>
      <c r="O113" s="57">
        <v>46298.551145833335</v>
      </c>
      <c r="P113" s="57">
        <v>46298.759293981479</v>
      </c>
      <c r="Q113">
        <v>69403610</v>
      </c>
      <c r="S113">
        <v>152604231106</v>
      </c>
      <c r="T113" t="s">
        <v>1837</v>
      </c>
      <c r="U113" t="s">
        <v>1838</v>
      </c>
      <c r="V113" t="s">
        <v>1839</v>
      </c>
      <c r="Z113">
        <v>111.46788060665099</v>
      </c>
      <c r="AA113">
        <v>-7.87055295521583</v>
      </c>
      <c r="AB113" t="s">
        <v>1840</v>
      </c>
      <c r="AC113" t="s">
        <v>235</v>
      </c>
      <c r="AL113" t="s">
        <v>217</v>
      </c>
      <c r="AM113" t="s">
        <v>1489</v>
      </c>
      <c r="AN113" t="s">
        <v>6</v>
      </c>
      <c r="AO113" s="57">
        <v>46091.559224537035</v>
      </c>
      <c r="AP113" s="57">
        <v>46299.458333333336</v>
      </c>
      <c r="AR113" t="s">
        <v>218</v>
      </c>
      <c r="AS113" t="s">
        <v>854</v>
      </c>
      <c r="AT113" t="s">
        <v>230</v>
      </c>
      <c r="AU113">
        <v>20261003</v>
      </c>
      <c r="AV113" t="s">
        <v>221</v>
      </c>
      <c r="AW113" t="s">
        <v>879</v>
      </c>
      <c r="AX113" t="s">
        <v>222</v>
      </c>
      <c r="BA113" s="57">
        <v>46299.458333333336</v>
      </c>
      <c r="BB113" t="s">
        <v>1489</v>
      </c>
      <c r="BC113">
        <v>2026</v>
      </c>
      <c r="BD113">
        <v>10</v>
      </c>
      <c r="BE113">
        <v>3</v>
      </c>
      <c r="BF113" s="6">
        <f t="shared" si="3"/>
        <v>46298</v>
      </c>
      <c r="BG113">
        <f t="shared" si="4"/>
        <v>-1.4583333333357587</v>
      </c>
      <c r="BH113" t="str">
        <f t="shared" si="5"/>
        <v>COMPLY</v>
      </c>
      <c r="BI113" t="str">
        <f>VLOOKUP(H113,Sheet2!$A$1:$B$270,2,FALSE)</f>
        <v>PONOROGO</v>
      </c>
    </row>
    <row r="114" spans="1:61">
      <c r="A114">
        <v>113</v>
      </c>
      <c r="B114">
        <v>1002617032</v>
      </c>
      <c r="C114">
        <v>3</v>
      </c>
      <c r="D114" t="s">
        <v>38</v>
      </c>
      <c r="E114">
        <v>5</v>
      </c>
      <c r="F114" t="s">
        <v>92</v>
      </c>
      <c r="G114" t="s">
        <v>95</v>
      </c>
      <c r="H114" t="s">
        <v>243</v>
      </c>
      <c r="I114" t="s">
        <v>1440</v>
      </c>
      <c r="J114" t="s">
        <v>213</v>
      </c>
      <c r="K114" t="s">
        <v>149</v>
      </c>
      <c r="M114" t="s">
        <v>1841</v>
      </c>
      <c r="N114" t="s">
        <v>1507</v>
      </c>
      <c r="O114" s="57">
        <v>46296.384745370371</v>
      </c>
      <c r="P114" s="57">
        <v>46296.386412037034</v>
      </c>
      <c r="Q114">
        <v>69402065</v>
      </c>
      <c r="S114">
        <v>152604231176</v>
      </c>
      <c r="T114" t="s">
        <v>1842</v>
      </c>
      <c r="U114" t="s">
        <v>1843</v>
      </c>
      <c r="V114" t="s">
        <v>1844</v>
      </c>
      <c r="Z114">
        <v>111.47605009999999</v>
      </c>
      <c r="AA114">
        <v>-7.8642630000000002</v>
      </c>
      <c r="AB114" t="s">
        <v>1845</v>
      </c>
      <c r="AC114" t="s">
        <v>225</v>
      </c>
      <c r="AL114" t="s">
        <v>217</v>
      </c>
      <c r="AM114" t="s">
        <v>1846</v>
      </c>
      <c r="AN114" t="s">
        <v>6</v>
      </c>
      <c r="AO114" s="57">
        <v>46032.392847222225</v>
      </c>
      <c r="AR114" t="s">
        <v>325</v>
      </c>
      <c r="AS114" t="s">
        <v>854</v>
      </c>
      <c r="AT114" t="s">
        <v>230</v>
      </c>
      <c r="AV114" t="s">
        <v>1847</v>
      </c>
      <c r="AW114" t="s">
        <v>1451</v>
      </c>
      <c r="AX114" t="s">
        <v>222</v>
      </c>
      <c r="BA114" s="57">
        <v>46296.833333333336</v>
      </c>
      <c r="BB114" t="s">
        <v>1846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PONOROGO</v>
      </c>
    </row>
    <row r="115" spans="1:61">
      <c r="A115">
        <v>114</v>
      </c>
      <c r="B115">
        <v>1002619524</v>
      </c>
      <c r="C115">
        <v>3</v>
      </c>
      <c r="D115" t="s">
        <v>38</v>
      </c>
      <c r="E115">
        <v>5</v>
      </c>
      <c r="F115" t="s">
        <v>90</v>
      </c>
      <c r="G115" t="s">
        <v>96</v>
      </c>
      <c r="H115" t="s">
        <v>282</v>
      </c>
      <c r="I115" t="s">
        <v>212</v>
      </c>
      <c r="J115" t="s">
        <v>213</v>
      </c>
      <c r="K115" t="s">
        <v>149</v>
      </c>
      <c r="L115" t="s">
        <v>214</v>
      </c>
      <c r="M115" t="s">
        <v>76</v>
      </c>
      <c r="N115" t="s">
        <v>215</v>
      </c>
      <c r="O115" s="57">
        <v>46297.472615740742</v>
      </c>
      <c r="P115" s="57">
        <v>46297.561319444445</v>
      </c>
      <c r="Q115">
        <v>69402945</v>
      </c>
      <c r="S115">
        <v>152608207578</v>
      </c>
      <c r="T115" t="s">
        <v>1848</v>
      </c>
      <c r="U115" t="s">
        <v>1849</v>
      </c>
      <c r="V115" t="s">
        <v>1850</v>
      </c>
      <c r="Z115">
        <v>111.680812386136</v>
      </c>
      <c r="AA115">
        <v>-8.0544064244476008</v>
      </c>
      <c r="AB115" t="s">
        <v>1851</v>
      </c>
      <c r="AC115" t="s">
        <v>235</v>
      </c>
      <c r="AL115" t="s">
        <v>217</v>
      </c>
      <c r="AM115" t="s">
        <v>1852</v>
      </c>
      <c r="AN115" t="s">
        <v>6</v>
      </c>
      <c r="AO115" s="57">
        <v>46063.475972222222</v>
      </c>
      <c r="AP115" s="57">
        <v>46298.333333333336</v>
      </c>
      <c r="AR115" t="s">
        <v>218</v>
      </c>
      <c r="AS115" t="s">
        <v>96</v>
      </c>
      <c r="AT115" t="s">
        <v>230</v>
      </c>
      <c r="AU115">
        <v>20261002</v>
      </c>
      <c r="AV115" t="s">
        <v>221</v>
      </c>
      <c r="AW115" t="s">
        <v>885</v>
      </c>
      <c r="AX115" t="s">
        <v>222</v>
      </c>
      <c r="BA115" s="57">
        <v>46298.333333333336</v>
      </c>
      <c r="BB115" t="s">
        <v>1852</v>
      </c>
      <c r="BC115">
        <v>2026</v>
      </c>
      <c r="BD115">
        <v>10</v>
      </c>
      <c r="BE115">
        <v>2</v>
      </c>
      <c r="BF115" s="6">
        <f t="shared" si="3"/>
        <v>46297</v>
      </c>
      <c r="BG115">
        <f t="shared" si="4"/>
        <v>-1.3333333333357587</v>
      </c>
      <c r="BH115" t="str">
        <f t="shared" si="5"/>
        <v>COMPLY</v>
      </c>
      <c r="BI115" t="str">
        <f>VLOOKUP(H115,Sheet2!$A$1:$B$270,2,FALSE)</f>
        <v>PONOROGO</v>
      </c>
    </row>
    <row r="116" spans="1:61">
      <c r="A116">
        <v>115</v>
      </c>
      <c r="B116">
        <v>1002621009</v>
      </c>
      <c r="C116">
        <v>3</v>
      </c>
      <c r="D116" t="s">
        <v>38</v>
      </c>
      <c r="E116">
        <v>5</v>
      </c>
      <c r="F116" t="s">
        <v>90</v>
      </c>
      <c r="G116" t="s">
        <v>96</v>
      </c>
      <c r="H116" t="s">
        <v>282</v>
      </c>
      <c r="I116" t="s">
        <v>212</v>
      </c>
      <c r="J116" t="s">
        <v>213</v>
      </c>
      <c r="K116" t="s">
        <v>149</v>
      </c>
      <c r="L116" t="s">
        <v>214</v>
      </c>
      <c r="M116" t="s">
        <v>76</v>
      </c>
      <c r="N116" t="s">
        <v>215</v>
      </c>
      <c r="O116" s="57">
        <v>46298.574074074073</v>
      </c>
      <c r="P116" s="57">
        <v>46299.477696759262</v>
      </c>
      <c r="Q116">
        <v>69403628</v>
      </c>
      <c r="S116">
        <v>152608207758</v>
      </c>
      <c r="T116" t="s">
        <v>1853</v>
      </c>
      <c r="U116" t="s">
        <v>1854</v>
      </c>
      <c r="V116" t="s">
        <v>1855</v>
      </c>
      <c r="Z116">
        <v>111.702847480773</v>
      </c>
      <c r="AA116">
        <v>-8.1169431193209505</v>
      </c>
      <c r="AB116" t="s">
        <v>1856</v>
      </c>
      <c r="AC116" t="s">
        <v>235</v>
      </c>
      <c r="AL116" t="s">
        <v>217</v>
      </c>
      <c r="AM116" t="s">
        <v>1857</v>
      </c>
      <c r="AN116" t="s">
        <v>6</v>
      </c>
      <c r="AO116" s="57">
        <v>46091.580358796295</v>
      </c>
      <c r="AP116" s="57">
        <v>46299.458333333336</v>
      </c>
      <c r="AR116" t="s">
        <v>218</v>
      </c>
      <c r="AS116" t="s">
        <v>96</v>
      </c>
      <c r="AT116" t="s">
        <v>230</v>
      </c>
      <c r="AU116">
        <v>20261004</v>
      </c>
      <c r="AV116" t="s">
        <v>221</v>
      </c>
      <c r="AW116" t="s">
        <v>885</v>
      </c>
      <c r="AX116" t="s">
        <v>222</v>
      </c>
      <c r="BA116" s="57">
        <v>46299.458333333336</v>
      </c>
      <c r="BB116" t="s">
        <v>1857</v>
      </c>
      <c r="BC116">
        <v>2026</v>
      </c>
      <c r="BD116">
        <v>10</v>
      </c>
      <c r="BE116">
        <v>4</v>
      </c>
      <c r="BF116" s="6">
        <f t="shared" si="3"/>
        <v>46299</v>
      </c>
      <c r="BG116">
        <f t="shared" si="4"/>
        <v>-0.45833333333575865</v>
      </c>
      <c r="BH116" t="str">
        <f t="shared" si="5"/>
        <v>COMPLY</v>
      </c>
      <c r="BI116" t="str">
        <f>VLOOKUP(H116,Sheet2!$A$1:$B$270,2,FALSE)</f>
        <v>PONOROGO</v>
      </c>
    </row>
    <row r="117" spans="1:61">
      <c r="A117">
        <v>116</v>
      </c>
      <c r="B117">
        <v>1002619854</v>
      </c>
      <c r="C117">
        <v>3</v>
      </c>
      <c r="D117" t="s">
        <v>59</v>
      </c>
      <c r="E117">
        <v>4</v>
      </c>
      <c r="F117" t="s">
        <v>544</v>
      </c>
      <c r="G117" t="s">
        <v>798</v>
      </c>
      <c r="H117" t="s">
        <v>1858</v>
      </c>
      <c r="I117" t="s">
        <v>212</v>
      </c>
      <c r="J117" t="s">
        <v>213</v>
      </c>
      <c r="K117" t="s">
        <v>149</v>
      </c>
      <c r="M117" t="s">
        <v>819</v>
      </c>
      <c r="N117" t="s">
        <v>563</v>
      </c>
      <c r="O117" s="57">
        <v>46297.578182870369</v>
      </c>
      <c r="P117" s="57">
        <v>46297.579293981478</v>
      </c>
      <c r="Q117">
        <v>66525052</v>
      </c>
      <c r="S117">
        <v>146143118636</v>
      </c>
      <c r="T117" t="s">
        <v>1754</v>
      </c>
      <c r="U117" t="s">
        <v>1859</v>
      </c>
      <c r="Z117">
        <v>110.16062068784299</v>
      </c>
      <c r="AA117">
        <v>-7.86656911562498</v>
      </c>
      <c r="AB117" t="s">
        <v>1860</v>
      </c>
      <c r="AC117" t="s">
        <v>225</v>
      </c>
      <c r="AO117" s="57">
        <v>46063.580127314817</v>
      </c>
      <c r="AR117" t="s">
        <v>325</v>
      </c>
      <c r="AS117" t="s">
        <v>1861</v>
      </c>
      <c r="AT117" t="s">
        <v>230</v>
      </c>
      <c r="AV117" t="s">
        <v>820</v>
      </c>
      <c r="AW117" t="s">
        <v>1862</v>
      </c>
      <c r="AX117" t="s">
        <v>222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e">
        <f>VLOOKUP(H117,Sheet2!$A$1:$B$270,2,FALSE)</f>
        <v>#N/A</v>
      </c>
    </row>
    <row r="118" spans="1:61">
      <c r="A118">
        <v>117</v>
      </c>
      <c r="B118">
        <v>1002620574</v>
      </c>
      <c r="C118">
        <v>3</v>
      </c>
      <c r="D118" t="s">
        <v>59</v>
      </c>
      <c r="E118">
        <v>4</v>
      </c>
      <c r="F118" t="s">
        <v>544</v>
      </c>
      <c r="G118" t="s">
        <v>1863</v>
      </c>
      <c r="H118" t="s">
        <v>1864</v>
      </c>
      <c r="I118" t="s">
        <v>212</v>
      </c>
      <c r="J118" t="s">
        <v>213</v>
      </c>
      <c r="K118" t="s">
        <v>149</v>
      </c>
      <c r="M118" t="s">
        <v>76</v>
      </c>
      <c r="N118" t="s">
        <v>215</v>
      </c>
      <c r="O118" s="57">
        <v>46297.726284722223</v>
      </c>
      <c r="P118" s="57">
        <v>46298.252743055556</v>
      </c>
      <c r="Q118">
        <v>69400821</v>
      </c>
      <c r="S118">
        <v>143135115350</v>
      </c>
      <c r="T118" t="s">
        <v>893</v>
      </c>
      <c r="U118" t="s">
        <v>1865</v>
      </c>
      <c r="V118" t="s">
        <v>1866</v>
      </c>
      <c r="Z118">
        <v>110.524376</v>
      </c>
      <c r="AA118">
        <v>-7.8376840000000003</v>
      </c>
      <c r="AB118" t="s">
        <v>894</v>
      </c>
      <c r="AC118" t="s">
        <v>567</v>
      </c>
      <c r="AL118" t="s">
        <v>217</v>
      </c>
      <c r="AM118" t="s">
        <v>1867</v>
      </c>
      <c r="AN118" t="s">
        <v>6</v>
      </c>
      <c r="AO118" s="57">
        <v>46063.736041666663</v>
      </c>
      <c r="AR118" t="s">
        <v>218</v>
      </c>
      <c r="AS118" t="s">
        <v>1868</v>
      </c>
      <c r="AT118" t="s">
        <v>230</v>
      </c>
      <c r="AU118">
        <v>20261003</v>
      </c>
      <c r="AV118" t="s">
        <v>221</v>
      </c>
      <c r="AW118" t="s">
        <v>863</v>
      </c>
      <c r="AX118" t="s">
        <v>222</v>
      </c>
      <c r="BA118" s="57">
        <v>46297.291666666664</v>
      </c>
      <c r="BB118" t="s">
        <v>1867</v>
      </c>
      <c r="BC118">
        <v>2026</v>
      </c>
      <c r="BD118">
        <v>10</v>
      </c>
      <c r="BE118">
        <v>3</v>
      </c>
      <c r="BF118" s="6">
        <f t="shared" si="3"/>
        <v>46298</v>
      </c>
      <c r="BG118">
        <f t="shared" si="4"/>
        <v>0.70833333333575865</v>
      </c>
      <c r="BH118" t="str">
        <f t="shared" si="5"/>
        <v>COMPLY</v>
      </c>
      <c r="BI118" t="e">
        <f>VLOOKUP(H118,Sheet2!$A$1:$B$270,2,FALSE)</f>
        <v>#N/A</v>
      </c>
    </row>
    <row r="119" spans="1:61">
      <c r="A119">
        <v>118</v>
      </c>
      <c r="B119">
        <v>1002621285</v>
      </c>
      <c r="C119">
        <v>3</v>
      </c>
      <c r="D119" t="s">
        <v>59</v>
      </c>
      <c r="E119">
        <v>4</v>
      </c>
      <c r="F119" t="s">
        <v>544</v>
      </c>
      <c r="G119" t="s">
        <v>1863</v>
      </c>
      <c r="H119" t="s">
        <v>1864</v>
      </c>
      <c r="I119" t="s">
        <v>212</v>
      </c>
      <c r="J119" t="s">
        <v>213</v>
      </c>
      <c r="K119" t="s">
        <v>149</v>
      </c>
      <c r="M119" t="s">
        <v>238</v>
      </c>
      <c r="N119" t="s">
        <v>215</v>
      </c>
      <c r="O119" s="57">
        <v>46299.421793981484</v>
      </c>
      <c r="P119" s="57">
        <v>46300.344513888886</v>
      </c>
      <c r="Q119">
        <v>69403797</v>
      </c>
      <c r="S119">
        <v>143135115344</v>
      </c>
      <c r="T119" t="s">
        <v>1869</v>
      </c>
      <c r="U119" t="s">
        <v>1870</v>
      </c>
      <c r="V119" t="s">
        <v>1871</v>
      </c>
      <c r="Z119">
        <v>110.4004151</v>
      </c>
      <c r="AA119">
        <v>-7.9175348999999997</v>
      </c>
      <c r="AB119" t="s">
        <v>1872</v>
      </c>
      <c r="AC119" t="s">
        <v>283</v>
      </c>
      <c r="AL119" t="s">
        <v>217</v>
      </c>
      <c r="AM119" t="s">
        <v>1873</v>
      </c>
      <c r="AN119" t="s">
        <v>6</v>
      </c>
      <c r="AO119" s="57">
        <v>46122.423935185187</v>
      </c>
      <c r="AP119" s="57">
        <v>46301.333333333336</v>
      </c>
      <c r="AR119" t="s">
        <v>239</v>
      </c>
      <c r="AS119" t="s">
        <v>1868</v>
      </c>
      <c r="AT119" t="s">
        <v>230</v>
      </c>
      <c r="AV119" t="s">
        <v>238</v>
      </c>
      <c r="AW119" t="s">
        <v>540</v>
      </c>
      <c r="AX119" t="s">
        <v>222</v>
      </c>
      <c r="BA119" s="57">
        <v>46301.333333333336</v>
      </c>
      <c r="BB119" t="s">
        <v>1873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e">
        <f>VLOOKUP(H119,Sheet2!$A$1:$B$270,2,FALSE)</f>
        <v>#N/A</v>
      </c>
    </row>
    <row r="120" spans="1:61">
      <c r="A120">
        <v>119</v>
      </c>
      <c r="B120">
        <v>1002620785</v>
      </c>
      <c r="C120">
        <v>3</v>
      </c>
      <c r="D120" t="s">
        <v>59</v>
      </c>
      <c r="E120">
        <v>4</v>
      </c>
      <c r="F120" t="s">
        <v>544</v>
      </c>
      <c r="G120" t="s">
        <v>825</v>
      </c>
      <c r="H120" t="s">
        <v>1874</v>
      </c>
      <c r="I120" t="s">
        <v>1440</v>
      </c>
      <c r="J120" t="s">
        <v>213</v>
      </c>
      <c r="K120" t="s">
        <v>149</v>
      </c>
      <c r="M120" t="s">
        <v>895</v>
      </c>
      <c r="N120" t="s">
        <v>1507</v>
      </c>
      <c r="O120" s="57">
        <v>46298.400081018517</v>
      </c>
      <c r="P120" s="57">
        <v>46298.40179398148</v>
      </c>
      <c r="Q120">
        <v>69403487</v>
      </c>
      <c r="S120">
        <v>146133133443</v>
      </c>
      <c r="T120" t="s">
        <v>1875</v>
      </c>
      <c r="U120" t="s">
        <v>1876</v>
      </c>
      <c r="V120" t="s">
        <v>1877</v>
      </c>
      <c r="Z120">
        <v>110.324047180145</v>
      </c>
      <c r="AA120">
        <v>-7.6460405727276104</v>
      </c>
      <c r="AB120" t="s">
        <v>1878</v>
      </c>
      <c r="AC120" t="s">
        <v>284</v>
      </c>
      <c r="AL120" t="s">
        <v>217</v>
      </c>
      <c r="AM120" t="s">
        <v>1879</v>
      </c>
      <c r="AN120" t="s">
        <v>6</v>
      </c>
      <c r="AO120" s="57">
        <v>46091.40283564815</v>
      </c>
      <c r="AR120" t="s">
        <v>886</v>
      </c>
      <c r="AS120" t="s">
        <v>219</v>
      </c>
      <c r="AT120" t="s">
        <v>230</v>
      </c>
      <c r="AV120" t="s">
        <v>896</v>
      </c>
      <c r="AW120" t="s">
        <v>1880</v>
      </c>
      <c r="AX120" t="s">
        <v>222</v>
      </c>
      <c r="BA120" s="57">
        <v>46298.5</v>
      </c>
      <c r="BB120" t="s">
        <v>1879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e">
        <f>VLOOKUP(H120,Sheet2!$A$1:$B$270,2,FALSE)</f>
        <v>#N/A</v>
      </c>
    </row>
    <row r="121" spans="1:61">
      <c r="A121">
        <v>120</v>
      </c>
      <c r="B121">
        <v>1002619607</v>
      </c>
      <c r="C121">
        <v>3</v>
      </c>
      <c r="D121" t="s">
        <v>59</v>
      </c>
      <c r="E121">
        <v>4</v>
      </c>
      <c r="F121" t="s">
        <v>544</v>
      </c>
      <c r="G121" t="s">
        <v>564</v>
      </c>
      <c r="H121" t="s">
        <v>1881</v>
      </c>
      <c r="I121" t="s">
        <v>212</v>
      </c>
      <c r="J121" t="s">
        <v>213</v>
      </c>
      <c r="K121" t="s">
        <v>149</v>
      </c>
      <c r="L121" t="s">
        <v>214</v>
      </c>
      <c r="M121" t="s">
        <v>895</v>
      </c>
      <c r="N121" t="s">
        <v>215</v>
      </c>
      <c r="O121" s="57">
        <v>46297.490682870368</v>
      </c>
      <c r="P121" s="57">
        <v>46298.467002314814</v>
      </c>
      <c r="Q121">
        <v>69402988</v>
      </c>
      <c r="S121">
        <v>146130139222</v>
      </c>
      <c r="T121" t="s">
        <v>1882</v>
      </c>
      <c r="U121" t="s">
        <v>1883</v>
      </c>
      <c r="V121" t="s">
        <v>1884</v>
      </c>
      <c r="Z121">
        <v>110.4014988</v>
      </c>
      <c r="AA121">
        <v>-7.7561086000000001</v>
      </c>
      <c r="AB121" t="s">
        <v>1885</v>
      </c>
      <c r="AC121" t="s">
        <v>235</v>
      </c>
      <c r="AL121" t="s">
        <v>217</v>
      </c>
      <c r="AM121" t="s">
        <v>1886</v>
      </c>
      <c r="AN121" t="s">
        <v>6</v>
      </c>
      <c r="AO121" s="57">
        <v>46063.507453703707</v>
      </c>
      <c r="AP121" s="57">
        <v>46298.458333333336</v>
      </c>
      <c r="AR121" t="s">
        <v>886</v>
      </c>
      <c r="AS121" t="s">
        <v>1887</v>
      </c>
      <c r="AT121" t="s">
        <v>230</v>
      </c>
      <c r="AV121" t="s">
        <v>896</v>
      </c>
      <c r="AW121" t="s">
        <v>1888</v>
      </c>
      <c r="AX121" t="s">
        <v>222</v>
      </c>
      <c r="BA121" s="57">
        <v>46298.458333333336</v>
      </c>
      <c r="BB121" t="s">
        <v>1886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e">
        <f>VLOOKUP(H121,Sheet2!$A$1:$B$270,2,FALSE)</f>
        <v>#N/A</v>
      </c>
    </row>
    <row r="122" spans="1:61">
      <c r="A122">
        <v>121</v>
      </c>
      <c r="B122">
        <v>1002619790</v>
      </c>
      <c r="C122">
        <v>3</v>
      </c>
      <c r="D122" t="s">
        <v>59</v>
      </c>
      <c r="E122">
        <v>4</v>
      </c>
      <c r="F122" t="s">
        <v>544</v>
      </c>
      <c r="G122" t="s">
        <v>564</v>
      </c>
      <c r="H122" t="s">
        <v>1881</v>
      </c>
      <c r="I122" t="s">
        <v>212</v>
      </c>
      <c r="J122" t="s">
        <v>213</v>
      </c>
      <c r="K122" t="s">
        <v>149</v>
      </c>
      <c r="L122" t="s">
        <v>214</v>
      </c>
      <c r="M122" t="s">
        <v>76</v>
      </c>
      <c r="N122" t="s">
        <v>215</v>
      </c>
      <c r="O122" s="57">
        <v>46297.561574074076</v>
      </c>
      <c r="P122" s="57">
        <v>46298.494745370372</v>
      </c>
      <c r="Q122">
        <v>69403066</v>
      </c>
      <c r="S122">
        <v>146130139241</v>
      </c>
      <c r="T122" t="s">
        <v>1882</v>
      </c>
      <c r="U122" t="s">
        <v>1889</v>
      </c>
      <c r="V122" t="s">
        <v>1890</v>
      </c>
      <c r="Z122">
        <v>110.4014473</v>
      </c>
      <c r="AA122">
        <v>-7.7561092</v>
      </c>
      <c r="AB122" t="s">
        <v>1891</v>
      </c>
      <c r="AC122" t="s">
        <v>235</v>
      </c>
      <c r="AL122" t="s">
        <v>217</v>
      </c>
      <c r="AM122" t="s">
        <v>1892</v>
      </c>
      <c r="AN122" t="s">
        <v>6</v>
      </c>
      <c r="AO122" s="57">
        <v>46063.569363425922</v>
      </c>
      <c r="AP122" s="57">
        <v>46298.458333333336</v>
      </c>
      <c r="AR122" t="s">
        <v>218</v>
      </c>
      <c r="AS122" t="s">
        <v>1887</v>
      </c>
      <c r="AT122" t="s">
        <v>230</v>
      </c>
      <c r="AU122">
        <v>20261003</v>
      </c>
      <c r="AV122" t="s">
        <v>221</v>
      </c>
      <c r="AW122" t="s">
        <v>1888</v>
      </c>
      <c r="AX122" t="s">
        <v>222</v>
      </c>
      <c r="BA122" s="57">
        <v>46298.458333333336</v>
      </c>
      <c r="BB122" t="s">
        <v>1892</v>
      </c>
      <c r="BC122">
        <v>2026</v>
      </c>
      <c r="BD122">
        <v>10</v>
      </c>
      <c r="BE122">
        <v>3</v>
      </c>
      <c r="BF122" s="6">
        <f t="shared" si="3"/>
        <v>46298</v>
      </c>
      <c r="BG122">
        <f t="shared" si="4"/>
        <v>-0.45833333333575865</v>
      </c>
      <c r="BH122" t="str">
        <f t="shared" si="5"/>
        <v>COMPLY</v>
      </c>
      <c r="BI122" t="e">
        <f>VLOOKUP(H122,Sheet2!$A$1:$B$270,2,FALSE)</f>
        <v>#N/A</v>
      </c>
    </row>
    <row r="123" spans="1:61">
      <c r="A123">
        <v>122</v>
      </c>
      <c r="B123">
        <v>1002619746</v>
      </c>
      <c r="C123">
        <v>3</v>
      </c>
      <c r="D123" t="s">
        <v>59</v>
      </c>
      <c r="E123">
        <v>4</v>
      </c>
      <c r="F123" t="s">
        <v>544</v>
      </c>
      <c r="G123" t="s">
        <v>564</v>
      </c>
      <c r="H123" t="s">
        <v>1881</v>
      </c>
      <c r="I123" t="s">
        <v>212</v>
      </c>
      <c r="J123" t="s">
        <v>213</v>
      </c>
      <c r="K123" t="s">
        <v>149</v>
      </c>
      <c r="M123" t="s">
        <v>819</v>
      </c>
      <c r="N123" t="s">
        <v>563</v>
      </c>
      <c r="O123" s="57">
        <v>46297.553981481484</v>
      </c>
      <c r="P123" s="57">
        <v>46297.555949074071</v>
      </c>
      <c r="Q123">
        <v>66525052</v>
      </c>
      <c r="S123">
        <v>146130139224</v>
      </c>
      <c r="T123" t="s">
        <v>1754</v>
      </c>
      <c r="U123" t="s">
        <v>1893</v>
      </c>
      <c r="Z123">
        <v>110.376951320236</v>
      </c>
      <c r="AA123">
        <v>-7.73634158440895</v>
      </c>
      <c r="AB123" t="s">
        <v>1756</v>
      </c>
      <c r="AC123" t="s">
        <v>225</v>
      </c>
      <c r="AO123" s="57">
        <v>46063.559317129628</v>
      </c>
      <c r="AR123" t="s">
        <v>325</v>
      </c>
      <c r="AS123" t="s">
        <v>1887</v>
      </c>
      <c r="AT123" t="s">
        <v>230</v>
      </c>
      <c r="AV123" t="s">
        <v>820</v>
      </c>
      <c r="AW123" t="s">
        <v>540</v>
      </c>
      <c r="AX123" t="s">
        <v>222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e">
        <f>VLOOKUP(H123,Sheet2!$A$1:$B$270,2,FALSE)</f>
        <v>#N/A</v>
      </c>
    </row>
    <row r="124" spans="1:61">
      <c r="A124">
        <v>123</v>
      </c>
      <c r="B124">
        <v>1002619144</v>
      </c>
      <c r="C124">
        <v>3</v>
      </c>
      <c r="D124" t="s">
        <v>59</v>
      </c>
      <c r="E124">
        <v>4</v>
      </c>
      <c r="F124" t="s">
        <v>544</v>
      </c>
      <c r="G124" t="s">
        <v>564</v>
      </c>
      <c r="H124" t="s">
        <v>804</v>
      </c>
      <c r="I124" t="s">
        <v>1894</v>
      </c>
      <c r="J124" t="s">
        <v>213</v>
      </c>
      <c r="K124" t="s">
        <v>149</v>
      </c>
      <c r="M124" t="s">
        <v>1406</v>
      </c>
      <c r="N124" t="s">
        <v>1895</v>
      </c>
      <c r="O124" s="57">
        <v>46297.398159722223</v>
      </c>
      <c r="P124" s="57">
        <v>46297.558171296296</v>
      </c>
      <c r="Q124">
        <v>69402762</v>
      </c>
      <c r="S124">
        <v>146113147707</v>
      </c>
      <c r="T124" t="s">
        <v>1896</v>
      </c>
      <c r="U124" t="s">
        <v>1897</v>
      </c>
      <c r="V124" t="s">
        <v>1898</v>
      </c>
      <c r="Z124">
        <v>110.373025478535</v>
      </c>
      <c r="AA124">
        <v>-7.77618564562703</v>
      </c>
      <c r="AB124" t="s">
        <v>1899</v>
      </c>
      <c r="AC124" t="s">
        <v>225</v>
      </c>
      <c r="AL124" t="s">
        <v>217</v>
      </c>
      <c r="AM124" t="s">
        <v>1899</v>
      </c>
      <c r="AN124" t="s">
        <v>6</v>
      </c>
      <c r="AO124" s="57">
        <v>46063.403113425928</v>
      </c>
      <c r="AQ124" t="s">
        <v>840</v>
      </c>
      <c r="AR124" t="s">
        <v>14</v>
      </c>
      <c r="AS124" t="s">
        <v>219</v>
      </c>
      <c r="AT124" t="s">
        <v>230</v>
      </c>
      <c r="AV124" t="s">
        <v>1900</v>
      </c>
      <c r="AW124" t="s">
        <v>1534</v>
      </c>
      <c r="AX124" t="s">
        <v>222</v>
      </c>
      <c r="BA124" s="57">
        <v>46297.5</v>
      </c>
      <c r="BB124" t="s">
        <v>1899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e">
        <f>VLOOKUP(H124,Sheet2!$A$1:$B$270,2,FALSE)</f>
        <v>#N/A</v>
      </c>
    </row>
    <row r="125" spans="1:61">
      <c r="A125">
        <v>124</v>
      </c>
      <c r="B125">
        <v>1002621010</v>
      </c>
      <c r="C125">
        <v>3</v>
      </c>
      <c r="D125" t="s">
        <v>59</v>
      </c>
      <c r="E125">
        <v>4</v>
      </c>
      <c r="F125" t="s">
        <v>544</v>
      </c>
      <c r="G125" t="s">
        <v>564</v>
      </c>
      <c r="H125" t="s">
        <v>804</v>
      </c>
      <c r="I125" t="s">
        <v>212</v>
      </c>
      <c r="J125" t="s">
        <v>213</v>
      </c>
      <c r="K125" t="s">
        <v>149</v>
      </c>
      <c r="L125" t="s">
        <v>214</v>
      </c>
      <c r="M125" t="s">
        <v>224</v>
      </c>
      <c r="N125" t="s">
        <v>215</v>
      </c>
      <c r="O125" s="57">
        <v>46298.57471064815</v>
      </c>
      <c r="P125" s="57">
        <v>46299.465196759258</v>
      </c>
      <c r="Q125">
        <v>69403630</v>
      </c>
      <c r="S125">
        <v>146113147714</v>
      </c>
      <c r="T125" t="s">
        <v>1901</v>
      </c>
      <c r="U125" t="s">
        <v>1902</v>
      </c>
      <c r="V125" t="s">
        <v>1903</v>
      </c>
      <c r="Z125">
        <v>110.36532459999999</v>
      </c>
      <c r="AA125">
        <v>-7.7608699999999997</v>
      </c>
      <c r="AB125" t="s">
        <v>1904</v>
      </c>
      <c r="AC125" t="s">
        <v>235</v>
      </c>
      <c r="AL125" t="s">
        <v>217</v>
      </c>
      <c r="AM125" t="s">
        <v>1905</v>
      </c>
      <c r="AN125" t="s">
        <v>6</v>
      </c>
      <c r="AO125" s="57">
        <v>46091.580358796295</v>
      </c>
      <c r="AP125" s="57">
        <v>46299.458333333336</v>
      </c>
      <c r="AR125" t="s">
        <v>18</v>
      </c>
      <c r="AS125" t="s">
        <v>219</v>
      </c>
      <c r="AT125" t="s">
        <v>230</v>
      </c>
      <c r="AV125" t="s">
        <v>226</v>
      </c>
      <c r="AW125" t="s">
        <v>882</v>
      </c>
      <c r="AX125" t="s">
        <v>222</v>
      </c>
      <c r="BA125" s="57">
        <v>46299.458333333336</v>
      </c>
      <c r="BB125" t="s">
        <v>1905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e">
        <f>VLOOKUP(H125,Sheet2!$A$1:$B$270,2,FALSE)</f>
        <v>#N/A</v>
      </c>
    </row>
    <row r="126" spans="1:61">
      <c r="A126">
        <v>125</v>
      </c>
      <c r="B126">
        <v>1002617387</v>
      </c>
      <c r="C126">
        <v>3</v>
      </c>
      <c r="D126" t="s">
        <v>59</v>
      </c>
      <c r="E126">
        <v>4</v>
      </c>
      <c r="F126" t="s">
        <v>544</v>
      </c>
      <c r="G126" t="s">
        <v>564</v>
      </c>
      <c r="H126" t="s">
        <v>804</v>
      </c>
      <c r="I126" t="s">
        <v>1894</v>
      </c>
      <c r="J126" t="s">
        <v>213</v>
      </c>
      <c r="K126" t="s">
        <v>149</v>
      </c>
      <c r="M126" t="s">
        <v>76</v>
      </c>
      <c r="N126" t="s">
        <v>1895</v>
      </c>
      <c r="O126" s="57">
        <v>46296.442164351851</v>
      </c>
      <c r="P126" s="57">
        <v>46296.514479166668</v>
      </c>
      <c r="Q126">
        <v>69402175</v>
      </c>
      <c r="S126">
        <v>146113147692</v>
      </c>
      <c r="T126" t="s">
        <v>1906</v>
      </c>
      <c r="U126" t="s">
        <v>1907</v>
      </c>
      <c r="V126" t="s">
        <v>1908</v>
      </c>
      <c r="Z126">
        <v>110.366016</v>
      </c>
      <c r="AA126">
        <v>-7.790762</v>
      </c>
      <c r="AB126" t="s">
        <v>1909</v>
      </c>
      <c r="AC126" t="s">
        <v>225</v>
      </c>
      <c r="AL126" t="s">
        <v>217</v>
      </c>
      <c r="AM126" t="s">
        <v>1909</v>
      </c>
      <c r="AN126" t="s">
        <v>6</v>
      </c>
      <c r="AO126" s="57">
        <v>46032.444687499999</v>
      </c>
      <c r="AR126" t="s">
        <v>218</v>
      </c>
      <c r="AS126" t="s">
        <v>219</v>
      </c>
      <c r="AT126" t="s">
        <v>230</v>
      </c>
      <c r="AU126">
        <v>20261001</v>
      </c>
      <c r="AV126" t="s">
        <v>221</v>
      </c>
      <c r="AW126" t="s">
        <v>1451</v>
      </c>
      <c r="AX126" t="s">
        <v>222</v>
      </c>
      <c r="BA126" s="57">
        <v>46296.5</v>
      </c>
      <c r="BB126" t="s">
        <v>1909</v>
      </c>
      <c r="BC126">
        <v>2026</v>
      </c>
      <c r="BD126">
        <v>10</v>
      </c>
      <c r="BE126">
        <v>1</v>
      </c>
      <c r="BF126" s="6">
        <f t="shared" si="3"/>
        <v>46296</v>
      </c>
      <c r="BG126">
        <f t="shared" si="4"/>
        <v>-0.5</v>
      </c>
      <c r="BH126" t="str">
        <f t="shared" si="5"/>
        <v>COMPLY</v>
      </c>
      <c r="BI126" t="e">
        <f>VLOOKUP(H126,Sheet2!$A$1:$B$270,2,FALSE)</f>
        <v>#N/A</v>
      </c>
    </row>
    <row r="127" spans="1:61">
      <c r="A127">
        <v>126</v>
      </c>
      <c r="B127">
        <v>1002617775</v>
      </c>
      <c r="C127">
        <v>3</v>
      </c>
      <c r="D127" t="s">
        <v>59</v>
      </c>
      <c r="E127">
        <v>4</v>
      </c>
      <c r="F127" t="s">
        <v>544</v>
      </c>
      <c r="G127" t="s">
        <v>564</v>
      </c>
      <c r="H127" t="s">
        <v>804</v>
      </c>
      <c r="I127" t="s">
        <v>212</v>
      </c>
      <c r="J127" t="s">
        <v>213</v>
      </c>
      <c r="K127" t="s">
        <v>149</v>
      </c>
      <c r="M127" t="s">
        <v>76</v>
      </c>
      <c r="N127" t="s">
        <v>215</v>
      </c>
      <c r="O127" s="57">
        <v>46296.539918981478</v>
      </c>
      <c r="P127" s="57">
        <v>46296.659224537034</v>
      </c>
      <c r="Q127">
        <v>69400815</v>
      </c>
      <c r="S127">
        <v>143113104149</v>
      </c>
      <c r="T127" t="s">
        <v>893</v>
      </c>
      <c r="U127" t="s">
        <v>1039</v>
      </c>
      <c r="V127" t="s">
        <v>1040</v>
      </c>
      <c r="Z127">
        <v>110.3636611</v>
      </c>
      <c r="AA127">
        <v>-7.7659193999999996</v>
      </c>
      <c r="AB127" t="s">
        <v>894</v>
      </c>
      <c r="AC127" t="s">
        <v>567</v>
      </c>
      <c r="AL127" t="s">
        <v>217</v>
      </c>
      <c r="AM127" t="s">
        <v>1041</v>
      </c>
      <c r="AN127" t="s">
        <v>6</v>
      </c>
      <c r="AO127" s="57">
        <v>46032.559305555558</v>
      </c>
      <c r="AR127" t="s">
        <v>218</v>
      </c>
      <c r="AS127" t="s">
        <v>219</v>
      </c>
      <c r="AT127" t="s">
        <v>230</v>
      </c>
      <c r="AU127">
        <v>20261001</v>
      </c>
      <c r="AV127" t="s">
        <v>221</v>
      </c>
      <c r="AW127" t="s">
        <v>539</v>
      </c>
      <c r="AX127" t="s">
        <v>222</v>
      </c>
      <c r="BA127" s="57">
        <v>46296.291666666664</v>
      </c>
      <c r="BB127" t="s">
        <v>1041</v>
      </c>
      <c r="BC127">
        <v>2026</v>
      </c>
      <c r="BD127">
        <v>10</v>
      </c>
      <c r="BE127">
        <v>1</v>
      </c>
      <c r="BF127" s="6">
        <f t="shared" si="3"/>
        <v>46296</v>
      </c>
      <c r="BG127">
        <f t="shared" si="4"/>
        <v>-0.29166666666424135</v>
      </c>
      <c r="BH127" t="str">
        <f t="shared" si="5"/>
        <v>COMPLY</v>
      </c>
      <c r="BI127" t="e">
        <f>VLOOKUP(H127,Sheet2!$A$1:$B$270,2,FALSE)</f>
        <v>#N/A</v>
      </c>
    </row>
    <row r="128" spans="1:61">
      <c r="A128">
        <v>127</v>
      </c>
      <c r="B128">
        <v>1002617650</v>
      </c>
      <c r="C128">
        <v>3</v>
      </c>
      <c r="D128" t="s">
        <v>59</v>
      </c>
      <c r="E128">
        <v>4</v>
      </c>
      <c r="F128" t="s">
        <v>544</v>
      </c>
      <c r="G128" t="s">
        <v>564</v>
      </c>
      <c r="H128" t="s">
        <v>804</v>
      </c>
      <c r="I128" t="s">
        <v>1894</v>
      </c>
      <c r="J128" t="s">
        <v>213</v>
      </c>
      <c r="K128" t="s">
        <v>149</v>
      </c>
      <c r="M128" t="s">
        <v>76</v>
      </c>
      <c r="N128" t="s">
        <v>1895</v>
      </c>
      <c r="O128" s="57">
        <v>46296.488993055558</v>
      </c>
      <c r="P128" s="57">
        <v>46296.662037037036</v>
      </c>
      <c r="Q128">
        <v>69402277</v>
      </c>
      <c r="S128">
        <v>146113147695</v>
      </c>
      <c r="T128" t="s">
        <v>1906</v>
      </c>
      <c r="U128" t="s">
        <v>1910</v>
      </c>
      <c r="V128" t="s">
        <v>1911</v>
      </c>
      <c r="Z128">
        <v>110.365504</v>
      </c>
      <c r="AA128">
        <v>-7.7953679999999999</v>
      </c>
      <c r="AB128" t="s">
        <v>1912</v>
      </c>
      <c r="AC128" t="s">
        <v>225</v>
      </c>
      <c r="AL128" t="s">
        <v>217</v>
      </c>
      <c r="AM128" t="s">
        <v>1912</v>
      </c>
      <c r="AN128" t="s">
        <v>6</v>
      </c>
      <c r="AO128" s="57">
        <v>46032.517557870371</v>
      </c>
      <c r="AR128" t="s">
        <v>218</v>
      </c>
      <c r="AS128" t="s">
        <v>219</v>
      </c>
      <c r="AT128" t="s">
        <v>230</v>
      </c>
      <c r="AU128">
        <v>20261001</v>
      </c>
      <c r="AV128" t="s">
        <v>221</v>
      </c>
      <c r="AW128" t="s">
        <v>1451</v>
      </c>
      <c r="AX128" t="s">
        <v>222</v>
      </c>
      <c r="BA128" s="57">
        <v>46296.5</v>
      </c>
      <c r="BB128" t="s">
        <v>1912</v>
      </c>
      <c r="BC128">
        <v>2026</v>
      </c>
      <c r="BD128">
        <v>10</v>
      </c>
      <c r="BE128">
        <v>1</v>
      </c>
      <c r="BF128" s="6">
        <f t="shared" si="3"/>
        <v>46296</v>
      </c>
      <c r="BG128">
        <f t="shared" si="4"/>
        <v>-0.5</v>
      </c>
      <c r="BH128" t="str">
        <f t="shared" si="5"/>
        <v>COMPLY</v>
      </c>
      <c r="BI128" t="e">
        <f>VLOOKUP(H128,Sheet2!$A$1:$B$270,2,FALSE)</f>
        <v>#N/A</v>
      </c>
    </row>
    <row r="129" spans="1:61">
      <c r="A129">
        <v>128</v>
      </c>
      <c r="B129">
        <v>1002619773</v>
      </c>
      <c r="C129">
        <v>3</v>
      </c>
      <c r="D129" t="s">
        <v>59</v>
      </c>
      <c r="E129">
        <v>4</v>
      </c>
      <c r="F129" t="s">
        <v>544</v>
      </c>
      <c r="G129" t="s">
        <v>564</v>
      </c>
      <c r="H129" t="s">
        <v>804</v>
      </c>
      <c r="I129" t="s">
        <v>1894</v>
      </c>
      <c r="J129" t="s">
        <v>213</v>
      </c>
      <c r="K129" t="s">
        <v>149</v>
      </c>
      <c r="M129" t="s">
        <v>76</v>
      </c>
      <c r="N129" t="s">
        <v>1895</v>
      </c>
      <c r="O129" s="57">
        <v>46297.558182870373</v>
      </c>
      <c r="P129" s="57">
        <v>46297.792731481481</v>
      </c>
      <c r="Q129">
        <v>69402762</v>
      </c>
      <c r="S129">
        <v>146113146875</v>
      </c>
      <c r="T129" t="s">
        <v>1896</v>
      </c>
      <c r="U129" t="s">
        <v>1913</v>
      </c>
      <c r="V129" t="s">
        <v>1914</v>
      </c>
      <c r="Z129">
        <v>110.3729</v>
      </c>
      <c r="AA129">
        <v>-7.7767999999999997</v>
      </c>
      <c r="AB129" t="s">
        <v>1899</v>
      </c>
      <c r="AC129" t="s">
        <v>225</v>
      </c>
      <c r="AL129" t="s">
        <v>217</v>
      </c>
      <c r="AM129" t="s">
        <v>1899</v>
      </c>
      <c r="AN129" t="s">
        <v>6</v>
      </c>
      <c r="AO129" s="57">
        <v>46063.559317129628</v>
      </c>
      <c r="AR129" t="s">
        <v>218</v>
      </c>
      <c r="AS129" t="s">
        <v>219</v>
      </c>
      <c r="AT129" t="s">
        <v>230</v>
      </c>
      <c r="AU129">
        <v>20261002</v>
      </c>
      <c r="AV129" t="s">
        <v>221</v>
      </c>
      <c r="AW129" t="s">
        <v>1534</v>
      </c>
      <c r="AX129" t="s">
        <v>222</v>
      </c>
      <c r="BA129" s="57">
        <v>25569.291666666668</v>
      </c>
      <c r="BB129" t="s">
        <v>1899</v>
      </c>
      <c r="BC129">
        <v>2026</v>
      </c>
      <c r="BD129">
        <v>10</v>
      </c>
      <c r="BE129">
        <v>2</v>
      </c>
      <c r="BF129" s="6">
        <f t="shared" si="3"/>
        <v>46297</v>
      </c>
      <c r="BG129">
        <f t="shared" si="4"/>
        <v>20727.708333333332</v>
      </c>
      <c r="BH129" t="str">
        <f t="shared" si="5"/>
        <v>NOT COMPLY</v>
      </c>
      <c r="BI129" t="e">
        <f>VLOOKUP(H129,Sheet2!$A$1:$B$270,2,FALSE)</f>
        <v>#N/A</v>
      </c>
    </row>
    <row r="130" spans="1:61">
      <c r="A130">
        <v>129</v>
      </c>
      <c r="B130">
        <v>1002620627</v>
      </c>
      <c r="C130">
        <v>3</v>
      </c>
      <c r="D130" t="s">
        <v>59</v>
      </c>
      <c r="E130">
        <v>4</v>
      </c>
      <c r="F130" t="s">
        <v>544</v>
      </c>
      <c r="G130" t="s">
        <v>564</v>
      </c>
      <c r="H130" t="s">
        <v>804</v>
      </c>
      <c r="I130" t="s">
        <v>212</v>
      </c>
      <c r="J130" t="s">
        <v>213</v>
      </c>
      <c r="K130" t="s">
        <v>149</v>
      </c>
      <c r="L130" t="s">
        <v>214</v>
      </c>
      <c r="M130" t="s">
        <v>76</v>
      </c>
      <c r="N130" t="s">
        <v>215</v>
      </c>
      <c r="O130" s="57">
        <v>46297.759432870371</v>
      </c>
      <c r="P130" s="57">
        <v>46299.291527777779</v>
      </c>
      <c r="Q130">
        <v>69403389</v>
      </c>
      <c r="S130">
        <v>146113147717</v>
      </c>
      <c r="T130" t="s">
        <v>1915</v>
      </c>
      <c r="U130" t="s">
        <v>1916</v>
      </c>
      <c r="V130" t="s">
        <v>1917</v>
      </c>
      <c r="Z130">
        <v>110.372945528836</v>
      </c>
      <c r="AA130">
        <v>-7.7803581842852303</v>
      </c>
      <c r="AB130" t="s">
        <v>1918</v>
      </c>
      <c r="AC130" t="s">
        <v>235</v>
      </c>
      <c r="AL130" t="s">
        <v>217</v>
      </c>
      <c r="AM130" t="s">
        <v>1919</v>
      </c>
      <c r="AN130" t="s">
        <v>6</v>
      </c>
      <c r="AO130" s="57">
        <v>46063.767569444448</v>
      </c>
      <c r="AP130" s="57">
        <v>46298.625</v>
      </c>
      <c r="AR130" t="s">
        <v>218</v>
      </c>
      <c r="AS130" t="s">
        <v>219</v>
      </c>
      <c r="AT130" t="s">
        <v>230</v>
      </c>
      <c r="AU130">
        <v>20261004</v>
      </c>
      <c r="AV130" t="s">
        <v>221</v>
      </c>
      <c r="AW130" t="s">
        <v>879</v>
      </c>
      <c r="AX130" t="s">
        <v>222</v>
      </c>
      <c r="BA130" s="57">
        <v>46298.625</v>
      </c>
      <c r="BB130" t="s">
        <v>1919</v>
      </c>
      <c r="BC130">
        <v>2026</v>
      </c>
      <c r="BD130">
        <v>10</v>
      </c>
      <c r="BE130">
        <v>4</v>
      </c>
      <c r="BF130" s="6">
        <f t="shared" ref="BF130:BF193" si="6">DATE(BC130,BD130,BE130)</f>
        <v>46299</v>
      </c>
      <c r="BG130">
        <f t="shared" ref="BG130:BG193" si="7">BF130-BA130</f>
        <v>0.375</v>
      </c>
      <c r="BH130" t="str">
        <f t="shared" ref="BH130:BH193" si="8">IF(BG130=1,"COMPLY",IF(BG130&lt;1,"COMPLY","NOT COMPLY"))</f>
        <v>COMPLY</v>
      </c>
      <c r="BI130" t="e">
        <f>VLOOKUP(H130,Sheet2!$A$1:$B$270,2,FALSE)</f>
        <v>#N/A</v>
      </c>
    </row>
    <row r="131" spans="1:61">
      <c r="A131">
        <v>130</v>
      </c>
      <c r="B131">
        <v>1002618747</v>
      </c>
      <c r="C131">
        <v>3</v>
      </c>
      <c r="D131" t="s">
        <v>59</v>
      </c>
      <c r="E131">
        <v>4</v>
      </c>
      <c r="F131" t="s">
        <v>544</v>
      </c>
      <c r="G131" t="s">
        <v>798</v>
      </c>
      <c r="H131" t="s">
        <v>801</v>
      </c>
      <c r="I131" t="s">
        <v>212</v>
      </c>
      <c r="J131" t="s">
        <v>213</v>
      </c>
      <c r="K131" t="s">
        <v>149</v>
      </c>
      <c r="L131" t="s">
        <v>214</v>
      </c>
      <c r="M131" t="s">
        <v>76</v>
      </c>
      <c r="N131" t="s">
        <v>215</v>
      </c>
      <c r="O131" s="57">
        <v>46296.735115740739</v>
      </c>
      <c r="P131" s="57">
        <v>46297.495671296296</v>
      </c>
      <c r="Q131">
        <v>69402653</v>
      </c>
      <c r="S131">
        <v>146129129175</v>
      </c>
      <c r="T131" t="s">
        <v>1042</v>
      </c>
      <c r="U131" t="s">
        <v>1043</v>
      </c>
      <c r="V131" t="s">
        <v>1044</v>
      </c>
      <c r="Z131">
        <v>110.388488</v>
      </c>
      <c r="AA131">
        <v>-7.8944103999999999</v>
      </c>
      <c r="AB131" t="s">
        <v>1045</v>
      </c>
      <c r="AC131" t="s">
        <v>235</v>
      </c>
      <c r="AL131" t="s">
        <v>217</v>
      </c>
      <c r="AM131" t="s">
        <v>1046</v>
      </c>
      <c r="AN131" t="s">
        <v>6</v>
      </c>
      <c r="AO131" s="57">
        <v>46032.736354166664</v>
      </c>
      <c r="AP131" s="57">
        <v>46298.333333333336</v>
      </c>
      <c r="AR131" t="s">
        <v>218</v>
      </c>
      <c r="AS131" t="s">
        <v>219</v>
      </c>
      <c r="AT131" t="s">
        <v>230</v>
      </c>
      <c r="AU131">
        <v>20261002</v>
      </c>
      <c r="AV131" t="s">
        <v>221</v>
      </c>
      <c r="AW131" t="s">
        <v>883</v>
      </c>
      <c r="AX131" t="s">
        <v>222</v>
      </c>
      <c r="BA131" s="57">
        <v>46298.333333333336</v>
      </c>
      <c r="BB131" t="s">
        <v>1046</v>
      </c>
      <c r="BC131">
        <v>2026</v>
      </c>
      <c r="BD131">
        <v>10</v>
      </c>
      <c r="BE131">
        <v>2</v>
      </c>
      <c r="BF131" s="6">
        <f t="shared" si="6"/>
        <v>46297</v>
      </c>
      <c r="BG131">
        <f t="shared" si="7"/>
        <v>-1.3333333333357587</v>
      </c>
      <c r="BH131" t="str">
        <f t="shared" si="8"/>
        <v>COMPLY</v>
      </c>
      <c r="BI131" t="e">
        <f>VLOOKUP(H131,Sheet2!$A$1:$B$270,2,FALSE)</f>
        <v>#N/A</v>
      </c>
    </row>
    <row r="132" spans="1:61">
      <c r="A132">
        <v>131</v>
      </c>
      <c r="B132">
        <v>1002617109</v>
      </c>
      <c r="C132">
        <v>3</v>
      </c>
      <c r="D132" t="s">
        <v>59</v>
      </c>
      <c r="E132">
        <v>4</v>
      </c>
      <c r="F132" t="s">
        <v>544</v>
      </c>
      <c r="G132" t="s">
        <v>825</v>
      </c>
      <c r="H132" t="s">
        <v>826</v>
      </c>
      <c r="I132" t="s">
        <v>212</v>
      </c>
      <c r="J132" t="s">
        <v>213</v>
      </c>
      <c r="K132" t="s">
        <v>149</v>
      </c>
      <c r="L132" t="s">
        <v>214</v>
      </c>
      <c r="M132" t="s">
        <v>76</v>
      </c>
      <c r="N132" t="s">
        <v>215</v>
      </c>
      <c r="O132" s="57">
        <v>46296.399062500001</v>
      </c>
      <c r="P132" s="57">
        <v>46297.600300925929</v>
      </c>
      <c r="Q132">
        <v>69402094</v>
      </c>
      <c r="S132">
        <v>146136130327</v>
      </c>
      <c r="T132" t="s">
        <v>1047</v>
      </c>
      <c r="U132" t="s">
        <v>1048</v>
      </c>
      <c r="V132" t="s">
        <v>1049</v>
      </c>
      <c r="Z132">
        <v>110.2913688</v>
      </c>
      <c r="AA132">
        <v>-7.7564986999999999</v>
      </c>
      <c r="AB132" t="s">
        <v>1050</v>
      </c>
      <c r="AC132" t="s">
        <v>235</v>
      </c>
      <c r="AL132" t="s">
        <v>217</v>
      </c>
      <c r="AM132" t="s">
        <v>1051</v>
      </c>
      <c r="AN132" t="s">
        <v>6</v>
      </c>
      <c r="AO132" s="57">
        <v>46032.413738425923</v>
      </c>
      <c r="AP132" s="57">
        <v>46297.333333333336</v>
      </c>
      <c r="AR132" t="s">
        <v>218</v>
      </c>
      <c r="AS132" t="s">
        <v>219</v>
      </c>
      <c r="AT132" t="s">
        <v>230</v>
      </c>
      <c r="AU132">
        <v>20261002</v>
      </c>
      <c r="AV132" t="s">
        <v>221</v>
      </c>
      <c r="AW132" t="s">
        <v>877</v>
      </c>
      <c r="AX132" t="s">
        <v>222</v>
      </c>
      <c r="BA132" s="57">
        <v>46297.333333333336</v>
      </c>
      <c r="BB132" t="s">
        <v>1051</v>
      </c>
      <c r="BC132">
        <v>2026</v>
      </c>
      <c r="BD132">
        <v>10</v>
      </c>
      <c r="BE132">
        <v>2</v>
      </c>
      <c r="BF132" s="6">
        <f t="shared" si="6"/>
        <v>46297</v>
      </c>
      <c r="BG132">
        <f t="shared" si="7"/>
        <v>-0.33333333333575865</v>
      </c>
      <c r="BH132" t="str">
        <f t="shared" si="8"/>
        <v>COMPLY</v>
      </c>
      <c r="BI132" t="e">
        <f>VLOOKUP(H132,Sheet2!$A$1:$B$270,2,FALSE)</f>
        <v>#N/A</v>
      </c>
    </row>
    <row r="133" spans="1:61">
      <c r="A133">
        <v>132</v>
      </c>
      <c r="B133">
        <v>1002621359</v>
      </c>
      <c r="C133">
        <v>3</v>
      </c>
      <c r="D133" t="s">
        <v>59</v>
      </c>
      <c r="E133">
        <v>4</v>
      </c>
      <c r="F133" t="s">
        <v>544</v>
      </c>
      <c r="G133" t="s">
        <v>825</v>
      </c>
      <c r="H133" t="s">
        <v>826</v>
      </c>
      <c r="I133" t="s">
        <v>212</v>
      </c>
      <c r="J133" t="s">
        <v>213</v>
      </c>
      <c r="K133" t="s">
        <v>149</v>
      </c>
      <c r="L133" t="s">
        <v>214</v>
      </c>
      <c r="M133" t="s">
        <v>238</v>
      </c>
      <c r="N133" t="s">
        <v>215</v>
      </c>
      <c r="O133" s="57">
        <v>46299.520601851851</v>
      </c>
      <c r="P133" s="57">
        <v>46299.523159722223</v>
      </c>
      <c r="Q133">
        <v>69403875</v>
      </c>
      <c r="S133">
        <v>146136130628</v>
      </c>
      <c r="T133" t="s">
        <v>1920</v>
      </c>
      <c r="U133" t="s">
        <v>1921</v>
      </c>
      <c r="V133" t="s">
        <v>1922</v>
      </c>
      <c r="Z133">
        <v>110.273017</v>
      </c>
      <c r="AA133">
        <v>-7.7166509999999997</v>
      </c>
      <c r="AB133" t="s">
        <v>1923</v>
      </c>
      <c r="AC133" t="s">
        <v>235</v>
      </c>
      <c r="AL133" t="s">
        <v>217</v>
      </c>
      <c r="AM133" t="s">
        <v>1924</v>
      </c>
      <c r="AN133" t="s">
        <v>6</v>
      </c>
      <c r="AO133" s="57">
        <v>46122.528171296297</v>
      </c>
      <c r="AP133" s="57">
        <v>46300.458333333336</v>
      </c>
      <c r="AR133" t="s">
        <v>239</v>
      </c>
      <c r="AS133" t="s">
        <v>219</v>
      </c>
      <c r="AT133" t="s">
        <v>230</v>
      </c>
      <c r="AV133" t="s">
        <v>238</v>
      </c>
      <c r="AW133" t="s">
        <v>879</v>
      </c>
      <c r="AX133" t="s">
        <v>222</v>
      </c>
      <c r="BA133" s="57">
        <v>46300.458333333336</v>
      </c>
      <c r="BB133" t="s">
        <v>1924</v>
      </c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e">
        <f>VLOOKUP(H133,Sheet2!$A$1:$B$270,2,FALSE)</f>
        <v>#N/A</v>
      </c>
    </row>
    <row r="134" spans="1:61">
      <c r="A134">
        <v>133</v>
      </c>
      <c r="B134">
        <v>1002620787</v>
      </c>
      <c r="C134">
        <v>3</v>
      </c>
      <c r="D134" t="s">
        <v>59</v>
      </c>
      <c r="E134">
        <v>4</v>
      </c>
      <c r="F134" t="s">
        <v>544</v>
      </c>
      <c r="G134" t="s">
        <v>564</v>
      </c>
      <c r="H134" t="s">
        <v>1925</v>
      </c>
      <c r="I134" t="s">
        <v>212</v>
      </c>
      <c r="J134" t="s">
        <v>213</v>
      </c>
      <c r="K134" t="s">
        <v>149</v>
      </c>
      <c r="L134" t="s">
        <v>214</v>
      </c>
      <c r="M134" t="s">
        <v>1406</v>
      </c>
      <c r="N134" t="s">
        <v>215</v>
      </c>
      <c r="O134" s="57">
        <v>46298.405277777776</v>
      </c>
      <c r="P134" s="57">
        <v>46299.588090277779</v>
      </c>
      <c r="Q134">
        <v>69403494</v>
      </c>
      <c r="S134">
        <v>141114228736</v>
      </c>
      <c r="T134" t="s">
        <v>1926</v>
      </c>
      <c r="U134" t="s">
        <v>1927</v>
      </c>
      <c r="V134" t="s">
        <v>1928</v>
      </c>
      <c r="Z134">
        <v>110.39032</v>
      </c>
      <c r="AA134">
        <v>-7.8497149999999998</v>
      </c>
      <c r="AB134" t="s">
        <v>1929</v>
      </c>
      <c r="AC134" t="s">
        <v>235</v>
      </c>
      <c r="AL134" t="s">
        <v>217</v>
      </c>
      <c r="AM134" t="s">
        <v>1705</v>
      </c>
      <c r="AN134" t="s">
        <v>6</v>
      </c>
      <c r="AO134" s="57">
        <v>46091.413935185185</v>
      </c>
      <c r="AP134" s="57">
        <v>46299.333333333336</v>
      </c>
      <c r="AQ134" t="s">
        <v>840</v>
      </c>
      <c r="AR134" t="s">
        <v>14</v>
      </c>
      <c r="AS134" t="s">
        <v>219</v>
      </c>
      <c r="AT134" t="s">
        <v>230</v>
      </c>
      <c r="AV134" t="s">
        <v>1930</v>
      </c>
      <c r="AW134" t="s">
        <v>882</v>
      </c>
      <c r="AX134" t="s">
        <v>222</v>
      </c>
      <c r="BA134" s="57">
        <v>46299.333333333336</v>
      </c>
      <c r="BB134" t="s">
        <v>1705</v>
      </c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e">
        <f>VLOOKUP(H134,Sheet2!$A$1:$B$270,2,FALSE)</f>
        <v>#N/A</v>
      </c>
    </row>
    <row r="135" spans="1:61">
      <c r="A135">
        <v>134</v>
      </c>
      <c r="B135">
        <v>1002619040</v>
      </c>
      <c r="C135">
        <v>3</v>
      </c>
      <c r="D135" t="s">
        <v>59</v>
      </c>
      <c r="E135">
        <v>4</v>
      </c>
      <c r="F135" t="s">
        <v>544</v>
      </c>
      <c r="G135" t="s">
        <v>564</v>
      </c>
      <c r="H135" t="s">
        <v>1925</v>
      </c>
      <c r="I135" t="s">
        <v>1563</v>
      </c>
      <c r="J135" t="s">
        <v>213</v>
      </c>
      <c r="K135" t="s">
        <v>149</v>
      </c>
      <c r="M135" t="s">
        <v>224</v>
      </c>
      <c r="N135" t="s">
        <v>1931</v>
      </c>
      <c r="O135" s="57">
        <v>46297.374305555553</v>
      </c>
      <c r="P135" s="57">
        <v>46297.379050925927</v>
      </c>
      <c r="Q135">
        <v>69402737</v>
      </c>
      <c r="S135">
        <v>141114228710</v>
      </c>
      <c r="T135" t="s">
        <v>1932</v>
      </c>
      <c r="U135" t="s">
        <v>1933</v>
      </c>
      <c r="V135" t="s">
        <v>1934</v>
      </c>
      <c r="Z135">
        <v>110.355652942856</v>
      </c>
      <c r="AA135">
        <v>-7.8172348760280501</v>
      </c>
      <c r="AB135" t="s">
        <v>1935</v>
      </c>
      <c r="AC135" t="s">
        <v>225</v>
      </c>
      <c r="AL135" t="s">
        <v>217</v>
      </c>
      <c r="AM135" t="s">
        <v>1936</v>
      </c>
      <c r="AN135" t="s">
        <v>6</v>
      </c>
      <c r="AO135" s="57">
        <v>46063.39334490741</v>
      </c>
      <c r="AR135" t="s">
        <v>18</v>
      </c>
      <c r="AS135" t="s">
        <v>219</v>
      </c>
      <c r="AT135" t="s">
        <v>230</v>
      </c>
      <c r="AV135" t="s">
        <v>226</v>
      </c>
      <c r="AW135" t="s">
        <v>1446</v>
      </c>
      <c r="AX135" t="s">
        <v>222</v>
      </c>
      <c r="BA135" s="57">
        <v>46297.541666666664</v>
      </c>
      <c r="BB135" t="s">
        <v>1936</v>
      </c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e">
        <f>VLOOKUP(H135,Sheet2!$A$1:$B$270,2,FALSE)</f>
        <v>#N/A</v>
      </c>
    </row>
    <row r="136" spans="1:61">
      <c r="A136">
        <v>135</v>
      </c>
      <c r="B136">
        <v>1002618870</v>
      </c>
      <c r="C136">
        <v>3</v>
      </c>
      <c r="D136" t="s">
        <v>59</v>
      </c>
      <c r="E136">
        <v>4</v>
      </c>
      <c r="F136" t="s">
        <v>544</v>
      </c>
      <c r="G136" t="s">
        <v>564</v>
      </c>
      <c r="H136" t="s">
        <v>1925</v>
      </c>
      <c r="I136" t="s">
        <v>212</v>
      </c>
      <c r="J136" t="s">
        <v>213</v>
      </c>
      <c r="K136" t="s">
        <v>149</v>
      </c>
      <c r="L136" t="s">
        <v>214</v>
      </c>
      <c r="M136" t="s">
        <v>224</v>
      </c>
      <c r="N136" t="s">
        <v>215</v>
      </c>
      <c r="O136" s="57">
        <v>46297.301851851851</v>
      </c>
      <c r="P136" s="57">
        <v>46300.337719907409</v>
      </c>
      <c r="Q136">
        <v>69402695</v>
      </c>
      <c r="S136">
        <v>141114228709</v>
      </c>
      <c r="T136" t="s">
        <v>1114</v>
      </c>
      <c r="U136" t="s">
        <v>1937</v>
      </c>
      <c r="V136" t="s">
        <v>1938</v>
      </c>
      <c r="Z136">
        <v>110.367363</v>
      </c>
      <c r="AA136">
        <v>-7.8350629999999999</v>
      </c>
      <c r="AB136" t="s">
        <v>1939</v>
      </c>
      <c r="AC136" t="s">
        <v>235</v>
      </c>
      <c r="AL136" t="s">
        <v>217</v>
      </c>
      <c r="AM136" t="s">
        <v>1940</v>
      </c>
      <c r="AN136" t="s">
        <v>6</v>
      </c>
      <c r="AO136" s="57">
        <v>46063.319722222222</v>
      </c>
      <c r="AP136" s="57">
        <v>46300.333333333336</v>
      </c>
      <c r="AR136" t="s">
        <v>18</v>
      </c>
      <c r="AS136" t="s">
        <v>219</v>
      </c>
      <c r="AT136" t="s">
        <v>230</v>
      </c>
      <c r="AV136" t="s">
        <v>226</v>
      </c>
      <c r="AW136" t="s">
        <v>879</v>
      </c>
      <c r="AX136" t="s">
        <v>222</v>
      </c>
      <c r="BA136" s="57">
        <v>46300.333333333336</v>
      </c>
      <c r="BB136" t="s">
        <v>1940</v>
      </c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e">
        <f>VLOOKUP(H136,Sheet2!$A$1:$B$270,2,FALSE)</f>
        <v>#N/A</v>
      </c>
    </row>
    <row r="137" spans="1:61">
      <c r="A137">
        <v>136</v>
      </c>
      <c r="B137">
        <v>1002620237</v>
      </c>
      <c r="C137">
        <v>3</v>
      </c>
      <c r="D137" t="s">
        <v>59</v>
      </c>
      <c r="E137">
        <v>4</v>
      </c>
      <c r="F137" t="s">
        <v>544</v>
      </c>
      <c r="G137" t="s">
        <v>564</v>
      </c>
      <c r="H137" t="s">
        <v>1925</v>
      </c>
      <c r="I137" t="s">
        <v>212</v>
      </c>
      <c r="J137" t="s">
        <v>213</v>
      </c>
      <c r="K137" t="s">
        <v>149</v>
      </c>
      <c r="L137" t="s">
        <v>214</v>
      </c>
      <c r="M137" t="s">
        <v>76</v>
      </c>
      <c r="N137" t="s">
        <v>215</v>
      </c>
      <c r="O137" s="57">
        <v>46297.640740740739</v>
      </c>
      <c r="P137" s="57">
        <v>46299.38009259259</v>
      </c>
      <c r="Q137">
        <v>69403257</v>
      </c>
      <c r="S137">
        <v>141114228725</v>
      </c>
      <c r="T137" t="s">
        <v>1941</v>
      </c>
      <c r="U137" t="s">
        <v>1942</v>
      </c>
      <c r="V137" t="s">
        <v>1943</v>
      </c>
      <c r="Z137">
        <v>110.3393294</v>
      </c>
      <c r="AA137">
        <v>-7.8040548000000003</v>
      </c>
      <c r="AB137" t="s">
        <v>1944</v>
      </c>
      <c r="AC137" t="s">
        <v>235</v>
      </c>
      <c r="AL137" t="s">
        <v>217</v>
      </c>
      <c r="AM137" t="s">
        <v>1945</v>
      </c>
      <c r="AN137" t="s">
        <v>6</v>
      </c>
      <c r="AO137" s="57">
        <v>46063.652951388889</v>
      </c>
      <c r="AP137" s="57">
        <v>46298.625</v>
      </c>
      <c r="AR137" t="s">
        <v>218</v>
      </c>
      <c r="AS137" t="s">
        <v>219</v>
      </c>
      <c r="AT137" t="s">
        <v>230</v>
      </c>
      <c r="AU137">
        <v>20261004</v>
      </c>
      <c r="AV137" t="s">
        <v>221</v>
      </c>
      <c r="AW137" t="s">
        <v>882</v>
      </c>
      <c r="AX137" t="s">
        <v>222</v>
      </c>
      <c r="BA137" s="57">
        <v>46298.625</v>
      </c>
      <c r="BB137" t="s">
        <v>1945</v>
      </c>
      <c r="BC137">
        <v>2026</v>
      </c>
      <c r="BD137">
        <v>10</v>
      </c>
      <c r="BE137">
        <v>4</v>
      </c>
      <c r="BF137" s="6">
        <f t="shared" si="6"/>
        <v>46299</v>
      </c>
      <c r="BG137">
        <f t="shared" si="7"/>
        <v>0.375</v>
      </c>
      <c r="BH137" t="str">
        <f t="shared" si="8"/>
        <v>COMPLY</v>
      </c>
      <c r="BI137" t="e">
        <f>VLOOKUP(H137,Sheet2!$A$1:$B$270,2,FALSE)</f>
        <v>#N/A</v>
      </c>
    </row>
    <row r="138" spans="1:61">
      <c r="A138">
        <v>137</v>
      </c>
      <c r="B138">
        <v>1002621413</v>
      </c>
      <c r="C138">
        <v>3</v>
      </c>
      <c r="D138" t="s">
        <v>59</v>
      </c>
      <c r="E138">
        <v>4</v>
      </c>
      <c r="F138" t="s">
        <v>544</v>
      </c>
      <c r="G138" t="s">
        <v>564</v>
      </c>
      <c r="H138" t="s">
        <v>1925</v>
      </c>
      <c r="I138" t="s">
        <v>212</v>
      </c>
      <c r="J138" t="s">
        <v>213</v>
      </c>
      <c r="K138" t="s">
        <v>149</v>
      </c>
      <c r="M138" t="s">
        <v>76</v>
      </c>
      <c r="N138" t="s">
        <v>215</v>
      </c>
      <c r="O138" s="57">
        <v>46299.588090277779</v>
      </c>
      <c r="P138" s="57">
        <v>46299.635277777779</v>
      </c>
      <c r="Q138">
        <v>69403494</v>
      </c>
      <c r="S138">
        <v>141114228754</v>
      </c>
      <c r="T138" t="s">
        <v>1926</v>
      </c>
      <c r="U138" t="s">
        <v>1946</v>
      </c>
      <c r="V138" t="s">
        <v>1947</v>
      </c>
      <c r="Z138">
        <v>110.390576304908</v>
      </c>
      <c r="AA138">
        <v>-7.8499844072432996</v>
      </c>
      <c r="AB138" t="s">
        <v>1929</v>
      </c>
      <c r="AC138" t="s">
        <v>283</v>
      </c>
      <c r="AL138" t="s">
        <v>217</v>
      </c>
      <c r="AM138" t="s">
        <v>1948</v>
      </c>
      <c r="AN138" t="s">
        <v>6</v>
      </c>
      <c r="AO138" s="57">
        <v>46122.590717592589</v>
      </c>
      <c r="AR138" t="s">
        <v>218</v>
      </c>
      <c r="AS138" t="s">
        <v>219</v>
      </c>
      <c r="AT138" t="s">
        <v>230</v>
      </c>
      <c r="AU138">
        <v>20261004</v>
      </c>
      <c r="AV138" t="s">
        <v>221</v>
      </c>
      <c r="AW138" t="s">
        <v>1949</v>
      </c>
      <c r="AX138" t="s">
        <v>222</v>
      </c>
      <c r="BA138" s="57">
        <v>46299.291666666664</v>
      </c>
      <c r="BB138" t="s">
        <v>1948</v>
      </c>
      <c r="BC138">
        <v>2026</v>
      </c>
      <c r="BD138">
        <v>10</v>
      </c>
      <c r="BE138">
        <v>4</v>
      </c>
      <c r="BF138" s="6">
        <f t="shared" si="6"/>
        <v>46299</v>
      </c>
      <c r="BG138">
        <f t="shared" si="7"/>
        <v>-0.29166666666424135</v>
      </c>
      <c r="BH138" t="str">
        <f t="shared" si="8"/>
        <v>COMPLY</v>
      </c>
      <c r="BI138" t="e">
        <f>VLOOKUP(H138,Sheet2!$A$1:$B$270,2,FALSE)</f>
        <v>#N/A</v>
      </c>
    </row>
    <row r="139" spans="1:61">
      <c r="A139">
        <v>138</v>
      </c>
      <c r="B139">
        <v>1002619759</v>
      </c>
      <c r="C139">
        <v>3</v>
      </c>
      <c r="D139" t="s">
        <v>59</v>
      </c>
      <c r="E139">
        <v>4</v>
      </c>
      <c r="F139" t="s">
        <v>544</v>
      </c>
      <c r="G139" t="s">
        <v>564</v>
      </c>
      <c r="H139" t="s">
        <v>1925</v>
      </c>
      <c r="I139" t="s">
        <v>212</v>
      </c>
      <c r="J139" t="s">
        <v>213</v>
      </c>
      <c r="K139" t="s">
        <v>149</v>
      </c>
      <c r="M139" t="s">
        <v>819</v>
      </c>
      <c r="N139" t="s">
        <v>563</v>
      </c>
      <c r="O139" s="57">
        <v>46297.55773148148</v>
      </c>
      <c r="P139" s="57">
        <v>46297.560034722221</v>
      </c>
      <c r="Q139">
        <v>66525052</v>
      </c>
      <c r="S139">
        <v>141114228716</v>
      </c>
      <c r="T139" t="s">
        <v>1754</v>
      </c>
      <c r="U139" t="s">
        <v>1950</v>
      </c>
      <c r="Z139">
        <v>110.359005829857</v>
      </c>
      <c r="AA139">
        <v>-7.8499108474109196</v>
      </c>
      <c r="AB139" t="s">
        <v>1951</v>
      </c>
      <c r="AC139" t="s">
        <v>225</v>
      </c>
      <c r="AO139" s="57">
        <v>46063.559317129628</v>
      </c>
      <c r="AR139" t="s">
        <v>325</v>
      </c>
      <c r="AS139" t="s">
        <v>219</v>
      </c>
      <c r="AT139" t="s">
        <v>230</v>
      </c>
      <c r="AV139" t="s">
        <v>820</v>
      </c>
      <c r="AW139" t="s">
        <v>1495</v>
      </c>
      <c r="AX139" t="s">
        <v>222</v>
      </c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e">
        <f>VLOOKUP(H139,Sheet2!$A$1:$B$270,2,FALSE)</f>
        <v>#N/A</v>
      </c>
    </row>
    <row r="140" spans="1:61">
      <c r="A140">
        <v>139</v>
      </c>
      <c r="B140">
        <v>1002619519</v>
      </c>
      <c r="C140">
        <v>3</v>
      </c>
      <c r="D140" t="s">
        <v>55</v>
      </c>
      <c r="E140">
        <v>5</v>
      </c>
      <c r="F140" t="s">
        <v>227</v>
      </c>
      <c r="G140" t="s">
        <v>121</v>
      </c>
      <c r="H140" t="s">
        <v>375</v>
      </c>
      <c r="I140" t="s">
        <v>212</v>
      </c>
      <c r="J140" t="s">
        <v>213</v>
      </c>
      <c r="K140" t="s">
        <v>149</v>
      </c>
      <c r="L140" t="s">
        <v>214</v>
      </c>
      <c r="M140" t="s">
        <v>76</v>
      </c>
      <c r="N140" t="s">
        <v>215</v>
      </c>
      <c r="O140" s="57">
        <v>46297.470543981479</v>
      </c>
      <c r="P140" s="57">
        <v>46298.723553240743</v>
      </c>
      <c r="Q140">
        <v>69402942</v>
      </c>
      <c r="S140">
        <v>152435910665</v>
      </c>
      <c r="T140" t="s">
        <v>1952</v>
      </c>
      <c r="U140" t="s">
        <v>1953</v>
      </c>
      <c r="V140" t="s">
        <v>1954</v>
      </c>
      <c r="Z140">
        <v>112.7520674</v>
      </c>
      <c r="AA140">
        <v>-7.0912961000000001</v>
      </c>
      <c r="AB140" t="s">
        <v>1955</v>
      </c>
      <c r="AC140" t="s">
        <v>216</v>
      </c>
      <c r="AL140" t="s">
        <v>217</v>
      </c>
      <c r="AM140" t="s">
        <v>1956</v>
      </c>
      <c r="AN140" t="s">
        <v>6</v>
      </c>
      <c r="AO140" s="57">
        <v>46063.475972222222</v>
      </c>
      <c r="AP140" s="57">
        <v>46298.333333333336</v>
      </c>
      <c r="AR140" t="s">
        <v>218</v>
      </c>
      <c r="AS140" t="s">
        <v>219</v>
      </c>
      <c r="AT140" t="s">
        <v>220</v>
      </c>
      <c r="AU140">
        <v>20261003</v>
      </c>
      <c r="AV140" t="s">
        <v>221</v>
      </c>
      <c r="AW140" t="s">
        <v>1957</v>
      </c>
      <c r="AX140" t="s">
        <v>222</v>
      </c>
      <c r="BA140" s="57">
        <v>46298.333333333336</v>
      </c>
      <c r="BB140" t="s">
        <v>1956</v>
      </c>
      <c r="BC140">
        <v>2026</v>
      </c>
      <c r="BD140">
        <v>10</v>
      </c>
      <c r="BE140">
        <v>3</v>
      </c>
      <c r="BF140" s="6">
        <f t="shared" si="6"/>
        <v>46298</v>
      </c>
      <c r="BG140">
        <f t="shared" si="7"/>
        <v>-0.33333333333575865</v>
      </c>
      <c r="BH140" t="str">
        <f t="shared" si="8"/>
        <v>COMPLY</v>
      </c>
      <c r="BI140" t="str">
        <f>VLOOKUP(H140,Sheet2!$A$1:$B$270,2,FALSE)</f>
        <v>MADURA</v>
      </c>
    </row>
    <row r="141" spans="1:61">
      <c r="A141">
        <v>140</v>
      </c>
      <c r="B141">
        <v>1002621239</v>
      </c>
      <c r="C141">
        <v>3</v>
      </c>
      <c r="D141" t="s">
        <v>55</v>
      </c>
      <c r="E141">
        <v>5</v>
      </c>
      <c r="F141" t="s">
        <v>227</v>
      </c>
      <c r="G141" t="s">
        <v>121</v>
      </c>
      <c r="H141" t="s">
        <v>324</v>
      </c>
      <c r="I141" t="s">
        <v>212</v>
      </c>
      <c r="J141" t="s">
        <v>213</v>
      </c>
      <c r="K141" t="s">
        <v>149</v>
      </c>
      <c r="L141" t="s">
        <v>214</v>
      </c>
      <c r="M141" t="s">
        <v>224</v>
      </c>
      <c r="N141" t="s">
        <v>215</v>
      </c>
      <c r="O141" s="57">
        <v>46299.353182870371</v>
      </c>
      <c r="P141" s="57">
        <v>46300.340208333335</v>
      </c>
      <c r="Q141">
        <v>69403764</v>
      </c>
      <c r="S141">
        <v>152459201650</v>
      </c>
      <c r="T141" t="s">
        <v>1958</v>
      </c>
      <c r="U141" t="s">
        <v>1959</v>
      </c>
      <c r="V141" t="s">
        <v>1960</v>
      </c>
      <c r="Z141">
        <v>113.100963011384</v>
      </c>
      <c r="AA141">
        <v>-7.0686880701344297</v>
      </c>
      <c r="AB141" t="s">
        <v>1961</v>
      </c>
      <c r="AC141" t="s">
        <v>216</v>
      </c>
      <c r="AL141" t="s">
        <v>217</v>
      </c>
      <c r="AM141" t="s">
        <v>1962</v>
      </c>
      <c r="AN141" t="s">
        <v>6</v>
      </c>
      <c r="AO141" s="57">
        <v>46122.36136574074</v>
      </c>
      <c r="AP141" s="57">
        <v>46300.333333333336</v>
      </c>
      <c r="AR141" t="s">
        <v>18</v>
      </c>
      <c r="AS141" t="s">
        <v>219</v>
      </c>
      <c r="AT141" t="s">
        <v>220</v>
      </c>
      <c r="AV141" t="s">
        <v>226</v>
      </c>
      <c r="AW141" t="s">
        <v>835</v>
      </c>
      <c r="AX141" t="s">
        <v>222</v>
      </c>
      <c r="BA141" s="57">
        <v>46300.333333333336</v>
      </c>
      <c r="BB141" t="s">
        <v>1962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str">
        <f>VLOOKUP(H141,Sheet2!$A$1:$B$270,2,FALSE)</f>
        <v>MADURA</v>
      </c>
    </row>
    <row r="142" spans="1:61">
      <c r="A142">
        <v>141</v>
      </c>
      <c r="B142">
        <v>1002620451</v>
      </c>
      <c r="C142">
        <v>3</v>
      </c>
      <c r="D142" t="s">
        <v>55</v>
      </c>
      <c r="E142">
        <v>5</v>
      </c>
      <c r="F142" t="s">
        <v>227</v>
      </c>
      <c r="G142" t="s">
        <v>121</v>
      </c>
      <c r="H142" t="s">
        <v>442</v>
      </c>
      <c r="I142" t="s">
        <v>212</v>
      </c>
      <c r="J142" t="s">
        <v>213</v>
      </c>
      <c r="K142" t="s">
        <v>149</v>
      </c>
      <c r="M142" t="s">
        <v>841</v>
      </c>
      <c r="N142" t="s">
        <v>215</v>
      </c>
      <c r="O142" s="57">
        <v>46297.690555555557</v>
      </c>
      <c r="P142" s="57">
        <v>46300.368645833332</v>
      </c>
      <c r="Q142">
        <v>69403303</v>
      </c>
      <c r="S142">
        <v>152436205724</v>
      </c>
      <c r="T142" t="s">
        <v>1963</v>
      </c>
      <c r="U142" t="s">
        <v>1964</v>
      </c>
      <c r="V142" t="s">
        <v>1965</v>
      </c>
      <c r="Z142">
        <v>112.721456166957</v>
      </c>
      <c r="AA142">
        <v>-7.1255792169147698</v>
      </c>
      <c r="AB142" t="s">
        <v>1966</v>
      </c>
      <c r="AC142" t="s">
        <v>229</v>
      </c>
      <c r="AL142" t="s">
        <v>217</v>
      </c>
      <c r="AM142" t="s">
        <v>1967</v>
      </c>
      <c r="AN142" t="s">
        <v>6</v>
      </c>
      <c r="AO142" s="57">
        <v>46063.694699074076</v>
      </c>
      <c r="AP142" s="57">
        <v>46300.333333333336</v>
      </c>
      <c r="AR142" t="s">
        <v>1540</v>
      </c>
      <c r="AS142" t="s">
        <v>219</v>
      </c>
      <c r="AT142" t="s">
        <v>230</v>
      </c>
      <c r="AV142" t="s">
        <v>1968</v>
      </c>
      <c r="AW142" t="s">
        <v>540</v>
      </c>
      <c r="AX142" t="s">
        <v>222</v>
      </c>
      <c r="BA142" s="57">
        <v>46300.333333333336</v>
      </c>
      <c r="BB142" t="s">
        <v>1967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MADURA</v>
      </c>
    </row>
    <row r="143" spans="1:61">
      <c r="A143">
        <v>142</v>
      </c>
      <c r="B143">
        <v>1002620621</v>
      </c>
      <c r="C143">
        <v>3</v>
      </c>
      <c r="D143" t="s">
        <v>55</v>
      </c>
      <c r="E143">
        <v>5</v>
      </c>
      <c r="F143" t="s">
        <v>227</v>
      </c>
      <c r="G143" t="s">
        <v>121</v>
      </c>
      <c r="H143" t="s">
        <v>442</v>
      </c>
      <c r="I143" t="s">
        <v>212</v>
      </c>
      <c r="J143" t="s">
        <v>213</v>
      </c>
      <c r="K143" t="s">
        <v>149</v>
      </c>
      <c r="M143" t="s">
        <v>279</v>
      </c>
      <c r="N143" t="s">
        <v>215</v>
      </c>
      <c r="O143" s="57">
        <v>46297.754895833335</v>
      </c>
      <c r="P143" s="57">
        <v>46298.995613425926</v>
      </c>
      <c r="Q143">
        <v>69403384</v>
      </c>
      <c r="S143">
        <v>152436205726</v>
      </c>
      <c r="T143" t="s">
        <v>1969</v>
      </c>
      <c r="U143" t="s">
        <v>1970</v>
      </c>
      <c r="V143" t="s">
        <v>1971</v>
      </c>
      <c r="Z143">
        <v>112.8932922</v>
      </c>
      <c r="AA143">
        <v>-7.1542700000000004</v>
      </c>
      <c r="AB143" t="s">
        <v>1972</v>
      </c>
      <c r="AC143" t="s">
        <v>229</v>
      </c>
      <c r="AL143" t="s">
        <v>217</v>
      </c>
      <c r="AM143" t="s">
        <v>1973</v>
      </c>
      <c r="AN143" t="s">
        <v>6</v>
      </c>
      <c r="AO143" s="57">
        <v>46063.757476851853</v>
      </c>
      <c r="AP143" s="57">
        <v>46299.458333333336</v>
      </c>
      <c r="AR143" t="s">
        <v>239</v>
      </c>
      <c r="AS143" t="s">
        <v>219</v>
      </c>
      <c r="AT143" t="s">
        <v>220</v>
      </c>
      <c r="AV143" t="s">
        <v>799</v>
      </c>
      <c r="AW143" t="s">
        <v>1974</v>
      </c>
      <c r="AX143" t="s">
        <v>222</v>
      </c>
      <c r="BA143" s="57">
        <v>46299.458333333336</v>
      </c>
      <c r="BB143" t="s">
        <v>1973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MADURA</v>
      </c>
    </row>
    <row r="144" spans="1:61">
      <c r="A144">
        <v>143</v>
      </c>
      <c r="B144">
        <v>1002619289</v>
      </c>
      <c r="C144">
        <v>3</v>
      </c>
      <c r="D144" t="s">
        <v>55</v>
      </c>
      <c r="E144">
        <v>5</v>
      </c>
      <c r="F144" t="s">
        <v>227</v>
      </c>
      <c r="G144" t="s">
        <v>121</v>
      </c>
      <c r="H144" t="s">
        <v>332</v>
      </c>
      <c r="I144" t="s">
        <v>1563</v>
      </c>
      <c r="J144" t="s">
        <v>213</v>
      </c>
      <c r="K144" t="s">
        <v>149</v>
      </c>
      <c r="M144" t="s">
        <v>76</v>
      </c>
      <c r="N144" t="s">
        <v>1975</v>
      </c>
      <c r="O144" s="57">
        <v>46297.429606481484</v>
      </c>
      <c r="P144" s="57">
        <v>46298.675613425927</v>
      </c>
      <c r="Q144">
        <v>69402848</v>
      </c>
      <c r="S144">
        <v>152434914520</v>
      </c>
      <c r="T144" t="s">
        <v>1976</v>
      </c>
      <c r="U144" t="s">
        <v>1977</v>
      </c>
      <c r="V144" t="s">
        <v>1978</v>
      </c>
      <c r="Z144">
        <v>113.27666618223201</v>
      </c>
      <c r="AA144">
        <v>-7.2145977391677301</v>
      </c>
      <c r="AB144" t="s">
        <v>1979</v>
      </c>
      <c r="AC144" t="s">
        <v>1980</v>
      </c>
      <c r="AL144" t="s">
        <v>217</v>
      </c>
      <c r="AM144" t="s">
        <v>1979</v>
      </c>
      <c r="AN144" t="s">
        <v>6</v>
      </c>
      <c r="AO144" s="57">
        <v>46063.444386574076</v>
      </c>
      <c r="AQ144" t="s">
        <v>843</v>
      </c>
      <c r="AR144" t="s">
        <v>218</v>
      </c>
      <c r="AS144" t="s">
        <v>333</v>
      </c>
      <c r="AT144" t="s">
        <v>230</v>
      </c>
      <c r="AU144">
        <v>20261003</v>
      </c>
      <c r="AV144" t="s">
        <v>221</v>
      </c>
      <c r="AW144" t="s">
        <v>1451</v>
      </c>
      <c r="AX144" t="s">
        <v>222</v>
      </c>
      <c r="BA144" s="57">
        <v>46297.875</v>
      </c>
      <c r="BB144" t="s">
        <v>1979</v>
      </c>
      <c r="BC144">
        <v>2026</v>
      </c>
      <c r="BD144">
        <v>10</v>
      </c>
      <c r="BE144">
        <v>3</v>
      </c>
      <c r="BF144" s="6">
        <f t="shared" si="6"/>
        <v>46298</v>
      </c>
      <c r="BG144">
        <f t="shared" si="7"/>
        <v>0.125</v>
      </c>
      <c r="BH144" t="str">
        <f t="shared" si="8"/>
        <v>COMPLY</v>
      </c>
      <c r="BI144" t="str">
        <f>VLOOKUP(H144,Sheet2!$A$1:$B$270,2,FALSE)</f>
        <v>MADURA</v>
      </c>
    </row>
    <row r="145" spans="1:61">
      <c r="A145">
        <v>144</v>
      </c>
      <c r="B145">
        <v>1002621257</v>
      </c>
      <c r="C145">
        <v>3</v>
      </c>
      <c r="D145" t="s">
        <v>55</v>
      </c>
      <c r="E145">
        <v>5</v>
      </c>
      <c r="F145" t="s">
        <v>227</v>
      </c>
      <c r="G145" t="s">
        <v>127</v>
      </c>
      <c r="H145" t="s">
        <v>228</v>
      </c>
      <c r="I145" t="s">
        <v>212</v>
      </c>
      <c r="J145" t="s">
        <v>213</v>
      </c>
      <c r="K145" t="s">
        <v>149</v>
      </c>
      <c r="L145" t="s">
        <v>214</v>
      </c>
      <c r="M145" t="s">
        <v>224</v>
      </c>
      <c r="N145" t="s">
        <v>215</v>
      </c>
      <c r="O145" s="57">
        <v>46299.388599537036</v>
      </c>
      <c r="P145" s="57">
        <v>46300.343148148146</v>
      </c>
      <c r="Q145">
        <v>69403810</v>
      </c>
      <c r="S145">
        <v>152426929035</v>
      </c>
      <c r="T145" t="s">
        <v>1981</v>
      </c>
      <c r="U145" t="s">
        <v>1982</v>
      </c>
      <c r="V145" t="s">
        <v>1983</v>
      </c>
      <c r="Z145">
        <v>113.5122076</v>
      </c>
      <c r="AA145">
        <v>-7.0985389999999997</v>
      </c>
      <c r="AB145" t="s">
        <v>1984</v>
      </c>
      <c r="AC145" t="s">
        <v>216</v>
      </c>
      <c r="AL145" t="s">
        <v>217</v>
      </c>
      <c r="AM145" t="s">
        <v>1985</v>
      </c>
      <c r="AN145" t="s">
        <v>6</v>
      </c>
      <c r="AO145" s="57">
        <v>46122.392488425925</v>
      </c>
      <c r="AP145" s="57">
        <v>46300.333333333336</v>
      </c>
      <c r="AR145" t="s">
        <v>18</v>
      </c>
      <c r="AS145" t="s">
        <v>127</v>
      </c>
      <c r="AT145" t="s">
        <v>220</v>
      </c>
      <c r="AV145" t="s">
        <v>226</v>
      </c>
      <c r="AW145" t="s">
        <v>1501</v>
      </c>
      <c r="AX145" t="s">
        <v>222</v>
      </c>
      <c r="BA145" s="57">
        <v>46300.333333333336</v>
      </c>
      <c r="BB145" t="s">
        <v>1985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MADURA</v>
      </c>
    </row>
    <row r="146" spans="1:61">
      <c r="A146">
        <v>145</v>
      </c>
      <c r="B146">
        <v>1002617805</v>
      </c>
      <c r="C146">
        <v>3</v>
      </c>
      <c r="D146" t="s">
        <v>55</v>
      </c>
      <c r="E146">
        <v>5</v>
      </c>
      <c r="F146" t="s">
        <v>227</v>
      </c>
      <c r="G146" t="s">
        <v>127</v>
      </c>
      <c r="H146" t="s">
        <v>228</v>
      </c>
      <c r="I146" t="s">
        <v>212</v>
      </c>
      <c r="J146" t="s">
        <v>213</v>
      </c>
      <c r="K146" t="s">
        <v>149</v>
      </c>
      <c r="L146" t="s">
        <v>214</v>
      </c>
      <c r="M146" t="s">
        <v>76</v>
      </c>
      <c r="N146" t="s">
        <v>215</v>
      </c>
      <c r="O146" s="57">
        <v>46296.549062500002</v>
      </c>
      <c r="P146" s="57">
        <v>46296.781111111108</v>
      </c>
      <c r="Q146">
        <v>69402337</v>
      </c>
      <c r="S146">
        <v>152426927954</v>
      </c>
      <c r="T146" t="s">
        <v>1052</v>
      </c>
      <c r="U146" t="s">
        <v>1053</v>
      </c>
      <c r="V146" t="s">
        <v>1054</v>
      </c>
      <c r="Z146">
        <v>113.49644410000001</v>
      </c>
      <c r="AA146">
        <v>-7.1762366000000002</v>
      </c>
      <c r="AB146" t="s">
        <v>1055</v>
      </c>
      <c r="AC146" t="s">
        <v>216</v>
      </c>
      <c r="AL146" t="s">
        <v>217</v>
      </c>
      <c r="AM146" t="s">
        <v>1056</v>
      </c>
      <c r="AN146" t="s">
        <v>6</v>
      </c>
      <c r="AO146" s="57">
        <v>46032.559305555558</v>
      </c>
      <c r="AP146" s="57">
        <v>46297.458333333336</v>
      </c>
      <c r="AR146" t="s">
        <v>218</v>
      </c>
      <c r="AS146" t="s">
        <v>127</v>
      </c>
      <c r="AT146" t="s">
        <v>220</v>
      </c>
      <c r="AU146">
        <v>20261001</v>
      </c>
      <c r="AV146" t="s">
        <v>221</v>
      </c>
      <c r="AW146" t="s">
        <v>876</v>
      </c>
      <c r="AX146" t="s">
        <v>222</v>
      </c>
      <c r="BA146" s="57">
        <v>46297.458333333336</v>
      </c>
      <c r="BB146" t="s">
        <v>1056</v>
      </c>
      <c r="BC146">
        <v>2026</v>
      </c>
      <c r="BD146">
        <v>10</v>
      </c>
      <c r="BE146">
        <v>1</v>
      </c>
      <c r="BF146" s="6">
        <f t="shared" si="6"/>
        <v>46296</v>
      </c>
      <c r="BG146">
        <f t="shared" si="7"/>
        <v>-1.4583333333357587</v>
      </c>
      <c r="BH146" t="str">
        <f t="shared" si="8"/>
        <v>COMPLY</v>
      </c>
      <c r="BI146" t="str">
        <f>VLOOKUP(H146,Sheet2!$A$1:$B$270,2,FALSE)</f>
        <v>MADURA</v>
      </c>
    </row>
    <row r="147" spans="1:61">
      <c r="A147">
        <v>146</v>
      </c>
      <c r="B147">
        <v>1002618796</v>
      </c>
      <c r="C147">
        <v>3</v>
      </c>
      <c r="D147" t="s">
        <v>55</v>
      </c>
      <c r="E147">
        <v>5</v>
      </c>
      <c r="F147" t="s">
        <v>227</v>
      </c>
      <c r="G147" t="s">
        <v>127</v>
      </c>
      <c r="H147" t="s">
        <v>228</v>
      </c>
      <c r="I147" t="s">
        <v>212</v>
      </c>
      <c r="J147" t="s">
        <v>213</v>
      </c>
      <c r="K147" t="s">
        <v>149</v>
      </c>
      <c r="L147" t="s">
        <v>214</v>
      </c>
      <c r="M147" t="s">
        <v>76</v>
      </c>
      <c r="N147" t="s">
        <v>215</v>
      </c>
      <c r="O147" s="57">
        <v>46296.77684027778</v>
      </c>
      <c r="P147" s="57">
        <v>46297.622916666667</v>
      </c>
      <c r="Q147">
        <v>69402671</v>
      </c>
      <c r="S147">
        <v>152426929004</v>
      </c>
      <c r="T147" t="s">
        <v>916</v>
      </c>
      <c r="U147" t="s">
        <v>1057</v>
      </c>
      <c r="V147" t="s">
        <v>1058</v>
      </c>
      <c r="Z147">
        <v>113.49806908518001</v>
      </c>
      <c r="AA147">
        <v>-7.2094180077046204</v>
      </c>
      <c r="AB147" t="s">
        <v>1059</v>
      </c>
      <c r="AC147" t="s">
        <v>216</v>
      </c>
      <c r="AL147" t="s">
        <v>217</v>
      </c>
      <c r="AM147" t="s">
        <v>1060</v>
      </c>
      <c r="AN147" t="s">
        <v>6</v>
      </c>
      <c r="AO147" s="57">
        <v>46032.777997685182</v>
      </c>
      <c r="AP147" s="57">
        <v>46297.625</v>
      </c>
      <c r="AR147" t="s">
        <v>218</v>
      </c>
      <c r="AS147" t="s">
        <v>127</v>
      </c>
      <c r="AT147" t="s">
        <v>220</v>
      </c>
      <c r="AU147">
        <v>20261002</v>
      </c>
      <c r="AV147" t="s">
        <v>221</v>
      </c>
      <c r="AW147" t="s">
        <v>835</v>
      </c>
      <c r="AX147" t="s">
        <v>222</v>
      </c>
      <c r="BA147" s="57">
        <v>46297.625</v>
      </c>
      <c r="BB147" t="s">
        <v>1060</v>
      </c>
      <c r="BC147">
        <v>2026</v>
      </c>
      <c r="BD147">
        <v>10</v>
      </c>
      <c r="BE147">
        <v>2</v>
      </c>
      <c r="BF147" s="6">
        <f t="shared" si="6"/>
        <v>46297</v>
      </c>
      <c r="BG147">
        <f t="shared" si="7"/>
        <v>-0.625</v>
      </c>
      <c r="BH147" t="str">
        <f t="shared" si="8"/>
        <v>COMPLY</v>
      </c>
      <c r="BI147" t="str">
        <f>VLOOKUP(H147,Sheet2!$A$1:$B$270,2,FALSE)</f>
        <v>MADURA</v>
      </c>
    </row>
    <row r="148" spans="1:61">
      <c r="A148">
        <v>147</v>
      </c>
      <c r="B148">
        <v>1002619245</v>
      </c>
      <c r="C148">
        <v>3</v>
      </c>
      <c r="D148" t="s">
        <v>55</v>
      </c>
      <c r="E148">
        <v>5</v>
      </c>
      <c r="F148" t="s">
        <v>227</v>
      </c>
      <c r="G148" t="s">
        <v>127</v>
      </c>
      <c r="H148" t="s">
        <v>228</v>
      </c>
      <c r="I148" t="s">
        <v>212</v>
      </c>
      <c r="J148" t="s">
        <v>213</v>
      </c>
      <c r="K148" t="s">
        <v>149</v>
      </c>
      <c r="L148" t="s">
        <v>214</v>
      </c>
      <c r="M148" t="s">
        <v>76</v>
      </c>
      <c r="N148" t="s">
        <v>215</v>
      </c>
      <c r="O148" s="57">
        <v>46297.419907407406</v>
      </c>
      <c r="P148" s="57">
        <v>46297.788761574076</v>
      </c>
      <c r="Q148">
        <v>69402839</v>
      </c>
      <c r="S148">
        <v>152426929012</v>
      </c>
      <c r="T148" t="s">
        <v>1986</v>
      </c>
      <c r="U148" t="s">
        <v>1987</v>
      </c>
      <c r="V148" t="s">
        <v>1988</v>
      </c>
      <c r="Z148">
        <v>113.5561798</v>
      </c>
      <c r="AA148">
        <v>-7.1313855999999998</v>
      </c>
      <c r="AB148" t="s">
        <v>1989</v>
      </c>
      <c r="AC148" t="s">
        <v>216</v>
      </c>
      <c r="AL148" t="s">
        <v>217</v>
      </c>
      <c r="AM148" t="s">
        <v>1990</v>
      </c>
      <c r="AN148" t="s">
        <v>6</v>
      </c>
      <c r="AO148" s="57">
        <v>46063.42392361111</v>
      </c>
      <c r="AP148" s="57">
        <v>46298.333333333336</v>
      </c>
      <c r="AR148" t="s">
        <v>218</v>
      </c>
      <c r="AS148" t="s">
        <v>127</v>
      </c>
      <c r="AT148" t="s">
        <v>220</v>
      </c>
      <c r="AU148">
        <v>20261002</v>
      </c>
      <c r="AV148" t="s">
        <v>221</v>
      </c>
      <c r="AW148" t="s">
        <v>835</v>
      </c>
      <c r="AX148" t="s">
        <v>222</v>
      </c>
      <c r="BA148" s="57">
        <v>46298.333333333336</v>
      </c>
      <c r="BB148" t="s">
        <v>1990</v>
      </c>
      <c r="BC148">
        <v>2026</v>
      </c>
      <c r="BD148">
        <v>10</v>
      </c>
      <c r="BE148">
        <v>2</v>
      </c>
      <c r="BF148" s="6">
        <f t="shared" si="6"/>
        <v>46297</v>
      </c>
      <c r="BG148">
        <f t="shared" si="7"/>
        <v>-1.3333333333357587</v>
      </c>
      <c r="BH148" t="str">
        <f t="shared" si="8"/>
        <v>COMPLY</v>
      </c>
      <c r="BI148" t="str">
        <f>VLOOKUP(H148,Sheet2!$A$1:$B$270,2,FALSE)</f>
        <v>MADURA</v>
      </c>
    </row>
    <row r="149" spans="1:61">
      <c r="A149">
        <v>148</v>
      </c>
      <c r="B149">
        <v>1002619611</v>
      </c>
      <c r="C149">
        <v>3</v>
      </c>
      <c r="D149" t="s">
        <v>55</v>
      </c>
      <c r="E149">
        <v>5</v>
      </c>
      <c r="F149" t="s">
        <v>227</v>
      </c>
      <c r="G149" t="s">
        <v>127</v>
      </c>
      <c r="H149" t="s">
        <v>228</v>
      </c>
      <c r="I149" t="s">
        <v>212</v>
      </c>
      <c r="J149" t="s">
        <v>213</v>
      </c>
      <c r="K149" t="s">
        <v>149</v>
      </c>
      <c r="L149" t="s">
        <v>214</v>
      </c>
      <c r="M149" t="s">
        <v>279</v>
      </c>
      <c r="N149" t="s">
        <v>215</v>
      </c>
      <c r="O149" s="57">
        <v>46297.491423611114</v>
      </c>
      <c r="P149" s="57">
        <v>46297.914664351854</v>
      </c>
      <c r="Q149">
        <v>69402992</v>
      </c>
      <c r="S149">
        <v>152426929016</v>
      </c>
      <c r="T149" t="s">
        <v>1991</v>
      </c>
      <c r="U149" t="s">
        <v>1992</v>
      </c>
      <c r="V149" t="s">
        <v>1993</v>
      </c>
      <c r="Z149">
        <v>113.4595856</v>
      </c>
      <c r="AA149">
        <v>-7.1504399000000003</v>
      </c>
      <c r="AB149" t="s">
        <v>1994</v>
      </c>
      <c r="AC149" t="s">
        <v>216</v>
      </c>
      <c r="AL149" t="s">
        <v>217</v>
      </c>
      <c r="AM149" t="s">
        <v>1995</v>
      </c>
      <c r="AN149" t="s">
        <v>6</v>
      </c>
      <c r="AO149" s="57">
        <v>46063.507453703707</v>
      </c>
      <c r="AP149" s="57">
        <v>46298.333333333336</v>
      </c>
      <c r="AR149" t="s">
        <v>239</v>
      </c>
      <c r="AS149" t="s">
        <v>127</v>
      </c>
      <c r="AT149" t="s">
        <v>220</v>
      </c>
      <c r="AV149" t="s">
        <v>799</v>
      </c>
      <c r="AW149" t="s">
        <v>1501</v>
      </c>
      <c r="AX149" t="s">
        <v>222</v>
      </c>
      <c r="BA149" s="57">
        <v>46298.333333333336</v>
      </c>
      <c r="BB149" t="s">
        <v>1995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MADURA</v>
      </c>
    </row>
    <row r="150" spans="1:61">
      <c r="A150">
        <v>149</v>
      </c>
      <c r="B150">
        <v>1002619236</v>
      </c>
      <c r="C150">
        <v>3</v>
      </c>
      <c r="D150" t="s">
        <v>55</v>
      </c>
      <c r="E150">
        <v>5</v>
      </c>
      <c r="F150" t="s">
        <v>227</v>
      </c>
      <c r="G150" t="s">
        <v>127</v>
      </c>
      <c r="H150" t="s">
        <v>228</v>
      </c>
      <c r="I150" t="s">
        <v>212</v>
      </c>
      <c r="J150" t="s">
        <v>213</v>
      </c>
      <c r="K150" t="s">
        <v>149</v>
      </c>
      <c r="L150" t="s">
        <v>214</v>
      </c>
      <c r="M150" t="s">
        <v>279</v>
      </c>
      <c r="N150" t="s">
        <v>215</v>
      </c>
      <c r="O150" s="57">
        <v>46297.417824074073</v>
      </c>
      <c r="P150" s="57">
        <v>46297.913148148145</v>
      </c>
      <c r="Q150">
        <v>69402830</v>
      </c>
      <c r="S150">
        <v>152426929011</v>
      </c>
      <c r="T150" t="s">
        <v>1996</v>
      </c>
      <c r="U150" t="s">
        <v>1982</v>
      </c>
      <c r="V150" t="s">
        <v>1997</v>
      </c>
      <c r="Z150">
        <v>113.512112125754</v>
      </c>
      <c r="AA150">
        <v>-7.0988139258168896</v>
      </c>
      <c r="AB150" t="s">
        <v>1998</v>
      </c>
      <c r="AC150" t="s">
        <v>216</v>
      </c>
      <c r="AL150" t="s">
        <v>217</v>
      </c>
      <c r="AM150" t="s">
        <v>1999</v>
      </c>
      <c r="AN150" t="s">
        <v>6</v>
      </c>
      <c r="AO150" s="57">
        <v>46063.42392361111</v>
      </c>
      <c r="AP150" s="57">
        <v>46298.333333333336</v>
      </c>
      <c r="AR150" t="s">
        <v>239</v>
      </c>
      <c r="AS150" t="s">
        <v>127</v>
      </c>
      <c r="AT150" t="s">
        <v>230</v>
      </c>
      <c r="AV150" t="s">
        <v>799</v>
      </c>
      <c r="AW150" t="s">
        <v>2000</v>
      </c>
      <c r="AX150" t="s">
        <v>222</v>
      </c>
      <c r="BA150" s="57">
        <v>46298.333333333336</v>
      </c>
      <c r="BB150" t="s">
        <v>1999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MADURA</v>
      </c>
    </row>
    <row r="151" spans="1:61">
      <c r="A151">
        <v>150</v>
      </c>
      <c r="B151">
        <v>1002620828</v>
      </c>
      <c r="C151">
        <v>3</v>
      </c>
      <c r="D151" t="s">
        <v>55</v>
      </c>
      <c r="E151">
        <v>5</v>
      </c>
      <c r="F151" t="s">
        <v>227</v>
      </c>
      <c r="G151" t="s">
        <v>127</v>
      </c>
      <c r="H151" t="s">
        <v>228</v>
      </c>
      <c r="I151" t="s">
        <v>212</v>
      </c>
      <c r="J151" t="s">
        <v>213</v>
      </c>
      <c r="K151" t="s">
        <v>149</v>
      </c>
      <c r="L151" t="s">
        <v>214</v>
      </c>
      <c r="M151" t="s">
        <v>279</v>
      </c>
      <c r="N151" t="s">
        <v>215</v>
      </c>
      <c r="O151" s="57">
        <v>46298.438680555555</v>
      </c>
      <c r="P151" s="57">
        <v>46298.994722222225</v>
      </c>
      <c r="Q151">
        <v>69403515</v>
      </c>
      <c r="S151">
        <v>152426929025</v>
      </c>
      <c r="T151" t="s">
        <v>2001</v>
      </c>
      <c r="U151" t="s">
        <v>2002</v>
      </c>
      <c r="V151" t="s">
        <v>2003</v>
      </c>
      <c r="Z151">
        <v>113.48979439999999</v>
      </c>
      <c r="AA151">
        <v>-7.0546943000000004</v>
      </c>
      <c r="AB151" t="s">
        <v>2004</v>
      </c>
      <c r="AC151" t="s">
        <v>216</v>
      </c>
      <c r="AL151" t="s">
        <v>217</v>
      </c>
      <c r="AM151" t="s">
        <v>1705</v>
      </c>
      <c r="AN151" t="s">
        <v>6</v>
      </c>
      <c r="AO151" s="57">
        <v>46091.444571759261</v>
      </c>
      <c r="AP151" s="57">
        <v>46299.333333333336</v>
      </c>
      <c r="AR151" t="s">
        <v>239</v>
      </c>
      <c r="AS151" t="s">
        <v>127</v>
      </c>
      <c r="AT151" t="s">
        <v>220</v>
      </c>
      <c r="AV151" t="s">
        <v>799</v>
      </c>
      <c r="AW151" t="s">
        <v>1501</v>
      </c>
      <c r="AX151" t="s">
        <v>222</v>
      </c>
      <c r="BA151" s="57">
        <v>46299.333333333336</v>
      </c>
      <c r="BB151" t="s">
        <v>1705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str">
        <f>VLOOKUP(H151,Sheet2!$A$1:$B$270,2,FALSE)</f>
        <v>MADURA</v>
      </c>
    </row>
    <row r="152" spans="1:61">
      <c r="A152">
        <v>151</v>
      </c>
      <c r="B152">
        <v>1002617619</v>
      </c>
      <c r="C152">
        <v>3</v>
      </c>
      <c r="D152" t="s">
        <v>55</v>
      </c>
      <c r="E152">
        <v>5</v>
      </c>
      <c r="F152" t="s">
        <v>227</v>
      </c>
      <c r="G152" t="s">
        <v>127</v>
      </c>
      <c r="H152" t="s">
        <v>354</v>
      </c>
      <c r="I152" t="s">
        <v>212</v>
      </c>
      <c r="J152" t="s">
        <v>213</v>
      </c>
      <c r="K152" t="s">
        <v>149</v>
      </c>
      <c r="M152" t="s">
        <v>895</v>
      </c>
      <c r="N152" t="s">
        <v>215</v>
      </c>
      <c r="O152" s="57">
        <v>46296.483969907407</v>
      </c>
      <c r="P152" s="57">
        <v>46299.757349537038</v>
      </c>
      <c r="Q152">
        <v>69402269</v>
      </c>
      <c r="S152">
        <v>152454200101</v>
      </c>
      <c r="T152" t="s">
        <v>1061</v>
      </c>
      <c r="U152" t="s">
        <v>1062</v>
      </c>
      <c r="V152" t="s">
        <v>1063</v>
      </c>
      <c r="Z152">
        <v>115.2862231</v>
      </c>
      <c r="AA152">
        <v>-6.8636872000000002</v>
      </c>
      <c r="AB152" t="s">
        <v>1064</v>
      </c>
      <c r="AC152" t="s">
        <v>229</v>
      </c>
      <c r="AL152" t="s">
        <v>217</v>
      </c>
      <c r="AM152" t="s">
        <v>1065</v>
      </c>
      <c r="AN152" t="s">
        <v>6</v>
      </c>
      <c r="AO152" s="57">
        <v>46032.486342592594</v>
      </c>
      <c r="AP152" s="57">
        <v>46297.458333333336</v>
      </c>
      <c r="AR152" t="s">
        <v>886</v>
      </c>
      <c r="AS152" t="s">
        <v>219</v>
      </c>
      <c r="AT152" t="s">
        <v>230</v>
      </c>
      <c r="AV152" t="s">
        <v>896</v>
      </c>
      <c r="AW152" t="s">
        <v>540</v>
      </c>
      <c r="AX152" t="s">
        <v>222</v>
      </c>
      <c r="BA152" s="57">
        <v>46297.458333333336</v>
      </c>
      <c r="BB152" t="s">
        <v>1065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MADURA</v>
      </c>
    </row>
    <row r="153" spans="1:61">
      <c r="A153">
        <v>152</v>
      </c>
      <c r="B153">
        <v>1002619024</v>
      </c>
      <c r="C153">
        <v>3</v>
      </c>
      <c r="D153" t="s">
        <v>55</v>
      </c>
      <c r="E153">
        <v>5</v>
      </c>
      <c r="F153" t="s">
        <v>227</v>
      </c>
      <c r="G153" t="s">
        <v>127</v>
      </c>
      <c r="H153" t="s">
        <v>321</v>
      </c>
      <c r="I153" t="s">
        <v>212</v>
      </c>
      <c r="J153" t="s">
        <v>213</v>
      </c>
      <c r="K153" t="s">
        <v>149</v>
      </c>
      <c r="L153" t="s">
        <v>214</v>
      </c>
      <c r="M153" t="s">
        <v>76</v>
      </c>
      <c r="N153" t="s">
        <v>215</v>
      </c>
      <c r="O153" s="57">
        <v>46297.37060185185</v>
      </c>
      <c r="P153" s="57">
        <v>46298.511331018519</v>
      </c>
      <c r="Q153">
        <v>69402745</v>
      </c>
      <c r="S153">
        <v>152431232853</v>
      </c>
      <c r="T153" t="s">
        <v>2005</v>
      </c>
      <c r="U153" t="s">
        <v>2006</v>
      </c>
      <c r="V153" t="s">
        <v>2007</v>
      </c>
      <c r="Z153">
        <v>113.80601350217999</v>
      </c>
      <c r="AA153">
        <v>-7.1264812619946403</v>
      </c>
      <c r="AB153" t="s">
        <v>2008</v>
      </c>
      <c r="AC153" t="s">
        <v>216</v>
      </c>
      <c r="AL153" t="s">
        <v>217</v>
      </c>
      <c r="AM153" t="s">
        <v>2009</v>
      </c>
      <c r="AN153" t="s">
        <v>6</v>
      </c>
      <c r="AO153" s="57">
        <v>46063.39334490741</v>
      </c>
      <c r="AP153" s="57">
        <v>46298.333333333336</v>
      </c>
      <c r="AR153" t="s">
        <v>218</v>
      </c>
      <c r="AS153" t="s">
        <v>219</v>
      </c>
      <c r="AT153" t="s">
        <v>230</v>
      </c>
      <c r="AU153">
        <v>20261003</v>
      </c>
      <c r="AV153" t="s">
        <v>221</v>
      </c>
      <c r="AW153" t="s">
        <v>879</v>
      </c>
      <c r="AX153" t="s">
        <v>222</v>
      </c>
      <c r="BA153" s="57">
        <v>46298.333333333336</v>
      </c>
      <c r="BB153" t="s">
        <v>2009</v>
      </c>
      <c r="BC153">
        <v>2026</v>
      </c>
      <c r="BD153">
        <v>10</v>
      </c>
      <c r="BE153">
        <v>3</v>
      </c>
      <c r="BF153" s="6">
        <f t="shared" si="6"/>
        <v>46298</v>
      </c>
      <c r="BG153">
        <f t="shared" si="7"/>
        <v>-0.33333333333575865</v>
      </c>
      <c r="BH153" t="str">
        <f t="shared" si="8"/>
        <v>COMPLY</v>
      </c>
      <c r="BI153" t="str">
        <f>VLOOKUP(H153,Sheet2!$A$1:$B$270,2,FALSE)</f>
        <v>MADURA</v>
      </c>
    </row>
    <row r="154" spans="1:61">
      <c r="A154">
        <v>153</v>
      </c>
      <c r="B154">
        <v>1002617733</v>
      </c>
      <c r="C154">
        <v>3</v>
      </c>
      <c r="D154" t="s">
        <v>55</v>
      </c>
      <c r="E154">
        <v>5</v>
      </c>
      <c r="F154" t="s">
        <v>260</v>
      </c>
      <c r="G154" t="s">
        <v>123</v>
      </c>
      <c r="H154" t="s">
        <v>286</v>
      </c>
      <c r="I154" t="s">
        <v>212</v>
      </c>
      <c r="J154" t="s">
        <v>213</v>
      </c>
      <c r="K154" t="s">
        <v>149</v>
      </c>
      <c r="L154" t="s">
        <v>214</v>
      </c>
      <c r="M154" t="s">
        <v>841</v>
      </c>
      <c r="N154" t="s">
        <v>215</v>
      </c>
      <c r="O154" s="57">
        <v>46296.521979166668</v>
      </c>
      <c r="P154" s="57">
        <v>46298.65420138889</v>
      </c>
      <c r="Q154">
        <v>69402300</v>
      </c>
      <c r="S154">
        <v>152401227868</v>
      </c>
      <c r="T154" t="s">
        <v>1066</v>
      </c>
      <c r="U154" t="s">
        <v>1067</v>
      </c>
      <c r="V154" t="s">
        <v>1068</v>
      </c>
      <c r="Z154">
        <v>112.702551</v>
      </c>
      <c r="AA154">
        <v>-7.229495</v>
      </c>
      <c r="AB154" t="s">
        <v>1069</v>
      </c>
      <c r="AC154" t="s">
        <v>235</v>
      </c>
      <c r="AL154" t="s">
        <v>217</v>
      </c>
      <c r="AM154" t="s">
        <v>1070</v>
      </c>
      <c r="AN154" t="s">
        <v>6</v>
      </c>
      <c r="AO154" s="57">
        <v>46032.559305555558</v>
      </c>
      <c r="AP154" s="57">
        <v>46297.458333333336</v>
      </c>
      <c r="AQ154" t="s">
        <v>840</v>
      </c>
      <c r="AR154" t="s">
        <v>842</v>
      </c>
      <c r="AS154" t="s">
        <v>270</v>
      </c>
      <c r="AT154" t="s">
        <v>230</v>
      </c>
      <c r="AV154" t="s">
        <v>2010</v>
      </c>
      <c r="AW154" t="s">
        <v>877</v>
      </c>
      <c r="AX154" t="s">
        <v>222</v>
      </c>
      <c r="BA154" s="57">
        <v>46297.458333333336</v>
      </c>
      <c r="BB154" t="s">
        <v>1070</v>
      </c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str">
        <f>VLOOKUP(H154,Sheet2!$A$1:$B$270,2,FALSE)</f>
        <v>SURABAYA UTARA</v>
      </c>
    </row>
    <row r="155" spans="1:61">
      <c r="A155">
        <v>154</v>
      </c>
      <c r="B155">
        <v>1002618449</v>
      </c>
      <c r="C155">
        <v>3</v>
      </c>
      <c r="D155" t="s">
        <v>55</v>
      </c>
      <c r="E155">
        <v>5</v>
      </c>
      <c r="F155" t="s">
        <v>260</v>
      </c>
      <c r="G155" t="s">
        <v>123</v>
      </c>
      <c r="H155" t="s">
        <v>286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46296.660115740742</v>
      </c>
      <c r="P155" s="57">
        <v>46297.727210648147</v>
      </c>
      <c r="Q155">
        <v>69402539</v>
      </c>
      <c r="S155">
        <v>152401227873</v>
      </c>
      <c r="T155" t="s">
        <v>1071</v>
      </c>
      <c r="U155" t="s">
        <v>830</v>
      </c>
      <c r="V155" t="s">
        <v>1072</v>
      </c>
      <c r="Z155">
        <v>112.7438654</v>
      </c>
      <c r="AA155">
        <v>-7.2420342</v>
      </c>
      <c r="AB155" t="s">
        <v>1073</v>
      </c>
      <c r="AC155" t="s">
        <v>235</v>
      </c>
      <c r="AL155" t="s">
        <v>217</v>
      </c>
      <c r="AM155" t="s">
        <v>1074</v>
      </c>
      <c r="AN155" t="s">
        <v>6</v>
      </c>
      <c r="AO155" s="57">
        <v>46032.694421296299</v>
      </c>
      <c r="AP155" s="57">
        <v>46297.625</v>
      </c>
      <c r="AR155" t="s">
        <v>218</v>
      </c>
      <c r="AS155" t="s">
        <v>270</v>
      </c>
      <c r="AT155" t="s">
        <v>230</v>
      </c>
      <c r="AU155">
        <v>20261002</v>
      </c>
      <c r="AV155" t="s">
        <v>221</v>
      </c>
      <c r="AW155" t="s">
        <v>879</v>
      </c>
      <c r="AX155" t="s">
        <v>222</v>
      </c>
      <c r="BA155" s="57">
        <v>46297.625</v>
      </c>
      <c r="BB155" t="s">
        <v>1074</v>
      </c>
      <c r="BC155">
        <v>2026</v>
      </c>
      <c r="BD155">
        <v>10</v>
      </c>
      <c r="BE155">
        <v>2</v>
      </c>
      <c r="BF155" s="6">
        <f t="shared" si="6"/>
        <v>46297</v>
      </c>
      <c r="BG155">
        <f t="shared" si="7"/>
        <v>-0.625</v>
      </c>
      <c r="BH155" t="str">
        <f t="shared" si="8"/>
        <v>COMPLY</v>
      </c>
      <c r="BI155" t="str">
        <f>VLOOKUP(H155,Sheet2!$A$1:$B$270,2,FALSE)</f>
        <v>SURABAYA UTARA</v>
      </c>
    </row>
    <row r="156" spans="1:61">
      <c r="A156">
        <v>155</v>
      </c>
      <c r="B156">
        <v>1002619781</v>
      </c>
      <c r="C156">
        <v>3</v>
      </c>
      <c r="D156" t="s">
        <v>55</v>
      </c>
      <c r="E156">
        <v>5</v>
      </c>
      <c r="F156" t="s">
        <v>260</v>
      </c>
      <c r="G156" t="s">
        <v>123</v>
      </c>
      <c r="H156" t="s">
        <v>286</v>
      </c>
      <c r="I156" t="s">
        <v>212</v>
      </c>
      <c r="J156" t="s">
        <v>213</v>
      </c>
      <c r="K156" t="s">
        <v>149</v>
      </c>
      <c r="M156" t="s">
        <v>76</v>
      </c>
      <c r="N156" t="s">
        <v>215</v>
      </c>
      <c r="O156" s="57">
        <v>46297.561828703707</v>
      </c>
      <c r="P156" s="57">
        <v>46297.707488425927</v>
      </c>
      <c r="Q156">
        <v>69401978</v>
      </c>
      <c r="S156">
        <v>152401227893</v>
      </c>
      <c r="T156" t="s">
        <v>1096</v>
      </c>
      <c r="U156" t="s">
        <v>2011</v>
      </c>
      <c r="V156" t="s">
        <v>2012</v>
      </c>
      <c r="Z156">
        <v>112.73858971</v>
      </c>
      <c r="AA156">
        <v>-7.244665125</v>
      </c>
      <c r="AB156" t="s">
        <v>1099</v>
      </c>
      <c r="AC156" t="s">
        <v>229</v>
      </c>
      <c r="AL156" t="s">
        <v>217</v>
      </c>
      <c r="AM156" t="s">
        <v>2013</v>
      </c>
      <c r="AN156" t="s">
        <v>6</v>
      </c>
      <c r="AO156" s="57">
        <v>46063.569363425922</v>
      </c>
      <c r="AR156" t="s">
        <v>218</v>
      </c>
      <c r="AS156" t="s">
        <v>270</v>
      </c>
      <c r="AT156" t="s">
        <v>342</v>
      </c>
      <c r="AU156">
        <v>20261002</v>
      </c>
      <c r="AV156" t="s">
        <v>221</v>
      </c>
      <c r="AW156" t="s">
        <v>559</v>
      </c>
      <c r="AX156" t="s">
        <v>222</v>
      </c>
      <c r="BA156" s="57">
        <v>46297.291666666664</v>
      </c>
      <c r="BB156" t="s">
        <v>2013</v>
      </c>
      <c r="BC156">
        <v>2026</v>
      </c>
      <c r="BD156">
        <v>10</v>
      </c>
      <c r="BE156">
        <v>2</v>
      </c>
      <c r="BF156" s="6">
        <f t="shared" si="6"/>
        <v>46297</v>
      </c>
      <c r="BG156">
        <f t="shared" si="7"/>
        <v>-0.29166666666424135</v>
      </c>
      <c r="BH156" t="str">
        <f t="shared" si="8"/>
        <v>COMPLY</v>
      </c>
      <c r="BI156" t="str">
        <f>VLOOKUP(H156,Sheet2!$A$1:$B$270,2,FALSE)</f>
        <v>SURABAYA UTARA</v>
      </c>
    </row>
    <row r="157" spans="1:61">
      <c r="A157">
        <v>156</v>
      </c>
      <c r="B157">
        <v>1002620485</v>
      </c>
      <c r="C157">
        <v>3</v>
      </c>
      <c r="D157" t="s">
        <v>55</v>
      </c>
      <c r="E157">
        <v>5</v>
      </c>
      <c r="F157" t="s">
        <v>260</v>
      </c>
      <c r="G157" t="s">
        <v>123</v>
      </c>
      <c r="H157" t="s">
        <v>286</v>
      </c>
      <c r="I157" t="s">
        <v>212</v>
      </c>
      <c r="J157" t="s">
        <v>213</v>
      </c>
      <c r="K157" t="s">
        <v>149</v>
      </c>
      <c r="L157" t="s">
        <v>214</v>
      </c>
      <c r="M157" t="s">
        <v>76</v>
      </c>
      <c r="N157" t="s">
        <v>215</v>
      </c>
      <c r="O157" s="57">
        <v>46297.701851851853</v>
      </c>
      <c r="P157" s="57">
        <v>46298.634456018517</v>
      </c>
      <c r="Q157">
        <v>69403321</v>
      </c>
      <c r="S157">
        <v>152401227903</v>
      </c>
      <c r="T157" t="s">
        <v>2014</v>
      </c>
      <c r="U157" t="s">
        <v>2015</v>
      </c>
      <c r="V157" t="s">
        <v>2016</v>
      </c>
      <c r="Z157">
        <v>112.7438654</v>
      </c>
      <c r="AA157">
        <v>-7.2420342</v>
      </c>
      <c r="AB157" t="s">
        <v>2017</v>
      </c>
      <c r="AC157" t="s">
        <v>235</v>
      </c>
      <c r="AL157" t="s">
        <v>217</v>
      </c>
      <c r="AM157" t="s">
        <v>1425</v>
      </c>
      <c r="AN157" t="s">
        <v>6</v>
      </c>
      <c r="AO157" s="57">
        <v>46063.705462962964</v>
      </c>
      <c r="AP157" s="57">
        <v>46298.625</v>
      </c>
      <c r="AR157" t="s">
        <v>218</v>
      </c>
      <c r="AS157" t="s">
        <v>270</v>
      </c>
      <c r="AT157" t="s">
        <v>230</v>
      </c>
      <c r="AU157">
        <v>20261003</v>
      </c>
      <c r="AV157" t="s">
        <v>221</v>
      </c>
      <c r="AW157" t="s">
        <v>879</v>
      </c>
      <c r="AX157" t="s">
        <v>222</v>
      </c>
      <c r="BA157" s="57">
        <v>46298.625</v>
      </c>
      <c r="BB157" t="s">
        <v>1425</v>
      </c>
      <c r="BC157">
        <v>2026</v>
      </c>
      <c r="BD157">
        <v>10</v>
      </c>
      <c r="BE157">
        <v>3</v>
      </c>
      <c r="BF157" s="6">
        <f t="shared" si="6"/>
        <v>46298</v>
      </c>
      <c r="BG157">
        <f t="shared" si="7"/>
        <v>-0.625</v>
      </c>
      <c r="BH157" t="str">
        <f t="shared" si="8"/>
        <v>COMPLY</v>
      </c>
      <c r="BI157" t="str">
        <f>VLOOKUP(H157,Sheet2!$A$1:$B$270,2,FALSE)</f>
        <v>SURABAYA UTARA</v>
      </c>
    </row>
    <row r="158" spans="1:61">
      <c r="A158">
        <v>157</v>
      </c>
      <c r="B158">
        <v>1002618774</v>
      </c>
      <c r="C158">
        <v>3</v>
      </c>
      <c r="D158" t="s">
        <v>55</v>
      </c>
      <c r="E158">
        <v>5</v>
      </c>
      <c r="F158" t="s">
        <v>260</v>
      </c>
      <c r="G158" t="s">
        <v>123</v>
      </c>
      <c r="H158" t="s">
        <v>266</v>
      </c>
      <c r="I158" t="s">
        <v>212</v>
      </c>
      <c r="J158" t="s">
        <v>213</v>
      </c>
      <c r="K158" t="s">
        <v>149</v>
      </c>
      <c r="L158" t="s">
        <v>214</v>
      </c>
      <c r="M158" t="s">
        <v>76</v>
      </c>
      <c r="N158" t="s">
        <v>215</v>
      </c>
      <c r="O158" s="57">
        <v>46296.751157407409</v>
      </c>
      <c r="P158" s="57">
        <v>46297.547523148147</v>
      </c>
      <c r="Q158">
        <v>69402640</v>
      </c>
      <c r="S158">
        <v>152407282544</v>
      </c>
      <c r="T158" t="s">
        <v>1075</v>
      </c>
      <c r="U158" t="s">
        <v>1076</v>
      </c>
      <c r="V158" t="s">
        <v>1077</v>
      </c>
      <c r="Z158">
        <v>112.7890769</v>
      </c>
      <c r="AA158">
        <v>-7.2549155000000001</v>
      </c>
      <c r="AB158" t="s">
        <v>1078</v>
      </c>
      <c r="AC158" t="s">
        <v>216</v>
      </c>
      <c r="AL158" t="s">
        <v>217</v>
      </c>
      <c r="AM158" t="s">
        <v>1079</v>
      </c>
      <c r="AN158" t="s">
        <v>6</v>
      </c>
      <c r="AO158" s="57">
        <v>46032.757141203707</v>
      </c>
      <c r="AP158" s="57">
        <v>46297.625</v>
      </c>
      <c r="AR158" t="s">
        <v>218</v>
      </c>
      <c r="AS158" t="s">
        <v>123</v>
      </c>
      <c r="AT158" t="s">
        <v>230</v>
      </c>
      <c r="AU158">
        <v>20261002</v>
      </c>
      <c r="AV158" t="s">
        <v>221</v>
      </c>
      <c r="AW158" t="s">
        <v>879</v>
      </c>
      <c r="AX158" t="s">
        <v>222</v>
      </c>
      <c r="BA158" s="57">
        <v>46297.625</v>
      </c>
      <c r="BB158" t="s">
        <v>1079</v>
      </c>
      <c r="BC158">
        <v>2026</v>
      </c>
      <c r="BD158">
        <v>10</v>
      </c>
      <c r="BE158">
        <v>2</v>
      </c>
      <c r="BF158" s="6">
        <f t="shared" si="6"/>
        <v>46297</v>
      </c>
      <c r="BG158">
        <f t="shared" si="7"/>
        <v>-0.625</v>
      </c>
      <c r="BH158" t="str">
        <f t="shared" si="8"/>
        <v>COMPLY</v>
      </c>
      <c r="BI158" t="str">
        <f>VLOOKUP(H158,Sheet2!$A$1:$B$270,2,FALSE)</f>
        <v>SURABAYA UTARA</v>
      </c>
    </row>
    <row r="159" spans="1:61">
      <c r="A159">
        <v>158</v>
      </c>
      <c r="B159">
        <v>1002619450</v>
      </c>
      <c r="C159">
        <v>3</v>
      </c>
      <c r="D159" t="s">
        <v>55</v>
      </c>
      <c r="E159">
        <v>5</v>
      </c>
      <c r="F159" t="s">
        <v>260</v>
      </c>
      <c r="G159" t="s">
        <v>123</v>
      </c>
      <c r="H159" t="s">
        <v>383</v>
      </c>
      <c r="I159" t="s">
        <v>1563</v>
      </c>
      <c r="J159" t="s">
        <v>213</v>
      </c>
      <c r="K159" t="s">
        <v>149</v>
      </c>
      <c r="M159" t="s">
        <v>841</v>
      </c>
      <c r="N159" t="s">
        <v>1975</v>
      </c>
      <c r="O159" s="57">
        <v>46297.457719907405</v>
      </c>
      <c r="P159" s="57">
        <v>46298.995972222219</v>
      </c>
      <c r="Q159">
        <v>69402912</v>
      </c>
      <c r="S159">
        <v>152404215689</v>
      </c>
      <c r="T159" t="s">
        <v>2018</v>
      </c>
      <c r="U159" t="s">
        <v>2019</v>
      </c>
      <c r="V159" t="s">
        <v>2020</v>
      </c>
      <c r="Z159">
        <v>112.75882627836</v>
      </c>
      <c r="AA159">
        <v>-7.2229637213760496</v>
      </c>
      <c r="AB159" t="s">
        <v>2021</v>
      </c>
      <c r="AC159" t="s">
        <v>1980</v>
      </c>
      <c r="AL159" t="s">
        <v>217</v>
      </c>
      <c r="AM159" t="s">
        <v>2021</v>
      </c>
      <c r="AN159" t="s">
        <v>6</v>
      </c>
      <c r="AO159" s="57">
        <v>46063.466053240743</v>
      </c>
      <c r="AQ159" t="s">
        <v>843</v>
      </c>
      <c r="AR159" t="s">
        <v>842</v>
      </c>
      <c r="AS159" t="s">
        <v>535</v>
      </c>
      <c r="AT159" t="s">
        <v>230</v>
      </c>
      <c r="AV159" t="s">
        <v>2022</v>
      </c>
      <c r="AW159" t="s">
        <v>1451</v>
      </c>
      <c r="AX159" t="s">
        <v>222</v>
      </c>
      <c r="BA159" s="57">
        <v>46297.875</v>
      </c>
      <c r="BB159" t="s">
        <v>2021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SURABAYA UTARA</v>
      </c>
    </row>
    <row r="160" spans="1:61">
      <c r="A160">
        <v>159</v>
      </c>
      <c r="B160">
        <v>1002621211</v>
      </c>
      <c r="C160">
        <v>3</v>
      </c>
      <c r="D160" t="s">
        <v>55</v>
      </c>
      <c r="E160">
        <v>5</v>
      </c>
      <c r="F160" t="s">
        <v>260</v>
      </c>
      <c r="G160" t="s">
        <v>123</v>
      </c>
      <c r="H160" t="s">
        <v>383</v>
      </c>
      <c r="I160" t="s">
        <v>212</v>
      </c>
      <c r="J160" t="s">
        <v>213</v>
      </c>
      <c r="K160" t="s">
        <v>149</v>
      </c>
      <c r="M160" t="s">
        <v>76</v>
      </c>
      <c r="N160" t="s">
        <v>215</v>
      </c>
      <c r="O160" s="57">
        <v>46298.820428240739</v>
      </c>
      <c r="P160" s="57">
        <v>46298.892604166664</v>
      </c>
      <c r="Q160">
        <v>69401333</v>
      </c>
      <c r="S160">
        <v>152404215795</v>
      </c>
      <c r="T160" t="s">
        <v>2023</v>
      </c>
      <c r="U160" t="s">
        <v>2024</v>
      </c>
      <c r="V160" t="s">
        <v>2025</v>
      </c>
      <c r="Z160">
        <v>112.74388253688799</v>
      </c>
      <c r="AA160">
        <v>-7.2366479042795504</v>
      </c>
      <c r="AB160" t="s">
        <v>2026</v>
      </c>
      <c r="AC160" t="s">
        <v>216</v>
      </c>
      <c r="AL160" t="s">
        <v>217</v>
      </c>
      <c r="AM160" t="s">
        <v>2027</v>
      </c>
      <c r="AN160" t="s">
        <v>6</v>
      </c>
      <c r="AO160" s="57">
        <v>46091.830150462964</v>
      </c>
      <c r="AR160" t="s">
        <v>218</v>
      </c>
      <c r="AS160" t="s">
        <v>535</v>
      </c>
      <c r="AT160" t="s">
        <v>342</v>
      </c>
      <c r="AU160">
        <v>20261003</v>
      </c>
      <c r="AV160" t="s">
        <v>221</v>
      </c>
      <c r="AW160" t="s">
        <v>540</v>
      </c>
      <c r="AX160" t="s">
        <v>222</v>
      </c>
      <c r="BA160" s="57">
        <v>46298.291666666664</v>
      </c>
      <c r="BB160" t="s">
        <v>2027</v>
      </c>
      <c r="BC160">
        <v>2026</v>
      </c>
      <c r="BD160">
        <v>10</v>
      </c>
      <c r="BE160">
        <v>3</v>
      </c>
      <c r="BF160" s="6">
        <f t="shared" si="6"/>
        <v>46298</v>
      </c>
      <c r="BG160">
        <f t="shared" si="7"/>
        <v>-0.29166666666424135</v>
      </c>
      <c r="BH160" t="str">
        <f t="shared" si="8"/>
        <v>COMPLY</v>
      </c>
      <c r="BI160" t="str">
        <f>VLOOKUP(H160,Sheet2!$A$1:$B$270,2,FALSE)</f>
        <v>SURABAYA UTARA</v>
      </c>
    </row>
    <row r="161" spans="1:61">
      <c r="A161">
        <v>160</v>
      </c>
      <c r="B161">
        <v>1002620760</v>
      </c>
      <c r="C161">
        <v>3</v>
      </c>
      <c r="D161" t="s">
        <v>55</v>
      </c>
      <c r="E161">
        <v>5</v>
      </c>
      <c r="F161" t="s">
        <v>260</v>
      </c>
      <c r="G161" t="s">
        <v>123</v>
      </c>
      <c r="H161" t="s">
        <v>383</v>
      </c>
      <c r="I161" t="s">
        <v>212</v>
      </c>
      <c r="J161" t="s">
        <v>213</v>
      </c>
      <c r="K161" t="s">
        <v>149</v>
      </c>
      <c r="L161" t="s">
        <v>214</v>
      </c>
      <c r="M161" t="s">
        <v>279</v>
      </c>
      <c r="N161" t="s">
        <v>215</v>
      </c>
      <c r="O161" s="57">
        <v>46298.387233796297</v>
      </c>
      <c r="P161" s="57">
        <v>46298.995138888888</v>
      </c>
      <c r="Q161">
        <v>69403463</v>
      </c>
      <c r="S161">
        <v>152404215732</v>
      </c>
      <c r="T161" t="s">
        <v>2028</v>
      </c>
      <c r="U161" t="s">
        <v>2029</v>
      </c>
      <c r="V161" t="s">
        <v>2030</v>
      </c>
      <c r="Z161">
        <v>112.7471017</v>
      </c>
      <c r="AA161">
        <v>-7.2423491999999996</v>
      </c>
      <c r="AB161" t="s">
        <v>2031</v>
      </c>
      <c r="AC161" t="s">
        <v>235</v>
      </c>
      <c r="AL161" t="s">
        <v>217</v>
      </c>
      <c r="AM161" t="s">
        <v>2032</v>
      </c>
      <c r="AN161" t="s">
        <v>6</v>
      </c>
      <c r="AO161" s="57">
        <v>46091.392974537041</v>
      </c>
      <c r="AP161" s="57">
        <v>46299.416666666664</v>
      </c>
      <c r="AR161" t="s">
        <v>239</v>
      </c>
      <c r="AS161" t="s">
        <v>535</v>
      </c>
      <c r="AT161" t="s">
        <v>230</v>
      </c>
      <c r="AV161" t="s">
        <v>799</v>
      </c>
      <c r="AW161" t="s">
        <v>882</v>
      </c>
      <c r="AX161" t="s">
        <v>222</v>
      </c>
      <c r="BA161" s="57">
        <v>46299.416666666664</v>
      </c>
      <c r="BB161" t="s">
        <v>2032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SURABAYA UTARA</v>
      </c>
    </row>
    <row r="162" spans="1:61">
      <c r="A162">
        <v>161</v>
      </c>
      <c r="B162">
        <v>1002621336</v>
      </c>
      <c r="C162">
        <v>3</v>
      </c>
      <c r="D162" t="s">
        <v>55</v>
      </c>
      <c r="E162">
        <v>5</v>
      </c>
      <c r="F162" t="s">
        <v>260</v>
      </c>
      <c r="G162" t="s">
        <v>123</v>
      </c>
      <c r="H162" t="s">
        <v>383</v>
      </c>
      <c r="I162" t="s">
        <v>212</v>
      </c>
      <c r="J162" t="s">
        <v>213</v>
      </c>
      <c r="K162" t="s">
        <v>149</v>
      </c>
      <c r="L162" t="s">
        <v>214</v>
      </c>
      <c r="M162" t="s">
        <v>238</v>
      </c>
      <c r="N162" t="s">
        <v>215</v>
      </c>
      <c r="O162" s="57">
        <v>46299.485127314816</v>
      </c>
      <c r="P162" s="57">
        <v>46299.486122685186</v>
      </c>
      <c r="Q162">
        <v>69403852</v>
      </c>
      <c r="S162">
        <v>152404215825</v>
      </c>
      <c r="T162" t="s">
        <v>2033</v>
      </c>
      <c r="U162" t="s">
        <v>2029</v>
      </c>
      <c r="V162" t="s">
        <v>2034</v>
      </c>
      <c r="Z162">
        <v>112.7471017</v>
      </c>
      <c r="AA162">
        <v>-7.2423491999999996</v>
      </c>
      <c r="AB162" t="s">
        <v>2035</v>
      </c>
      <c r="AC162" t="s">
        <v>235</v>
      </c>
      <c r="AL162" t="s">
        <v>217</v>
      </c>
      <c r="AM162" t="s">
        <v>2036</v>
      </c>
      <c r="AN162" t="s">
        <v>6</v>
      </c>
      <c r="AO162" s="57">
        <v>46122.48609953704</v>
      </c>
      <c r="AP162" s="57">
        <v>46300.416666666664</v>
      </c>
      <c r="AR162" t="s">
        <v>239</v>
      </c>
      <c r="AS162" t="s">
        <v>535</v>
      </c>
      <c r="AT162" t="s">
        <v>230</v>
      </c>
      <c r="AV162" t="s">
        <v>238</v>
      </c>
      <c r="AW162" t="s">
        <v>882</v>
      </c>
      <c r="AX162" t="s">
        <v>222</v>
      </c>
      <c r="BA162" s="57">
        <v>46300.416666666664</v>
      </c>
      <c r="BB162" t="s">
        <v>2036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str">
        <f>VLOOKUP(H162,Sheet2!$A$1:$B$270,2,FALSE)</f>
        <v>SURABAYA UTARA</v>
      </c>
    </row>
    <row r="163" spans="1:61">
      <c r="A163">
        <v>162</v>
      </c>
      <c r="B163">
        <v>1002617724</v>
      </c>
      <c r="C163">
        <v>3</v>
      </c>
      <c r="D163" t="s">
        <v>55</v>
      </c>
      <c r="E163">
        <v>5</v>
      </c>
      <c r="F163" t="s">
        <v>305</v>
      </c>
      <c r="G163" t="s">
        <v>124</v>
      </c>
      <c r="H163" t="s">
        <v>327</v>
      </c>
      <c r="I163" t="s">
        <v>212</v>
      </c>
      <c r="J163" t="s">
        <v>213</v>
      </c>
      <c r="K163" t="s">
        <v>149</v>
      </c>
      <c r="L163" t="s">
        <v>214</v>
      </c>
      <c r="M163" t="s">
        <v>76</v>
      </c>
      <c r="N163" t="s">
        <v>215</v>
      </c>
      <c r="O163" s="57">
        <v>46296.517824074072</v>
      </c>
      <c r="P163" s="57">
        <v>46296.739386574074</v>
      </c>
      <c r="Q163">
        <v>69402297</v>
      </c>
      <c r="S163">
        <v>152306253477</v>
      </c>
      <c r="T163" t="s">
        <v>1080</v>
      </c>
      <c r="U163" t="s">
        <v>1081</v>
      </c>
      <c r="V163" t="s">
        <v>1082</v>
      </c>
      <c r="Z163">
        <v>112.71421218835999</v>
      </c>
      <c r="AA163">
        <v>-7.3092286293536404</v>
      </c>
      <c r="AB163" t="s">
        <v>1083</v>
      </c>
      <c r="AC163" t="s">
        <v>851</v>
      </c>
      <c r="AL163" t="s">
        <v>217</v>
      </c>
      <c r="AM163" t="s">
        <v>1084</v>
      </c>
      <c r="AN163" t="s">
        <v>6</v>
      </c>
      <c r="AO163" s="57">
        <v>46032.559305555558</v>
      </c>
      <c r="AP163" s="57">
        <v>46297.458333333336</v>
      </c>
      <c r="AR163" t="s">
        <v>218</v>
      </c>
      <c r="AS163" t="s">
        <v>816</v>
      </c>
      <c r="AT163" t="s">
        <v>230</v>
      </c>
      <c r="AU163">
        <v>20261001</v>
      </c>
      <c r="AV163" t="s">
        <v>221</v>
      </c>
      <c r="AW163" t="s">
        <v>882</v>
      </c>
      <c r="AX163" t="s">
        <v>222</v>
      </c>
      <c r="BA163" s="57">
        <v>46297.458333333336</v>
      </c>
      <c r="BB163" t="s">
        <v>1084</v>
      </c>
      <c r="BC163">
        <v>2026</v>
      </c>
      <c r="BD163">
        <v>10</v>
      </c>
      <c r="BE163">
        <v>1</v>
      </c>
      <c r="BF163" s="6">
        <f t="shared" si="6"/>
        <v>46296</v>
      </c>
      <c r="BG163">
        <f t="shared" si="7"/>
        <v>-1.4583333333357587</v>
      </c>
      <c r="BH163" t="str">
        <f t="shared" si="8"/>
        <v>COMPLY</v>
      </c>
      <c r="BI163" t="str">
        <f>VLOOKUP(H163,Sheet2!$A$1:$B$270,2,FALSE)</f>
        <v>SURABAYA SELATAN</v>
      </c>
    </row>
    <row r="164" spans="1:61">
      <c r="A164">
        <v>163</v>
      </c>
      <c r="B164">
        <v>1002618255</v>
      </c>
      <c r="C164">
        <v>3</v>
      </c>
      <c r="D164" t="s">
        <v>55</v>
      </c>
      <c r="E164">
        <v>5</v>
      </c>
      <c r="F164" t="s">
        <v>305</v>
      </c>
      <c r="G164" t="s">
        <v>124</v>
      </c>
      <c r="H164" t="s">
        <v>327</v>
      </c>
      <c r="I164" t="s">
        <v>212</v>
      </c>
      <c r="J164" t="s">
        <v>213</v>
      </c>
      <c r="K164" t="s">
        <v>149</v>
      </c>
      <c r="M164" t="s">
        <v>76</v>
      </c>
      <c r="N164" t="s">
        <v>215</v>
      </c>
      <c r="O164" s="57">
        <v>46296.630937499998</v>
      </c>
      <c r="P164" s="57">
        <v>46297.815462962964</v>
      </c>
      <c r="Q164">
        <v>69402505</v>
      </c>
      <c r="S164">
        <v>152306253141</v>
      </c>
      <c r="T164" t="s">
        <v>1085</v>
      </c>
      <c r="U164" t="s">
        <v>1086</v>
      </c>
      <c r="V164" t="s">
        <v>1087</v>
      </c>
      <c r="Z164">
        <v>112.73451573690301</v>
      </c>
      <c r="AA164">
        <v>-7.3086894955617998</v>
      </c>
      <c r="AB164" t="s">
        <v>1088</v>
      </c>
      <c r="AC164" t="s">
        <v>284</v>
      </c>
      <c r="AL164" t="s">
        <v>217</v>
      </c>
      <c r="AM164" t="s">
        <v>1089</v>
      </c>
      <c r="AN164" t="s">
        <v>6</v>
      </c>
      <c r="AO164" s="57">
        <v>46032.632627314815</v>
      </c>
      <c r="AP164" s="57">
        <v>46297.625</v>
      </c>
      <c r="AR164" t="s">
        <v>218</v>
      </c>
      <c r="AS164" t="s">
        <v>816</v>
      </c>
      <c r="AT164" t="s">
        <v>230</v>
      </c>
      <c r="AU164">
        <v>20261002</v>
      </c>
      <c r="AV164" t="s">
        <v>221</v>
      </c>
      <c r="AW164" t="s">
        <v>861</v>
      </c>
      <c r="AX164" t="s">
        <v>222</v>
      </c>
      <c r="BA164" s="57">
        <v>46297.625</v>
      </c>
      <c r="BB164" t="s">
        <v>1089</v>
      </c>
      <c r="BC164">
        <v>2026</v>
      </c>
      <c r="BD164">
        <v>10</v>
      </c>
      <c r="BE164">
        <v>2</v>
      </c>
      <c r="BF164" s="6">
        <f t="shared" si="6"/>
        <v>46297</v>
      </c>
      <c r="BG164">
        <f t="shared" si="7"/>
        <v>-0.625</v>
      </c>
      <c r="BH164" t="str">
        <f t="shared" si="8"/>
        <v>COMPLY</v>
      </c>
      <c r="BI164" t="str">
        <f>VLOOKUP(H164,Sheet2!$A$1:$B$270,2,FALSE)</f>
        <v>SURABAYA SELATAN</v>
      </c>
    </row>
    <row r="165" spans="1:61">
      <c r="A165">
        <v>164</v>
      </c>
      <c r="B165">
        <v>1002620955</v>
      </c>
      <c r="C165">
        <v>3</v>
      </c>
      <c r="D165" t="s">
        <v>55</v>
      </c>
      <c r="E165">
        <v>5</v>
      </c>
      <c r="F165" t="s">
        <v>305</v>
      </c>
      <c r="G165" t="s">
        <v>124</v>
      </c>
      <c r="H165" t="s">
        <v>327</v>
      </c>
      <c r="I165" t="s">
        <v>212</v>
      </c>
      <c r="J165" t="s">
        <v>213</v>
      </c>
      <c r="K165" t="s">
        <v>149</v>
      </c>
      <c r="L165" t="s">
        <v>214</v>
      </c>
      <c r="M165" t="s">
        <v>76</v>
      </c>
      <c r="N165" t="s">
        <v>215</v>
      </c>
      <c r="O165" s="57">
        <v>46298.54074074074</v>
      </c>
      <c r="P165" s="57">
        <v>46298.713645833333</v>
      </c>
      <c r="Q165">
        <v>69403579</v>
      </c>
      <c r="S165">
        <v>152306253486</v>
      </c>
      <c r="T165" t="s">
        <v>2037</v>
      </c>
      <c r="U165" t="s">
        <v>2038</v>
      </c>
      <c r="V165" t="s">
        <v>2039</v>
      </c>
      <c r="Z165">
        <v>112.72749349999999</v>
      </c>
      <c r="AA165">
        <v>-7.3453318999999997</v>
      </c>
      <c r="AB165" t="s">
        <v>2040</v>
      </c>
      <c r="AC165" t="s">
        <v>235</v>
      </c>
      <c r="AL165" t="s">
        <v>217</v>
      </c>
      <c r="AM165" t="s">
        <v>2041</v>
      </c>
      <c r="AN165" t="s">
        <v>6</v>
      </c>
      <c r="AO165" s="57">
        <v>46091.549074074072</v>
      </c>
      <c r="AP165" s="57">
        <v>46300.333333333336</v>
      </c>
      <c r="AR165" t="s">
        <v>218</v>
      </c>
      <c r="AS165" t="s">
        <v>816</v>
      </c>
      <c r="AT165" t="s">
        <v>230</v>
      </c>
      <c r="AU165">
        <v>20261003</v>
      </c>
      <c r="AV165" t="s">
        <v>221</v>
      </c>
      <c r="AW165" t="s">
        <v>882</v>
      </c>
      <c r="AX165" t="s">
        <v>222</v>
      </c>
      <c r="BA165" s="57">
        <v>46300.333333333336</v>
      </c>
      <c r="BB165" t="s">
        <v>2041</v>
      </c>
      <c r="BC165">
        <v>2026</v>
      </c>
      <c r="BD165">
        <v>10</v>
      </c>
      <c r="BE165">
        <v>3</v>
      </c>
      <c r="BF165" s="6">
        <f t="shared" si="6"/>
        <v>46298</v>
      </c>
      <c r="BG165">
        <f t="shared" si="7"/>
        <v>-2.3333333333357587</v>
      </c>
      <c r="BH165" t="str">
        <f t="shared" si="8"/>
        <v>COMPLY</v>
      </c>
      <c r="BI165" t="str">
        <f>VLOOKUP(H165,Sheet2!$A$1:$B$270,2,FALSE)</f>
        <v>SURABAYA SELATAN</v>
      </c>
    </row>
    <row r="166" spans="1:61">
      <c r="A166">
        <v>165</v>
      </c>
      <c r="B166">
        <v>1002620353</v>
      </c>
      <c r="C166">
        <v>3</v>
      </c>
      <c r="D166" t="s">
        <v>55</v>
      </c>
      <c r="E166">
        <v>5</v>
      </c>
      <c r="F166" t="s">
        <v>260</v>
      </c>
      <c r="G166" t="s">
        <v>128</v>
      </c>
      <c r="H166" t="s">
        <v>350</v>
      </c>
      <c r="I166" t="s">
        <v>212</v>
      </c>
      <c r="J166" t="s">
        <v>213</v>
      </c>
      <c r="K166" t="s">
        <v>149</v>
      </c>
      <c r="L166" t="s">
        <v>214</v>
      </c>
      <c r="M166" t="s">
        <v>76</v>
      </c>
      <c r="N166" t="s">
        <v>215</v>
      </c>
      <c r="O166" s="57">
        <v>46297.663657407407</v>
      </c>
      <c r="P166" s="57">
        <v>46298.485358796293</v>
      </c>
      <c r="Q166">
        <v>69403272</v>
      </c>
      <c r="S166">
        <v>152412249599</v>
      </c>
      <c r="T166" t="s">
        <v>2042</v>
      </c>
      <c r="U166" t="s">
        <v>2043</v>
      </c>
      <c r="V166" t="s">
        <v>2044</v>
      </c>
      <c r="Z166">
        <v>112.6537841</v>
      </c>
      <c r="AA166">
        <v>-7.2527160999999998</v>
      </c>
      <c r="AB166" t="s">
        <v>2045</v>
      </c>
      <c r="AC166" t="s">
        <v>235</v>
      </c>
      <c r="AL166" t="s">
        <v>217</v>
      </c>
      <c r="AM166" t="s">
        <v>2046</v>
      </c>
      <c r="AN166" t="s">
        <v>6</v>
      </c>
      <c r="AO166" s="57">
        <v>46063.673761574071</v>
      </c>
      <c r="AP166" s="57">
        <v>46299.458333333336</v>
      </c>
      <c r="AR166" t="s">
        <v>218</v>
      </c>
      <c r="AS166" t="s">
        <v>573</v>
      </c>
      <c r="AT166" t="s">
        <v>230</v>
      </c>
      <c r="AU166">
        <v>20261003</v>
      </c>
      <c r="AV166" t="s">
        <v>221</v>
      </c>
      <c r="AW166" t="s">
        <v>883</v>
      </c>
      <c r="AX166" t="s">
        <v>222</v>
      </c>
      <c r="BA166" s="57">
        <v>46299.458333333336</v>
      </c>
      <c r="BB166" t="s">
        <v>2046</v>
      </c>
      <c r="BC166">
        <v>2026</v>
      </c>
      <c r="BD166">
        <v>10</v>
      </c>
      <c r="BE166">
        <v>3</v>
      </c>
      <c r="BF166" s="6">
        <f t="shared" si="6"/>
        <v>46298</v>
      </c>
      <c r="BG166">
        <f t="shared" si="7"/>
        <v>-1.4583333333357587</v>
      </c>
      <c r="BH166" t="str">
        <f t="shared" si="8"/>
        <v>COMPLY</v>
      </c>
      <c r="BI166" t="str">
        <f>VLOOKUP(H166,Sheet2!$A$1:$B$270,2,FALSE)</f>
        <v>SURABAYA UTARA</v>
      </c>
    </row>
    <row r="167" spans="1:61">
      <c r="A167">
        <v>166</v>
      </c>
      <c r="B167">
        <v>1002617848</v>
      </c>
      <c r="C167">
        <v>3</v>
      </c>
      <c r="D167" t="s">
        <v>55</v>
      </c>
      <c r="E167">
        <v>5</v>
      </c>
      <c r="F167" t="s">
        <v>260</v>
      </c>
      <c r="G167" t="s">
        <v>128</v>
      </c>
      <c r="H167" t="s">
        <v>449</v>
      </c>
      <c r="I167" t="s">
        <v>212</v>
      </c>
      <c r="J167" t="s">
        <v>213</v>
      </c>
      <c r="K167" t="s">
        <v>149</v>
      </c>
      <c r="M167" t="s">
        <v>76</v>
      </c>
      <c r="N167" t="s">
        <v>563</v>
      </c>
      <c r="O167" s="57">
        <v>46296.561018518521</v>
      </c>
      <c r="P167" s="57">
        <v>46296.656342592592</v>
      </c>
      <c r="Q167">
        <v>69005969</v>
      </c>
      <c r="S167">
        <v>152415235112</v>
      </c>
      <c r="T167" t="s">
        <v>923</v>
      </c>
      <c r="U167" t="s">
        <v>1090</v>
      </c>
      <c r="V167" t="s">
        <v>1091</v>
      </c>
      <c r="Z167">
        <v>112.70686032241601</v>
      </c>
      <c r="AA167">
        <v>-7.33200050681699</v>
      </c>
      <c r="AB167" t="s">
        <v>940</v>
      </c>
      <c r="AC167" t="s">
        <v>225</v>
      </c>
      <c r="AL167" t="s">
        <v>217</v>
      </c>
      <c r="AM167" t="s">
        <v>924</v>
      </c>
      <c r="AN167" t="s">
        <v>6</v>
      </c>
      <c r="AO167" s="57">
        <v>46032.569884259261</v>
      </c>
      <c r="AR167" t="s">
        <v>218</v>
      </c>
      <c r="AS167" t="s">
        <v>578</v>
      </c>
      <c r="AT167" t="s">
        <v>230</v>
      </c>
      <c r="AU167">
        <v>20261001</v>
      </c>
      <c r="AV167" t="s">
        <v>221</v>
      </c>
      <c r="AW167" t="s">
        <v>947</v>
      </c>
      <c r="AX167" t="s">
        <v>222</v>
      </c>
      <c r="BA167" s="57">
        <v>46296.291666666664</v>
      </c>
      <c r="BB167" t="s">
        <v>924</v>
      </c>
      <c r="BC167">
        <v>2026</v>
      </c>
      <c r="BD167">
        <v>10</v>
      </c>
      <c r="BE167">
        <v>1</v>
      </c>
      <c r="BF167" s="6">
        <f t="shared" si="6"/>
        <v>46296</v>
      </c>
      <c r="BG167">
        <f t="shared" si="7"/>
        <v>-0.29166666666424135</v>
      </c>
      <c r="BH167" t="str">
        <f t="shared" si="8"/>
        <v>COMPLY</v>
      </c>
      <c r="BI167" t="str">
        <f>VLOOKUP(H167,Sheet2!$A$1:$B$270,2,FALSE)</f>
        <v>SURABAYA UTARA</v>
      </c>
    </row>
    <row r="168" spans="1:61">
      <c r="A168">
        <v>167</v>
      </c>
      <c r="B168">
        <v>1002619479</v>
      </c>
      <c r="C168">
        <v>3</v>
      </c>
      <c r="D168" t="s">
        <v>55</v>
      </c>
      <c r="E168">
        <v>5</v>
      </c>
      <c r="F168" t="s">
        <v>260</v>
      </c>
      <c r="G168" t="s">
        <v>128</v>
      </c>
      <c r="H168" t="s">
        <v>400</v>
      </c>
      <c r="I168" t="s">
        <v>212</v>
      </c>
      <c r="J168" t="s">
        <v>213</v>
      </c>
      <c r="K168" t="s">
        <v>149</v>
      </c>
      <c r="L168" t="s">
        <v>214</v>
      </c>
      <c r="M168" t="s">
        <v>76</v>
      </c>
      <c r="N168" t="s">
        <v>215</v>
      </c>
      <c r="O168" s="57">
        <v>46297.463645833333</v>
      </c>
      <c r="P168" s="57">
        <v>46297.88590277778</v>
      </c>
      <c r="Q168">
        <v>69402927</v>
      </c>
      <c r="S168">
        <v>152424211930</v>
      </c>
      <c r="T168" t="s">
        <v>2047</v>
      </c>
      <c r="U168" t="s">
        <v>2048</v>
      </c>
      <c r="V168" t="s">
        <v>2049</v>
      </c>
      <c r="Z168">
        <v>112.6677682</v>
      </c>
      <c r="AA168">
        <v>-7.3056636999999904</v>
      </c>
      <c r="AB168" t="s">
        <v>2050</v>
      </c>
      <c r="AC168" t="s">
        <v>235</v>
      </c>
      <c r="AL168" t="s">
        <v>217</v>
      </c>
      <c r="AM168" t="s">
        <v>2051</v>
      </c>
      <c r="AN168" t="s">
        <v>6</v>
      </c>
      <c r="AO168" s="57">
        <v>46063.466053240743</v>
      </c>
      <c r="AP168" s="57">
        <v>46299.458333333336</v>
      </c>
      <c r="AR168" t="s">
        <v>218</v>
      </c>
      <c r="AS168" t="s">
        <v>128</v>
      </c>
      <c r="AT168" t="s">
        <v>230</v>
      </c>
      <c r="AU168">
        <v>20261002</v>
      </c>
      <c r="AV168" t="s">
        <v>221</v>
      </c>
      <c r="AW168" t="s">
        <v>885</v>
      </c>
      <c r="AX168" t="s">
        <v>222</v>
      </c>
      <c r="BA168" s="57">
        <v>46299.458333333336</v>
      </c>
      <c r="BB168" t="s">
        <v>2051</v>
      </c>
      <c r="BC168">
        <v>2026</v>
      </c>
      <c r="BD168">
        <v>10</v>
      </c>
      <c r="BE168">
        <v>2</v>
      </c>
      <c r="BF168" s="6">
        <f t="shared" si="6"/>
        <v>46297</v>
      </c>
      <c r="BG168">
        <f t="shared" si="7"/>
        <v>-2.4583333333357587</v>
      </c>
      <c r="BH168" t="str">
        <f t="shared" si="8"/>
        <v>COMPLY</v>
      </c>
      <c r="BI168" t="str">
        <f>VLOOKUP(H168,Sheet2!$A$1:$B$270,2,FALSE)</f>
        <v>SURABAYA UTARA</v>
      </c>
    </row>
    <row r="169" spans="1:61">
      <c r="A169">
        <v>168</v>
      </c>
      <c r="B169">
        <v>1002619480</v>
      </c>
      <c r="C169">
        <v>3</v>
      </c>
      <c r="D169" t="s">
        <v>55</v>
      </c>
      <c r="E169">
        <v>5</v>
      </c>
      <c r="F169" t="s">
        <v>260</v>
      </c>
      <c r="G169" t="s">
        <v>128</v>
      </c>
      <c r="H169" t="s">
        <v>400</v>
      </c>
      <c r="I169" t="s">
        <v>212</v>
      </c>
      <c r="J169" t="s">
        <v>213</v>
      </c>
      <c r="K169" t="s">
        <v>149</v>
      </c>
      <c r="L169" t="s">
        <v>214</v>
      </c>
      <c r="M169" t="s">
        <v>279</v>
      </c>
      <c r="N169" t="s">
        <v>215</v>
      </c>
      <c r="O169" s="57">
        <v>46297.46429398148</v>
      </c>
      <c r="P169" s="57">
        <v>46297.539884259262</v>
      </c>
      <c r="Q169">
        <v>69402929</v>
      </c>
      <c r="S169">
        <v>152424212061</v>
      </c>
      <c r="T169" t="s">
        <v>2052</v>
      </c>
      <c r="U169" t="s">
        <v>2053</v>
      </c>
      <c r="V169" t="s">
        <v>2054</v>
      </c>
      <c r="Z169">
        <v>112.694453448057</v>
      </c>
      <c r="AA169">
        <v>-7.3141615691990003</v>
      </c>
      <c r="AB169" t="s">
        <v>2055</v>
      </c>
      <c r="AC169" t="s">
        <v>216</v>
      </c>
      <c r="AL169" t="s">
        <v>217</v>
      </c>
      <c r="AM169" t="s">
        <v>2056</v>
      </c>
      <c r="AN169" t="s">
        <v>6</v>
      </c>
      <c r="AO169" s="57">
        <v>46063.466053240743</v>
      </c>
      <c r="AP169" s="57">
        <v>46300.333333333336</v>
      </c>
      <c r="AR169" t="s">
        <v>239</v>
      </c>
      <c r="AS169" t="s">
        <v>128</v>
      </c>
      <c r="AT169" t="s">
        <v>342</v>
      </c>
      <c r="AV169" t="s">
        <v>799</v>
      </c>
      <c r="AW169" t="s">
        <v>2057</v>
      </c>
      <c r="AX169" t="s">
        <v>222</v>
      </c>
      <c r="BA169" s="57">
        <v>46300.333333333336</v>
      </c>
      <c r="BB169" t="s">
        <v>2056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SURABAYA UTARA</v>
      </c>
    </row>
    <row r="170" spans="1:61">
      <c r="A170">
        <v>169</v>
      </c>
      <c r="B170">
        <v>1002621074</v>
      </c>
      <c r="C170">
        <v>3</v>
      </c>
      <c r="D170" t="s">
        <v>55</v>
      </c>
      <c r="E170">
        <v>5</v>
      </c>
      <c r="F170" t="s">
        <v>260</v>
      </c>
      <c r="G170" t="s">
        <v>128</v>
      </c>
      <c r="H170" t="s">
        <v>374</v>
      </c>
      <c r="I170" t="s">
        <v>212</v>
      </c>
      <c r="J170" t="s">
        <v>213</v>
      </c>
      <c r="K170" t="s">
        <v>149</v>
      </c>
      <c r="L170" t="s">
        <v>214</v>
      </c>
      <c r="M170" t="s">
        <v>224</v>
      </c>
      <c r="N170" t="s">
        <v>215</v>
      </c>
      <c r="O170" s="57">
        <v>46298.634479166663</v>
      </c>
      <c r="P170" s="57">
        <v>46299.641712962963</v>
      </c>
      <c r="Q170">
        <v>69403662</v>
      </c>
      <c r="S170">
        <v>152409278523</v>
      </c>
      <c r="T170" t="s">
        <v>2058</v>
      </c>
      <c r="U170" t="s">
        <v>2059</v>
      </c>
      <c r="V170" t="s">
        <v>2060</v>
      </c>
      <c r="Z170">
        <v>112.6935625</v>
      </c>
      <c r="AA170">
        <v>-7.2840625000000001</v>
      </c>
      <c r="AB170" t="s">
        <v>2061</v>
      </c>
      <c r="AC170" t="s">
        <v>851</v>
      </c>
      <c r="AL170" t="s">
        <v>217</v>
      </c>
      <c r="AM170" t="s">
        <v>2062</v>
      </c>
      <c r="AN170" t="s">
        <v>6</v>
      </c>
      <c r="AO170" s="57">
        <v>46091.642442129632</v>
      </c>
      <c r="AP170" s="57">
        <v>46299.625</v>
      </c>
      <c r="AR170" t="s">
        <v>18</v>
      </c>
      <c r="AS170" t="s">
        <v>128</v>
      </c>
      <c r="AT170" t="s">
        <v>230</v>
      </c>
      <c r="AV170" t="s">
        <v>226</v>
      </c>
      <c r="AW170" t="s">
        <v>885</v>
      </c>
      <c r="AX170" t="s">
        <v>222</v>
      </c>
      <c r="BA170" s="57">
        <v>46299.625</v>
      </c>
      <c r="BB170" t="s">
        <v>2062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SURABAYA UTARA</v>
      </c>
    </row>
    <row r="171" spans="1:61">
      <c r="A171">
        <v>170</v>
      </c>
      <c r="B171">
        <v>1002620926</v>
      </c>
      <c r="C171">
        <v>3</v>
      </c>
      <c r="D171" t="s">
        <v>55</v>
      </c>
      <c r="E171">
        <v>5</v>
      </c>
      <c r="F171" t="s">
        <v>260</v>
      </c>
      <c r="G171" t="s">
        <v>128</v>
      </c>
      <c r="H171" t="s">
        <v>374</v>
      </c>
      <c r="I171" t="s">
        <v>1563</v>
      </c>
      <c r="J171" t="s">
        <v>213</v>
      </c>
      <c r="K171" t="s">
        <v>149</v>
      </c>
      <c r="M171" t="s">
        <v>76</v>
      </c>
      <c r="N171" t="s">
        <v>1564</v>
      </c>
      <c r="O171" s="57">
        <v>46298.512743055559</v>
      </c>
      <c r="P171" s="57">
        <v>46298.787222222221</v>
      </c>
      <c r="Q171">
        <v>15673151</v>
      </c>
      <c r="S171">
        <v>152409278783</v>
      </c>
      <c r="T171" t="s">
        <v>2063</v>
      </c>
      <c r="U171" t="s">
        <v>2064</v>
      </c>
      <c r="V171" t="s">
        <v>2065</v>
      </c>
      <c r="Z171">
        <v>112.67560779999999</v>
      </c>
      <c r="AA171">
        <v>-7.2890600000000001</v>
      </c>
      <c r="AB171" t="s">
        <v>2066</v>
      </c>
      <c r="AC171" t="s">
        <v>225</v>
      </c>
      <c r="AL171" t="s">
        <v>217</v>
      </c>
      <c r="AM171" t="s">
        <v>2066</v>
      </c>
      <c r="AN171" t="s">
        <v>6</v>
      </c>
      <c r="AO171" s="57">
        <v>46091.517858796295</v>
      </c>
      <c r="AQ171" t="s">
        <v>843</v>
      </c>
      <c r="AR171" t="s">
        <v>218</v>
      </c>
      <c r="AS171" t="s">
        <v>128</v>
      </c>
      <c r="AT171" t="s">
        <v>230</v>
      </c>
      <c r="AU171">
        <v>20261003</v>
      </c>
      <c r="AV171" t="s">
        <v>221</v>
      </c>
      <c r="AW171" t="s">
        <v>1451</v>
      </c>
      <c r="AX171" t="s">
        <v>222</v>
      </c>
      <c r="BA171" s="57">
        <v>46298.708333333336</v>
      </c>
      <c r="BB171" t="s">
        <v>2066</v>
      </c>
      <c r="BC171">
        <v>2026</v>
      </c>
      <c r="BD171">
        <v>10</v>
      </c>
      <c r="BE171">
        <v>3</v>
      </c>
      <c r="BF171" s="6">
        <f t="shared" si="6"/>
        <v>46298</v>
      </c>
      <c r="BG171">
        <f t="shared" si="7"/>
        <v>-0.70833333333575865</v>
      </c>
      <c r="BH171" t="str">
        <f t="shared" si="8"/>
        <v>COMPLY</v>
      </c>
      <c r="BI171" t="str">
        <f>VLOOKUP(H171,Sheet2!$A$1:$B$270,2,FALSE)</f>
        <v>SURABAYA UTARA</v>
      </c>
    </row>
    <row r="172" spans="1:61">
      <c r="A172">
        <v>171</v>
      </c>
      <c r="B172">
        <v>1002620590</v>
      </c>
      <c r="C172">
        <v>3</v>
      </c>
      <c r="D172" t="s">
        <v>55</v>
      </c>
      <c r="E172">
        <v>5</v>
      </c>
      <c r="F172" t="s">
        <v>305</v>
      </c>
      <c r="G172" t="s">
        <v>128</v>
      </c>
      <c r="H172" t="s">
        <v>416</v>
      </c>
      <c r="I172" t="s">
        <v>212</v>
      </c>
      <c r="J172" t="s">
        <v>213</v>
      </c>
      <c r="K172" t="s">
        <v>149</v>
      </c>
      <c r="L172" t="s">
        <v>214</v>
      </c>
      <c r="M172" t="s">
        <v>76</v>
      </c>
      <c r="N172" t="s">
        <v>215</v>
      </c>
      <c r="O172" s="57">
        <v>46297.735173611109</v>
      </c>
      <c r="P172" s="57">
        <v>46298.52134259259</v>
      </c>
      <c r="Q172">
        <v>69403359</v>
      </c>
      <c r="S172">
        <v>152301272666</v>
      </c>
      <c r="T172" t="s">
        <v>2067</v>
      </c>
      <c r="U172" t="s">
        <v>2068</v>
      </c>
      <c r="V172" t="s">
        <v>2069</v>
      </c>
      <c r="Z172">
        <v>112.71367600000001</v>
      </c>
      <c r="AA172">
        <v>-7.2886765999999996</v>
      </c>
      <c r="AB172" t="s">
        <v>2070</v>
      </c>
      <c r="AC172" t="s">
        <v>235</v>
      </c>
      <c r="AL172" t="s">
        <v>217</v>
      </c>
      <c r="AM172" t="s">
        <v>2071</v>
      </c>
      <c r="AN172" t="s">
        <v>6</v>
      </c>
      <c r="AO172" s="57">
        <v>46063.736041666663</v>
      </c>
      <c r="AP172" s="57">
        <v>46298.625</v>
      </c>
      <c r="AR172" t="s">
        <v>218</v>
      </c>
      <c r="AS172" t="s">
        <v>2072</v>
      </c>
      <c r="AT172" t="s">
        <v>230</v>
      </c>
      <c r="AU172">
        <v>20261003</v>
      </c>
      <c r="AV172" t="s">
        <v>221</v>
      </c>
      <c r="AW172" t="s">
        <v>885</v>
      </c>
      <c r="AX172" t="s">
        <v>222</v>
      </c>
      <c r="BA172" s="57">
        <v>46298.625</v>
      </c>
      <c r="BB172" t="s">
        <v>2071</v>
      </c>
      <c r="BC172">
        <v>2026</v>
      </c>
      <c r="BD172">
        <v>10</v>
      </c>
      <c r="BE172">
        <v>3</v>
      </c>
      <c r="BF172" s="6">
        <f t="shared" si="6"/>
        <v>46298</v>
      </c>
      <c r="BG172">
        <f t="shared" si="7"/>
        <v>-0.625</v>
      </c>
      <c r="BH172" t="str">
        <f t="shared" si="8"/>
        <v>COMPLY</v>
      </c>
      <c r="BI172" t="str">
        <f>VLOOKUP(H172,Sheet2!$A$1:$B$270,2,FALSE)</f>
        <v>SURABAYA UTARA</v>
      </c>
    </row>
    <row r="173" spans="1:61">
      <c r="A173">
        <v>172</v>
      </c>
      <c r="B173">
        <v>1002619653</v>
      </c>
      <c r="C173">
        <v>3</v>
      </c>
      <c r="D173" t="s">
        <v>55</v>
      </c>
      <c r="E173">
        <v>5</v>
      </c>
      <c r="F173" t="s">
        <v>260</v>
      </c>
      <c r="G173" t="s">
        <v>128</v>
      </c>
      <c r="H173" t="s">
        <v>269</v>
      </c>
      <c r="I173" t="s">
        <v>212</v>
      </c>
      <c r="J173" t="s">
        <v>213</v>
      </c>
      <c r="K173" t="s">
        <v>149</v>
      </c>
      <c r="L173" t="s">
        <v>214</v>
      </c>
      <c r="M173" t="s">
        <v>76</v>
      </c>
      <c r="N173" t="s">
        <v>215</v>
      </c>
      <c r="O173" s="57">
        <v>46297.517812500002</v>
      </c>
      <c r="P173" s="57">
        <v>46298.754282407404</v>
      </c>
      <c r="Q173">
        <v>69403003</v>
      </c>
      <c r="S173">
        <v>152418250917</v>
      </c>
      <c r="T173" t="s">
        <v>2073</v>
      </c>
      <c r="U173" t="s">
        <v>2074</v>
      </c>
      <c r="V173" t="s">
        <v>2075</v>
      </c>
      <c r="Z173">
        <v>112.693361</v>
      </c>
      <c r="AA173">
        <v>-7.255833</v>
      </c>
      <c r="AB173" t="s">
        <v>2076</v>
      </c>
      <c r="AC173" t="s">
        <v>235</v>
      </c>
      <c r="AL173" t="s">
        <v>217</v>
      </c>
      <c r="AM173" t="s">
        <v>2077</v>
      </c>
      <c r="AN173" t="s">
        <v>6</v>
      </c>
      <c r="AO173" s="57">
        <v>46063.538553240738</v>
      </c>
      <c r="AP173" s="57">
        <v>46299.458333333336</v>
      </c>
      <c r="AR173" t="s">
        <v>218</v>
      </c>
      <c r="AS173" t="s">
        <v>270</v>
      </c>
      <c r="AT173" t="s">
        <v>230</v>
      </c>
      <c r="AU173">
        <v>20261003</v>
      </c>
      <c r="AV173" t="s">
        <v>221</v>
      </c>
      <c r="AW173" t="s">
        <v>877</v>
      </c>
      <c r="AX173" t="s">
        <v>222</v>
      </c>
      <c r="BA173" s="57">
        <v>46299.458333333336</v>
      </c>
      <c r="BB173" t="s">
        <v>2077</v>
      </c>
      <c r="BC173">
        <v>2026</v>
      </c>
      <c r="BD173">
        <v>10</v>
      </c>
      <c r="BE173">
        <v>3</v>
      </c>
      <c r="BF173" s="6">
        <f t="shared" si="6"/>
        <v>46298</v>
      </c>
      <c r="BG173">
        <f t="shared" si="7"/>
        <v>-1.4583333333357587</v>
      </c>
      <c r="BH173" t="str">
        <f t="shared" si="8"/>
        <v>COMPLY</v>
      </c>
      <c r="BI173" t="str">
        <f>VLOOKUP(H173,Sheet2!$A$1:$B$270,2,FALSE)</f>
        <v>SURABAYA UTARA</v>
      </c>
    </row>
    <row r="174" spans="1:61">
      <c r="A174">
        <v>173</v>
      </c>
      <c r="B174">
        <v>1002620446</v>
      </c>
      <c r="C174">
        <v>3</v>
      </c>
      <c r="D174" t="s">
        <v>55</v>
      </c>
      <c r="E174">
        <v>5</v>
      </c>
      <c r="F174" t="s">
        <v>260</v>
      </c>
      <c r="G174" t="s">
        <v>128</v>
      </c>
      <c r="H174" t="s">
        <v>269</v>
      </c>
      <c r="I174" t="s">
        <v>1440</v>
      </c>
      <c r="J174" t="s">
        <v>213</v>
      </c>
      <c r="K174" t="s">
        <v>149</v>
      </c>
      <c r="M174" t="s">
        <v>2078</v>
      </c>
      <c r="N174" t="s">
        <v>1507</v>
      </c>
      <c r="O174" s="57">
        <v>46297.687685185185</v>
      </c>
      <c r="P174" s="57">
        <v>46298.550219907411</v>
      </c>
      <c r="Q174">
        <v>68982466</v>
      </c>
      <c r="T174" t="s">
        <v>2079</v>
      </c>
      <c r="V174" t="s">
        <v>2080</v>
      </c>
      <c r="Z174">
        <v>112.654269</v>
      </c>
      <c r="AA174">
        <v>-7.2171779999999996</v>
      </c>
      <c r="AB174" t="s">
        <v>2081</v>
      </c>
      <c r="AC174" t="s">
        <v>225</v>
      </c>
      <c r="AL174" t="s">
        <v>217</v>
      </c>
      <c r="AM174" t="s">
        <v>2081</v>
      </c>
      <c r="AN174" t="s">
        <v>6</v>
      </c>
      <c r="AO174" s="57">
        <v>46063.694699074076</v>
      </c>
      <c r="AR174" t="s">
        <v>543</v>
      </c>
      <c r="AS174" t="s">
        <v>270</v>
      </c>
      <c r="AT174" t="s">
        <v>230</v>
      </c>
      <c r="AV174" t="s">
        <v>2078</v>
      </c>
      <c r="AW174" t="s">
        <v>2082</v>
      </c>
      <c r="AX174" t="s">
        <v>222</v>
      </c>
      <c r="BA174" s="57">
        <v>46297.75</v>
      </c>
      <c r="BB174" t="s">
        <v>2081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SURABAYA UTARA</v>
      </c>
    </row>
    <row r="175" spans="1:61">
      <c r="A175">
        <v>174</v>
      </c>
      <c r="B175">
        <v>1002620402</v>
      </c>
      <c r="C175">
        <v>3</v>
      </c>
      <c r="D175" t="s">
        <v>55</v>
      </c>
      <c r="E175">
        <v>5</v>
      </c>
      <c r="F175" t="s">
        <v>260</v>
      </c>
      <c r="G175" t="s">
        <v>128</v>
      </c>
      <c r="H175" t="s">
        <v>269</v>
      </c>
      <c r="I175" t="s">
        <v>1440</v>
      </c>
      <c r="J175" t="s">
        <v>213</v>
      </c>
      <c r="K175" t="s">
        <v>149</v>
      </c>
      <c r="M175" t="s">
        <v>2083</v>
      </c>
      <c r="N175" t="s">
        <v>1507</v>
      </c>
      <c r="O175" s="57">
        <v>46297.67423611111</v>
      </c>
      <c r="P175" s="57">
        <v>46297.689953703702</v>
      </c>
      <c r="Q175">
        <v>68982466</v>
      </c>
      <c r="S175">
        <v>152418251092</v>
      </c>
      <c r="T175" t="s">
        <v>2079</v>
      </c>
      <c r="U175" t="s">
        <v>2084</v>
      </c>
      <c r="V175" t="s">
        <v>2080</v>
      </c>
      <c r="Z175">
        <v>112.65452084079401</v>
      </c>
      <c r="AA175">
        <v>-7.21792514331253</v>
      </c>
      <c r="AB175" t="s">
        <v>2081</v>
      </c>
      <c r="AC175" t="s">
        <v>225</v>
      </c>
      <c r="AL175" t="s">
        <v>217</v>
      </c>
      <c r="AM175" t="s">
        <v>2081</v>
      </c>
      <c r="AN175" t="s">
        <v>6</v>
      </c>
      <c r="AO175" s="57">
        <v>46063.684548611112</v>
      </c>
      <c r="AQ175" t="s">
        <v>840</v>
      </c>
      <c r="AR175" t="s">
        <v>12</v>
      </c>
      <c r="AS175" t="s">
        <v>270</v>
      </c>
      <c r="AT175" t="s">
        <v>230</v>
      </c>
      <c r="AV175" t="s">
        <v>1727</v>
      </c>
      <c r="AW175" t="s">
        <v>2082</v>
      </c>
      <c r="AX175" t="s">
        <v>222</v>
      </c>
      <c r="BA175" s="57">
        <v>46297.75</v>
      </c>
      <c r="BB175" t="s">
        <v>2081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SURABAYA UTARA</v>
      </c>
    </row>
    <row r="176" spans="1:61">
      <c r="A176">
        <v>175</v>
      </c>
      <c r="B176">
        <v>1002617822</v>
      </c>
      <c r="C176">
        <v>3</v>
      </c>
      <c r="D176" t="s">
        <v>55</v>
      </c>
      <c r="E176">
        <v>5</v>
      </c>
      <c r="F176" t="s">
        <v>260</v>
      </c>
      <c r="G176" t="s">
        <v>126</v>
      </c>
      <c r="H176" t="s">
        <v>261</v>
      </c>
      <c r="I176" t="s">
        <v>1563</v>
      </c>
      <c r="J176" t="s">
        <v>213</v>
      </c>
      <c r="K176" t="s">
        <v>149</v>
      </c>
      <c r="M176" t="s">
        <v>895</v>
      </c>
      <c r="N176" t="s">
        <v>1564</v>
      </c>
      <c r="O176" s="57">
        <v>46296.553194444445</v>
      </c>
      <c r="P176" s="57">
        <v>46296.554548611108</v>
      </c>
      <c r="Q176">
        <v>15673151</v>
      </c>
      <c r="S176">
        <v>152413168358</v>
      </c>
      <c r="T176" t="s">
        <v>2063</v>
      </c>
      <c r="U176" t="s">
        <v>2085</v>
      </c>
      <c r="V176" t="s">
        <v>2086</v>
      </c>
      <c r="Z176">
        <v>112.739006</v>
      </c>
      <c r="AA176">
        <v>-7.2623867999999998</v>
      </c>
      <c r="AB176" t="s">
        <v>2087</v>
      </c>
      <c r="AC176" t="s">
        <v>225</v>
      </c>
      <c r="AL176" t="s">
        <v>217</v>
      </c>
      <c r="AM176" t="s">
        <v>2087</v>
      </c>
      <c r="AN176" t="s">
        <v>6</v>
      </c>
      <c r="AO176" s="57">
        <v>46032.559305555558</v>
      </c>
      <c r="AR176" t="s">
        <v>886</v>
      </c>
      <c r="AS176" t="s">
        <v>561</v>
      </c>
      <c r="AT176" t="s">
        <v>230</v>
      </c>
      <c r="AV176" t="s">
        <v>896</v>
      </c>
      <c r="AW176" t="s">
        <v>2088</v>
      </c>
      <c r="AX176" t="s">
        <v>222</v>
      </c>
      <c r="BA176" s="57">
        <v>46296.833333333336</v>
      </c>
      <c r="BB176" t="s">
        <v>2087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SURABAYA SELATAN</v>
      </c>
    </row>
    <row r="177" spans="1:61">
      <c r="A177">
        <v>176</v>
      </c>
      <c r="B177">
        <v>1002616819</v>
      </c>
      <c r="C177">
        <v>3</v>
      </c>
      <c r="D177" t="s">
        <v>55</v>
      </c>
      <c r="E177">
        <v>5</v>
      </c>
      <c r="F177" t="s">
        <v>260</v>
      </c>
      <c r="G177" t="s">
        <v>126</v>
      </c>
      <c r="H177" t="s">
        <v>261</v>
      </c>
      <c r="I177" t="s">
        <v>212</v>
      </c>
      <c r="J177" t="s">
        <v>213</v>
      </c>
      <c r="K177" t="s">
        <v>149</v>
      </c>
      <c r="L177" t="s">
        <v>214</v>
      </c>
      <c r="M177" t="s">
        <v>1406</v>
      </c>
      <c r="N177" t="s">
        <v>215</v>
      </c>
      <c r="O177" s="57">
        <v>46296.303865740738</v>
      </c>
      <c r="P177" s="57">
        <v>46297.56181712963</v>
      </c>
      <c r="Q177">
        <v>69401978</v>
      </c>
      <c r="S177">
        <v>152413168350</v>
      </c>
      <c r="T177" t="s">
        <v>1096</v>
      </c>
      <c r="U177" t="s">
        <v>1097</v>
      </c>
      <c r="V177" t="s">
        <v>1098</v>
      </c>
      <c r="Z177">
        <v>112.7381486</v>
      </c>
      <c r="AA177">
        <v>-7.2487031999999996</v>
      </c>
      <c r="AB177" t="s">
        <v>1099</v>
      </c>
      <c r="AC177" t="s">
        <v>235</v>
      </c>
      <c r="AL177" t="s">
        <v>217</v>
      </c>
      <c r="AM177" t="s">
        <v>1100</v>
      </c>
      <c r="AN177" t="s">
        <v>6</v>
      </c>
      <c r="AO177" s="57">
        <v>46032.319768518515</v>
      </c>
      <c r="AP177" s="57">
        <v>46297.333333333336</v>
      </c>
      <c r="AQ177" t="s">
        <v>843</v>
      </c>
      <c r="AR177" t="s">
        <v>14</v>
      </c>
      <c r="AS177" t="s">
        <v>561</v>
      </c>
      <c r="AT177" t="s">
        <v>342</v>
      </c>
      <c r="AV177" t="s">
        <v>2089</v>
      </c>
      <c r="AW177" t="s">
        <v>888</v>
      </c>
      <c r="AX177" t="s">
        <v>222</v>
      </c>
      <c r="BA177" s="57">
        <v>46297.333333333336</v>
      </c>
      <c r="BB177" t="s">
        <v>1100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SURABAYA SELATAN</v>
      </c>
    </row>
    <row r="178" spans="1:61">
      <c r="A178">
        <v>177</v>
      </c>
      <c r="B178">
        <v>1002617803</v>
      </c>
      <c r="C178">
        <v>3</v>
      </c>
      <c r="D178" t="s">
        <v>55</v>
      </c>
      <c r="E178">
        <v>5</v>
      </c>
      <c r="F178" t="s">
        <v>260</v>
      </c>
      <c r="G178" t="s">
        <v>126</v>
      </c>
      <c r="H178" t="s">
        <v>261</v>
      </c>
      <c r="I178" t="s">
        <v>1563</v>
      </c>
      <c r="J178" t="s">
        <v>213</v>
      </c>
      <c r="K178" t="s">
        <v>149</v>
      </c>
      <c r="M178" t="s">
        <v>76</v>
      </c>
      <c r="N178" t="s">
        <v>1564</v>
      </c>
      <c r="O178" s="57">
        <v>46296.548622685186</v>
      </c>
      <c r="P178" s="57">
        <v>46296.810787037037</v>
      </c>
      <c r="Q178">
        <v>15673151</v>
      </c>
      <c r="S178">
        <v>152413168357</v>
      </c>
      <c r="T178" t="s">
        <v>2063</v>
      </c>
      <c r="U178" t="s">
        <v>2090</v>
      </c>
      <c r="V178" t="s">
        <v>2091</v>
      </c>
      <c r="Z178">
        <v>112.739006</v>
      </c>
      <c r="AA178">
        <v>-7.2623867999999998</v>
      </c>
      <c r="AB178" t="s">
        <v>2092</v>
      </c>
      <c r="AC178" t="s">
        <v>225</v>
      </c>
      <c r="AL178" t="s">
        <v>217</v>
      </c>
      <c r="AM178" t="s">
        <v>2092</v>
      </c>
      <c r="AN178" t="s">
        <v>6</v>
      </c>
      <c r="AO178" s="57">
        <v>46032.559305555558</v>
      </c>
      <c r="AR178" t="s">
        <v>218</v>
      </c>
      <c r="AS178" t="s">
        <v>561</v>
      </c>
      <c r="AT178" t="s">
        <v>230</v>
      </c>
      <c r="AU178">
        <v>20261001</v>
      </c>
      <c r="AV178" t="s">
        <v>221</v>
      </c>
      <c r="AW178" t="s">
        <v>1451</v>
      </c>
      <c r="AX178" t="s">
        <v>222</v>
      </c>
      <c r="BA178" s="57">
        <v>46296.854166666664</v>
      </c>
      <c r="BB178" t="s">
        <v>2092</v>
      </c>
      <c r="BC178">
        <v>2026</v>
      </c>
      <c r="BD178">
        <v>10</v>
      </c>
      <c r="BE178">
        <v>1</v>
      </c>
      <c r="BF178" s="6">
        <f t="shared" si="6"/>
        <v>46296</v>
      </c>
      <c r="BG178">
        <f t="shared" si="7"/>
        <v>-0.85416666666424135</v>
      </c>
      <c r="BH178" t="str">
        <f t="shared" si="8"/>
        <v>COMPLY</v>
      </c>
      <c r="BI178" t="str">
        <f>VLOOKUP(H178,Sheet2!$A$1:$B$270,2,FALSE)</f>
        <v>SURABAYA SELATAN</v>
      </c>
    </row>
    <row r="179" spans="1:61">
      <c r="A179">
        <v>178</v>
      </c>
      <c r="B179">
        <v>1002618729</v>
      </c>
      <c r="C179">
        <v>3</v>
      </c>
      <c r="D179" t="s">
        <v>55</v>
      </c>
      <c r="E179">
        <v>5</v>
      </c>
      <c r="F179" t="s">
        <v>260</v>
      </c>
      <c r="G179" t="s">
        <v>126</v>
      </c>
      <c r="H179" t="s">
        <v>261</v>
      </c>
      <c r="I179" t="s">
        <v>212</v>
      </c>
      <c r="J179" t="s">
        <v>213</v>
      </c>
      <c r="K179" t="s">
        <v>149</v>
      </c>
      <c r="L179" t="s">
        <v>214</v>
      </c>
      <c r="M179" t="s">
        <v>76</v>
      </c>
      <c r="N179" t="s">
        <v>215</v>
      </c>
      <c r="O179" s="57">
        <v>46296.728171296294</v>
      </c>
      <c r="P179" s="57">
        <v>46297.583483796298</v>
      </c>
      <c r="Q179">
        <v>69402647</v>
      </c>
      <c r="S179">
        <v>152413167912</v>
      </c>
      <c r="T179" t="s">
        <v>1092</v>
      </c>
      <c r="U179" t="s">
        <v>917</v>
      </c>
      <c r="V179" t="s">
        <v>1093</v>
      </c>
      <c r="Z179">
        <v>112.7226948</v>
      </c>
      <c r="AA179">
        <v>-7.2545115999999998</v>
      </c>
      <c r="AB179" t="s">
        <v>1094</v>
      </c>
      <c r="AC179" t="s">
        <v>216</v>
      </c>
      <c r="AL179" t="s">
        <v>217</v>
      </c>
      <c r="AM179" t="s">
        <v>1095</v>
      </c>
      <c r="AN179" t="s">
        <v>6</v>
      </c>
      <c r="AO179" s="57">
        <v>46032.736354166664</v>
      </c>
      <c r="AP179" s="57">
        <v>46298.625</v>
      </c>
      <c r="AR179" t="s">
        <v>218</v>
      </c>
      <c r="AS179" t="s">
        <v>561</v>
      </c>
      <c r="AT179" t="s">
        <v>230</v>
      </c>
      <c r="AU179">
        <v>20261002</v>
      </c>
      <c r="AV179" t="s">
        <v>221</v>
      </c>
      <c r="AW179" t="s">
        <v>879</v>
      </c>
      <c r="AX179" t="s">
        <v>222</v>
      </c>
      <c r="BA179" s="57">
        <v>46298.625</v>
      </c>
      <c r="BB179" t="s">
        <v>1095</v>
      </c>
      <c r="BC179">
        <v>2026</v>
      </c>
      <c r="BD179">
        <v>10</v>
      </c>
      <c r="BE179">
        <v>2</v>
      </c>
      <c r="BF179" s="6">
        <f t="shared" si="6"/>
        <v>46297</v>
      </c>
      <c r="BG179">
        <f t="shared" si="7"/>
        <v>-1.625</v>
      </c>
      <c r="BH179" t="str">
        <f t="shared" si="8"/>
        <v>COMPLY</v>
      </c>
      <c r="BI179" t="str">
        <f>VLOOKUP(H179,Sheet2!$A$1:$B$270,2,FALSE)</f>
        <v>SURABAYA SELATAN</v>
      </c>
    </row>
    <row r="180" spans="1:61">
      <c r="A180">
        <v>179</v>
      </c>
      <c r="B180">
        <v>1002618465</v>
      </c>
      <c r="C180">
        <v>3</v>
      </c>
      <c r="D180" t="s">
        <v>55</v>
      </c>
      <c r="E180">
        <v>5</v>
      </c>
      <c r="F180" t="s">
        <v>260</v>
      </c>
      <c r="G180" t="s">
        <v>126</v>
      </c>
      <c r="H180" t="s">
        <v>261</v>
      </c>
      <c r="I180" t="s">
        <v>212</v>
      </c>
      <c r="J180" t="s">
        <v>213</v>
      </c>
      <c r="K180" t="s">
        <v>149</v>
      </c>
      <c r="L180" t="s">
        <v>828</v>
      </c>
      <c r="M180" t="s">
        <v>76</v>
      </c>
      <c r="N180" t="s">
        <v>215</v>
      </c>
      <c r="O180" s="57">
        <v>46296.661574074074</v>
      </c>
      <c r="P180" s="57">
        <v>46298.485358796293</v>
      </c>
      <c r="Q180">
        <v>69402542</v>
      </c>
      <c r="R180">
        <v>3135979326</v>
      </c>
      <c r="S180">
        <v>152413168369</v>
      </c>
      <c r="T180" t="s">
        <v>1101</v>
      </c>
      <c r="U180" t="s">
        <v>1102</v>
      </c>
      <c r="V180" t="s">
        <v>1103</v>
      </c>
      <c r="Z180">
        <v>112.7425585</v>
      </c>
      <c r="AA180">
        <v>-7.2719299999999896</v>
      </c>
      <c r="AB180" t="s">
        <v>1104</v>
      </c>
      <c r="AC180" t="s">
        <v>235</v>
      </c>
      <c r="AL180" t="s">
        <v>217</v>
      </c>
      <c r="AM180" t="s">
        <v>1105</v>
      </c>
      <c r="AN180" t="s">
        <v>6</v>
      </c>
      <c r="AO180" s="57">
        <v>46032.694421296299</v>
      </c>
      <c r="AP180" s="57">
        <v>46298.625</v>
      </c>
      <c r="AR180" t="s">
        <v>218</v>
      </c>
      <c r="AS180" t="s">
        <v>561</v>
      </c>
      <c r="AT180" t="s">
        <v>230</v>
      </c>
      <c r="AU180">
        <v>20261003</v>
      </c>
      <c r="AV180" t="s">
        <v>221</v>
      </c>
      <c r="AW180" t="s">
        <v>870</v>
      </c>
      <c r="AX180" t="s">
        <v>222</v>
      </c>
      <c r="BA180" s="57">
        <v>46298.625</v>
      </c>
      <c r="BB180" t="s">
        <v>1105</v>
      </c>
      <c r="BC180">
        <v>2026</v>
      </c>
      <c r="BD180">
        <v>10</v>
      </c>
      <c r="BE180">
        <v>3</v>
      </c>
      <c r="BF180" s="6">
        <f t="shared" si="6"/>
        <v>46298</v>
      </c>
      <c r="BG180">
        <f t="shared" si="7"/>
        <v>-0.625</v>
      </c>
      <c r="BH180" t="str">
        <f t="shared" si="8"/>
        <v>COMPLY</v>
      </c>
      <c r="BI180" t="str">
        <f>VLOOKUP(H180,Sheet2!$A$1:$B$270,2,FALSE)</f>
        <v>SURABAYA SELATAN</v>
      </c>
    </row>
    <row r="181" spans="1:61">
      <c r="A181">
        <v>180</v>
      </c>
      <c r="B181">
        <v>1002619627</v>
      </c>
      <c r="C181">
        <v>3</v>
      </c>
      <c r="D181" t="s">
        <v>55</v>
      </c>
      <c r="E181">
        <v>5</v>
      </c>
      <c r="F181" t="s">
        <v>260</v>
      </c>
      <c r="G181" t="s">
        <v>126</v>
      </c>
      <c r="H181" t="s">
        <v>261</v>
      </c>
      <c r="I181" t="s">
        <v>212</v>
      </c>
      <c r="J181" t="s">
        <v>213</v>
      </c>
      <c r="K181" t="s">
        <v>149</v>
      </c>
      <c r="L181" t="s">
        <v>828</v>
      </c>
      <c r="M181" t="s">
        <v>76</v>
      </c>
      <c r="N181" t="s">
        <v>215</v>
      </c>
      <c r="O181" s="57">
        <v>46297.496921296297</v>
      </c>
      <c r="P181" s="57">
        <v>46298.771458333336</v>
      </c>
      <c r="Q181">
        <v>69402996</v>
      </c>
      <c r="R181">
        <v>3135979339</v>
      </c>
      <c r="S181">
        <v>152413168384</v>
      </c>
      <c r="T181" t="s">
        <v>2093</v>
      </c>
      <c r="U181" t="s">
        <v>2094</v>
      </c>
      <c r="V181" t="s">
        <v>2095</v>
      </c>
      <c r="Z181">
        <v>112.74776079999999</v>
      </c>
      <c r="AA181">
        <v>-7.265269</v>
      </c>
      <c r="AB181" t="s">
        <v>2096</v>
      </c>
      <c r="AC181" t="s">
        <v>235</v>
      </c>
      <c r="AL181" t="s">
        <v>217</v>
      </c>
      <c r="AM181" t="s">
        <v>1557</v>
      </c>
      <c r="AN181" t="s">
        <v>6</v>
      </c>
      <c r="AO181" s="57">
        <v>46063.507453703707</v>
      </c>
      <c r="AP181" s="57">
        <v>46298.458333333336</v>
      </c>
      <c r="AR181" t="s">
        <v>218</v>
      </c>
      <c r="AS181" t="s">
        <v>561</v>
      </c>
      <c r="AT181" t="s">
        <v>230</v>
      </c>
      <c r="AU181">
        <v>20261003</v>
      </c>
      <c r="AV181" t="s">
        <v>221</v>
      </c>
      <c r="AW181" t="s">
        <v>2097</v>
      </c>
      <c r="AX181" t="s">
        <v>222</v>
      </c>
      <c r="BA181" s="57">
        <v>46298.458333333336</v>
      </c>
      <c r="BB181" t="s">
        <v>1557</v>
      </c>
      <c r="BC181">
        <v>2026</v>
      </c>
      <c r="BD181">
        <v>10</v>
      </c>
      <c r="BE181">
        <v>3</v>
      </c>
      <c r="BF181" s="6">
        <f t="shared" si="6"/>
        <v>46298</v>
      </c>
      <c r="BG181">
        <f t="shared" si="7"/>
        <v>-0.45833333333575865</v>
      </c>
      <c r="BH181" t="str">
        <f t="shared" si="8"/>
        <v>COMPLY</v>
      </c>
      <c r="BI181" t="str">
        <f>VLOOKUP(H181,Sheet2!$A$1:$B$270,2,FALSE)</f>
        <v>SURABAYA SELATAN</v>
      </c>
    </row>
    <row r="182" spans="1:61">
      <c r="A182">
        <v>181</v>
      </c>
      <c r="B182">
        <v>1002620233</v>
      </c>
      <c r="C182">
        <v>3</v>
      </c>
      <c r="D182" t="s">
        <v>55</v>
      </c>
      <c r="E182">
        <v>5</v>
      </c>
      <c r="F182" t="s">
        <v>260</v>
      </c>
      <c r="G182" t="s">
        <v>126</v>
      </c>
      <c r="H182" t="s">
        <v>261</v>
      </c>
      <c r="I182" t="s">
        <v>212</v>
      </c>
      <c r="J182" t="s">
        <v>213</v>
      </c>
      <c r="K182" t="s">
        <v>149</v>
      </c>
      <c r="M182" t="s">
        <v>76</v>
      </c>
      <c r="N182" t="s">
        <v>215</v>
      </c>
      <c r="O182" s="57">
        <v>46297.641423611109</v>
      </c>
      <c r="P182" s="57">
        <v>46297.769050925926</v>
      </c>
      <c r="Q182">
        <v>69395233</v>
      </c>
      <c r="S182">
        <v>152413168387</v>
      </c>
      <c r="T182" t="s">
        <v>2098</v>
      </c>
      <c r="U182" t="s">
        <v>2099</v>
      </c>
      <c r="V182" t="s">
        <v>2100</v>
      </c>
      <c r="Z182">
        <v>112.747718085744</v>
      </c>
      <c r="AA182">
        <v>-7.2627766292953</v>
      </c>
      <c r="AB182" t="s">
        <v>2101</v>
      </c>
      <c r="AC182" t="s">
        <v>229</v>
      </c>
      <c r="AL182" t="s">
        <v>217</v>
      </c>
      <c r="AM182" t="s">
        <v>2102</v>
      </c>
      <c r="AN182" t="s">
        <v>6</v>
      </c>
      <c r="AO182" s="57">
        <v>46063.652951388889</v>
      </c>
      <c r="AR182" t="s">
        <v>218</v>
      </c>
      <c r="AS182" t="s">
        <v>561</v>
      </c>
      <c r="AT182" t="s">
        <v>230</v>
      </c>
      <c r="AU182">
        <v>20261002</v>
      </c>
      <c r="AV182" t="s">
        <v>221</v>
      </c>
      <c r="AW182" t="s">
        <v>539</v>
      </c>
      <c r="AX182" t="s">
        <v>222</v>
      </c>
      <c r="BA182" s="57">
        <v>46297.291666666664</v>
      </c>
      <c r="BB182" t="s">
        <v>2102</v>
      </c>
      <c r="BC182">
        <v>2026</v>
      </c>
      <c r="BD182">
        <v>10</v>
      </c>
      <c r="BE182">
        <v>2</v>
      </c>
      <c r="BF182" s="6">
        <f t="shared" si="6"/>
        <v>46297</v>
      </c>
      <c r="BG182">
        <f t="shared" si="7"/>
        <v>-0.29166666666424135</v>
      </c>
      <c r="BH182" t="str">
        <f t="shared" si="8"/>
        <v>COMPLY</v>
      </c>
      <c r="BI182" t="str">
        <f>VLOOKUP(H182,Sheet2!$A$1:$B$270,2,FALSE)</f>
        <v>SURABAYA SELATAN</v>
      </c>
    </row>
    <row r="183" spans="1:61">
      <c r="A183">
        <v>182</v>
      </c>
      <c r="B183">
        <v>1002621148</v>
      </c>
      <c r="C183">
        <v>3</v>
      </c>
      <c r="D183" t="s">
        <v>55</v>
      </c>
      <c r="E183">
        <v>5</v>
      </c>
      <c r="F183" t="s">
        <v>260</v>
      </c>
      <c r="G183" t="s">
        <v>126</v>
      </c>
      <c r="H183" t="s">
        <v>261</v>
      </c>
      <c r="I183" t="s">
        <v>212</v>
      </c>
      <c r="J183" t="s">
        <v>213</v>
      </c>
      <c r="K183" t="s">
        <v>149</v>
      </c>
      <c r="M183" t="s">
        <v>76</v>
      </c>
      <c r="N183" t="s">
        <v>215</v>
      </c>
      <c r="O183" s="57">
        <v>46298.71130787037</v>
      </c>
      <c r="P183" s="57">
        <v>46298.848541666666</v>
      </c>
      <c r="Q183">
        <v>69401938</v>
      </c>
      <c r="S183">
        <v>152413167953</v>
      </c>
      <c r="T183" t="s">
        <v>2103</v>
      </c>
      <c r="U183" t="s">
        <v>2104</v>
      </c>
      <c r="V183" t="s">
        <v>2105</v>
      </c>
      <c r="Z183">
        <v>112.74822399999999</v>
      </c>
      <c r="AA183">
        <v>-7.2646689999999996</v>
      </c>
      <c r="AB183" t="s">
        <v>2106</v>
      </c>
      <c r="AC183" t="s">
        <v>229</v>
      </c>
      <c r="AL183" t="s">
        <v>217</v>
      </c>
      <c r="AM183" t="s">
        <v>2107</v>
      </c>
      <c r="AN183" t="s">
        <v>6</v>
      </c>
      <c r="AO183" s="57">
        <v>46091.726053240738</v>
      </c>
      <c r="AR183" t="s">
        <v>218</v>
      </c>
      <c r="AS183" t="s">
        <v>561</v>
      </c>
      <c r="AT183" t="s">
        <v>230</v>
      </c>
      <c r="AU183">
        <v>20261003</v>
      </c>
      <c r="AV183" t="s">
        <v>221</v>
      </c>
      <c r="AW183" t="s">
        <v>540</v>
      </c>
      <c r="AX183" t="s">
        <v>222</v>
      </c>
      <c r="BA183" s="57">
        <v>46298.291666666664</v>
      </c>
      <c r="BB183" t="s">
        <v>2107</v>
      </c>
      <c r="BC183">
        <v>2026</v>
      </c>
      <c r="BD183">
        <v>10</v>
      </c>
      <c r="BE183">
        <v>3</v>
      </c>
      <c r="BF183" s="6">
        <f t="shared" si="6"/>
        <v>46298</v>
      </c>
      <c r="BG183">
        <f t="shared" si="7"/>
        <v>-0.29166666666424135</v>
      </c>
      <c r="BH183" t="str">
        <f t="shared" si="8"/>
        <v>COMPLY</v>
      </c>
      <c r="BI183" t="str">
        <f>VLOOKUP(H183,Sheet2!$A$1:$B$270,2,FALSE)</f>
        <v>SURABAYA SELATAN</v>
      </c>
    </row>
    <row r="184" spans="1:61">
      <c r="A184">
        <v>183</v>
      </c>
      <c r="B184">
        <v>1002621509</v>
      </c>
      <c r="C184">
        <v>3</v>
      </c>
      <c r="D184" t="s">
        <v>55</v>
      </c>
      <c r="E184">
        <v>5</v>
      </c>
      <c r="F184" t="s">
        <v>260</v>
      </c>
      <c r="G184" t="s">
        <v>126</v>
      </c>
      <c r="H184" t="s">
        <v>261</v>
      </c>
      <c r="I184" t="s">
        <v>212</v>
      </c>
      <c r="J184" t="s">
        <v>213</v>
      </c>
      <c r="K184" t="s">
        <v>149</v>
      </c>
      <c r="L184" t="s">
        <v>214</v>
      </c>
      <c r="M184" t="s">
        <v>238</v>
      </c>
      <c r="N184" t="s">
        <v>215</v>
      </c>
      <c r="O184" s="57">
        <v>46299.782407407409</v>
      </c>
      <c r="P184" s="57">
        <v>46299.78334490741</v>
      </c>
      <c r="Q184">
        <v>69403981</v>
      </c>
      <c r="S184">
        <v>152413168417</v>
      </c>
      <c r="T184" t="s">
        <v>2108</v>
      </c>
      <c r="U184" t="s">
        <v>2109</v>
      </c>
      <c r="V184" t="s">
        <v>2110</v>
      </c>
      <c r="Z184">
        <v>112.7462754</v>
      </c>
      <c r="AA184">
        <v>-7.2643184999999999</v>
      </c>
      <c r="AB184" t="s">
        <v>2111</v>
      </c>
      <c r="AC184" t="s">
        <v>235</v>
      </c>
      <c r="AL184" t="s">
        <v>217</v>
      </c>
      <c r="AM184" t="s">
        <v>2112</v>
      </c>
      <c r="AN184" t="s">
        <v>6</v>
      </c>
      <c r="AO184" s="57">
        <v>46122.788148148145</v>
      </c>
      <c r="AP184" s="57">
        <v>46301.333333333336</v>
      </c>
      <c r="AR184" t="s">
        <v>239</v>
      </c>
      <c r="AS184" t="s">
        <v>561</v>
      </c>
      <c r="AT184" t="s">
        <v>230</v>
      </c>
      <c r="AV184" t="s">
        <v>238</v>
      </c>
      <c r="AW184" t="s">
        <v>881</v>
      </c>
      <c r="AX184" t="s">
        <v>222</v>
      </c>
      <c r="BA184" s="57">
        <v>46301.333333333336</v>
      </c>
      <c r="BB184" t="s">
        <v>2112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SURABAYA SELATAN</v>
      </c>
    </row>
    <row r="185" spans="1:61">
      <c r="A185">
        <v>184</v>
      </c>
      <c r="B185">
        <v>1002621155</v>
      </c>
      <c r="C185">
        <v>3</v>
      </c>
      <c r="D185" t="s">
        <v>55</v>
      </c>
      <c r="E185">
        <v>5</v>
      </c>
      <c r="F185" t="s">
        <v>305</v>
      </c>
      <c r="G185" t="s">
        <v>126</v>
      </c>
      <c r="H185" t="s">
        <v>353</v>
      </c>
      <c r="I185" t="s">
        <v>212</v>
      </c>
      <c r="J185" t="s">
        <v>213</v>
      </c>
      <c r="K185" t="s">
        <v>149</v>
      </c>
      <c r="L185" t="s">
        <v>214</v>
      </c>
      <c r="M185" t="s">
        <v>895</v>
      </c>
      <c r="N185" t="s">
        <v>215</v>
      </c>
      <c r="O185" s="57">
        <v>46298.722071759257</v>
      </c>
      <c r="P185" s="57">
        <v>46300.34480324074</v>
      </c>
      <c r="Q185">
        <v>69403746</v>
      </c>
      <c r="S185">
        <v>152310256174</v>
      </c>
      <c r="T185" t="s">
        <v>2113</v>
      </c>
      <c r="U185" t="s">
        <v>2114</v>
      </c>
      <c r="V185" t="s">
        <v>2115</v>
      </c>
      <c r="Z185">
        <v>112.7790768</v>
      </c>
      <c r="AA185">
        <v>-7.3275152999999902</v>
      </c>
      <c r="AB185" t="s">
        <v>2116</v>
      </c>
      <c r="AC185" t="s">
        <v>235</v>
      </c>
      <c r="AL185" t="s">
        <v>217</v>
      </c>
      <c r="AM185" t="s">
        <v>2117</v>
      </c>
      <c r="AN185" t="s">
        <v>6</v>
      </c>
      <c r="AO185" s="57">
        <v>46091.726053240738</v>
      </c>
      <c r="AP185" s="57">
        <v>46300.333333333336</v>
      </c>
      <c r="AR185" t="s">
        <v>886</v>
      </c>
      <c r="AS185" t="s">
        <v>583</v>
      </c>
      <c r="AT185" t="s">
        <v>230</v>
      </c>
      <c r="AV185" t="s">
        <v>896</v>
      </c>
      <c r="AW185" t="s">
        <v>928</v>
      </c>
      <c r="AX185" t="s">
        <v>222</v>
      </c>
      <c r="BA185" s="57">
        <v>46300.333333333336</v>
      </c>
      <c r="BB185" t="s">
        <v>2117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SURABAYA SELATAN</v>
      </c>
    </row>
    <row r="186" spans="1:61">
      <c r="A186">
        <v>185</v>
      </c>
      <c r="B186">
        <v>1002621157</v>
      </c>
      <c r="C186">
        <v>3</v>
      </c>
      <c r="D186" t="s">
        <v>55</v>
      </c>
      <c r="E186">
        <v>5</v>
      </c>
      <c r="F186" t="s">
        <v>305</v>
      </c>
      <c r="G186" t="s">
        <v>126</v>
      </c>
      <c r="H186" t="s">
        <v>353</v>
      </c>
      <c r="I186" t="s">
        <v>212</v>
      </c>
      <c r="J186" t="s">
        <v>213</v>
      </c>
      <c r="K186" t="s">
        <v>149</v>
      </c>
      <c r="L186" t="s">
        <v>214</v>
      </c>
      <c r="M186" t="s">
        <v>224</v>
      </c>
      <c r="N186" t="s">
        <v>215</v>
      </c>
      <c r="O186" s="57">
        <v>46298.721979166665</v>
      </c>
      <c r="P186" s="57">
        <v>46300.345891203702</v>
      </c>
      <c r="Q186">
        <v>69403746</v>
      </c>
      <c r="S186">
        <v>152310256174</v>
      </c>
      <c r="T186" t="s">
        <v>2113</v>
      </c>
      <c r="U186" t="s">
        <v>2114</v>
      </c>
      <c r="V186" t="s">
        <v>2115</v>
      </c>
      <c r="Z186">
        <v>112.7790768</v>
      </c>
      <c r="AA186">
        <v>-7.3275152999999902</v>
      </c>
      <c r="AB186" t="s">
        <v>2116</v>
      </c>
      <c r="AC186" t="s">
        <v>235</v>
      </c>
      <c r="AL186" t="s">
        <v>217</v>
      </c>
      <c r="AM186" t="s">
        <v>2117</v>
      </c>
      <c r="AN186" t="s">
        <v>6</v>
      </c>
      <c r="AO186" s="57">
        <v>46091.726053240738</v>
      </c>
      <c r="AP186" s="57">
        <v>46300.333333333336</v>
      </c>
      <c r="AR186" t="s">
        <v>18</v>
      </c>
      <c r="AS186" t="s">
        <v>583</v>
      </c>
      <c r="AT186" t="s">
        <v>230</v>
      </c>
      <c r="AV186" t="s">
        <v>226</v>
      </c>
      <c r="AW186" t="s">
        <v>928</v>
      </c>
      <c r="AX186" t="s">
        <v>222</v>
      </c>
      <c r="BA186" s="57">
        <v>46300.333333333336</v>
      </c>
      <c r="BB186" t="s">
        <v>2117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SURABAYA SELATAN</v>
      </c>
    </row>
    <row r="187" spans="1:61">
      <c r="A187">
        <v>186</v>
      </c>
      <c r="B187">
        <v>1002618123</v>
      </c>
      <c r="C187">
        <v>3</v>
      </c>
      <c r="D187" t="s">
        <v>55</v>
      </c>
      <c r="E187">
        <v>5</v>
      </c>
      <c r="F187" t="s">
        <v>305</v>
      </c>
      <c r="G187" t="s">
        <v>126</v>
      </c>
      <c r="H187" t="s">
        <v>370</v>
      </c>
      <c r="I187" t="s">
        <v>212</v>
      </c>
      <c r="J187" t="s">
        <v>213</v>
      </c>
      <c r="K187" t="s">
        <v>149</v>
      </c>
      <c r="M187" t="s">
        <v>76</v>
      </c>
      <c r="N187" t="s">
        <v>215</v>
      </c>
      <c r="O187" s="57">
        <v>46296.606527777774</v>
      </c>
      <c r="P187" s="57">
        <v>46297.817430555559</v>
      </c>
      <c r="Q187">
        <v>69402439</v>
      </c>
      <c r="S187">
        <v>152303244298</v>
      </c>
      <c r="T187" t="s">
        <v>1106</v>
      </c>
      <c r="U187" t="s">
        <v>1107</v>
      </c>
      <c r="V187" t="s">
        <v>1108</v>
      </c>
      <c r="Z187">
        <v>112.780497</v>
      </c>
      <c r="AA187">
        <v>-7.2836188000000002</v>
      </c>
      <c r="AB187" t="s">
        <v>1109</v>
      </c>
      <c r="AC187" t="s">
        <v>229</v>
      </c>
      <c r="AL187" t="s">
        <v>217</v>
      </c>
      <c r="AM187" t="s">
        <v>1110</v>
      </c>
      <c r="AN187" t="s">
        <v>6</v>
      </c>
      <c r="AO187" s="57">
        <v>46032.611296296294</v>
      </c>
      <c r="AP187" s="57">
        <v>46298.333333333336</v>
      </c>
      <c r="AR187" t="s">
        <v>218</v>
      </c>
      <c r="AS187" t="s">
        <v>126</v>
      </c>
      <c r="AT187" t="s">
        <v>230</v>
      </c>
      <c r="AU187">
        <v>20261002</v>
      </c>
      <c r="AV187" t="s">
        <v>221</v>
      </c>
      <c r="AW187" t="s">
        <v>540</v>
      </c>
      <c r="AX187" t="s">
        <v>222</v>
      </c>
      <c r="BA187" s="57">
        <v>46298.333333333336</v>
      </c>
      <c r="BB187" t="s">
        <v>1110</v>
      </c>
      <c r="BC187">
        <v>2026</v>
      </c>
      <c r="BD187">
        <v>10</v>
      </c>
      <c r="BE187">
        <v>2</v>
      </c>
      <c r="BF187" s="6">
        <f t="shared" si="6"/>
        <v>46297</v>
      </c>
      <c r="BG187">
        <f t="shared" si="7"/>
        <v>-1.3333333333357587</v>
      </c>
      <c r="BH187" t="str">
        <f t="shared" si="8"/>
        <v>COMPLY</v>
      </c>
      <c r="BI187" t="str">
        <f>VLOOKUP(H187,Sheet2!$A$1:$B$270,2,FALSE)</f>
        <v>SURABAYA SELATAN</v>
      </c>
    </row>
    <row r="188" spans="1:61">
      <c r="A188">
        <v>187</v>
      </c>
      <c r="B188">
        <v>1002618719</v>
      </c>
      <c r="C188">
        <v>3</v>
      </c>
      <c r="D188" t="s">
        <v>55</v>
      </c>
      <c r="E188">
        <v>5</v>
      </c>
      <c r="F188" t="s">
        <v>305</v>
      </c>
      <c r="G188" t="s">
        <v>126</v>
      </c>
      <c r="H188" t="s">
        <v>370</v>
      </c>
      <c r="I188" t="s">
        <v>212</v>
      </c>
      <c r="J188" t="s">
        <v>213</v>
      </c>
      <c r="K188" t="s">
        <v>149</v>
      </c>
      <c r="M188" t="s">
        <v>76</v>
      </c>
      <c r="N188" t="s">
        <v>215</v>
      </c>
      <c r="O188" s="57">
        <v>46296.725347222222</v>
      </c>
      <c r="P188" s="57">
        <v>46297.798263888886</v>
      </c>
      <c r="Q188">
        <v>69402645</v>
      </c>
      <c r="S188">
        <v>152303245581</v>
      </c>
      <c r="T188" t="s">
        <v>1106</v>
      </c>
      <c r="U188" t="s">
        <v>1111</v>
      </c>
      <c r="V188" t="s">
        <v>1112</v>
      </c>
      <c r="Z188">
        <v>112.780497</v>
      </c>
      <c r="AA188">
        <v>-7.2836188000000002</v>
      </c>
      <c r="AB188" t="s">
        <v>1109</v>
      </c>
      <c r="AC188" t="s">
        <v>229</v>
      </c>
      <c r="AL188" t="s">
        <v>217</v>
      </c>
      <c r="AM188" t="s">
        <v>1113</v>
      </c>
      <c r="AN188" t="s">
        <v>6</v>
      </c>
      <c r="AO188" s="57">
        <v>46032.726099537038</v>
      </c>
      <c r="AP188" s="57">
        <v>46299.333333333336</v>
      </c>
      <c r="AR188" t="s">
        <v>218</v>
      </c>
      <c r="AS188" t="s">
        <v>126</v>
      </c>
      <c r="AT188" t="s">
        <v>230</v>
      </c>
      <c r="AU188">
        <v>20261002</v>
      </c>
      <c r="AV188" t="s">
        <v>221</v>
      </c>
      <c r="AW188" t="s">
        <v>541</v>
      </c>
      <c r="AX188" t="s">
        <v>222</v>
      </c>
      <c r="BA188" s="57">
        <v>46299.333333333336</v>
      </c>
      <c r="BB188" t="s">
        <v>1113</v>
      </c>
      <c r="BC188">
        <v>2026</v>
      </c>
      <c r="BD188">
        <v>10</v>
      </c>
      <c r="BE188">
        <v>2</v>
      </c>
      <c r="BF188" s="6">
        <f t="shared" si="6"/>
        <v>46297</v>
      </c>
      <c r="BG188">
        <f t="shared" si="7"/>
        <v>-2.3333333333357587</v>
      </c>
      <c r="BH188" t="str">
        <f t="shared" si="8"/>
        <v>COMPLY</v>
      </c>
      <c r="BI188" t="str">
        <f>VLOOKUP(H188,Sheet2!$A$1:$B$270,2,FALSE)</f>
        <v>SURABAYA SELATAN</v>
      </c>
    </row>
    <row r="189" spans="1:61">
      <c r="A189">
        <v>188</v>
      </c>
      <c r="B189">
        <v>1002620434</v>
      </c>
      <c r="C189">
        <v>3</v>
      </c>
      <c r="D189" t="s">
        <v>55</v>
      </c>
      <c r="E189">
        <v>5</v>
      </c>
      <c r="F189" t="s">
        <v>305</v>
      </c>
      <c r="G189" t="s">
        <v>126</v>
      </c>
      <c r="H189" t="s">
        <v>370</v>
      </c>
      <c r="I189" t="s">
        <v>212</v>
      </c>
      <c r="J189" t="s">
        <v>213</v>
      </c>
      <c r="K189" t="s">
        <v>149</v>
      </c>
      <c r="M189" t="s">
        <v>76</v>
      </c>
      <c r="N189" t="s">
        <v>215</v>
      </c>
      <c r="O189" s="57">
        <v>46297.686249999999</v>
      </c>
      <c r="P189" s="57">
        <v>46297.763854166667</v>
      </c>
      <c r="Q189">
        <v>69400564</v>
      </c>
      <c r="S189">
        <v>152303245782</v>
      </c>
      <c r="T189" t="s">
        <v>2118</v>
      </c>
      <c r="U189" t="s">
        <v>2119</v>
      </c>
      <c r="V189" t="s">
        <v>2120</v>
      </c>
      <c r="Z189">
        <v>112.7825653</v>
      </c>
      <c r="AA189">
        <v>-7.2943269519999996</v>
      </c>
      <c r="AB189" t="s">
        <v>2121</v>
      </c>
      <c r="AC189" t="s">
        <v>216</v>
      </c>
      <c r="AL189" t="s">
        <v>217</v>
      </c>
      <c r="AM189" t="s">
        <v>2122</v>
      </c>
      <c r="AN189" t="s">
        <v>6</v>
      </c>
      <c r="AO189" s="57">
        <v>46063.694699074076</v>
      </c>
      <c r="AR189" t="s">
        <v>218</v>
      </c>
      <c r="AS189" t="s">
        <v>126</v>
      </c>
      <c r="AT189" t="s">
        <v>230</v>
      </c>
      <c r="AU189">
        <v>20261002</v>
      </c>
      <c r="AV189" t="s">
        <v>221</v>
      </c>
      <c r="AW189" t="s">
        <v>540</v>
      </c>
      <c r="AX189" t="s">
        <v>222</v>
      </c>
      <c r="BA189" s="57">
        <v>46297.291666666664</v>
      </c>
      <c r="BB189" t="s">
        <v>2122</v>
      </c>
      <c r="BC189">
        <v>2026</v>
      </c>
      <c r="BD189">
        <v>10</v>
      </c>
      <c r="BE189">
        <v>2</v>
      </c>
      <c r="BF189" s="6">
        <f t="shared" si="6"/>
        <v>46297</v>
      </c>
      <c r="BG189">
        <f t="shared" si="7"/>
        <v>-0.29166666666424135</v>
      </c>
      <c r="BH189" t="str">
        <f t="shared" si="8"/>
        <v>COMPLY</v>
      </c>
      <c r="BI189" t="str">
        <f>VLOOKUP(H189,Sheet2!$A$1:$B$270,2,FALSE)</f>
        <v>SURABAYA SELATAN</v>
      </c>
    </row>
    <row r="190" spans="1:61">
      <c r="A190">
        <v>189</v>
      </c>
      <c r="B190">
        <v>1002620872</v>
      </c>
      <c r="C190">
        <v>3</v>
      </c>
      <c r="D190" t="s">
        <v>55</v>
      </c>
      <c r="E190">
        <v>5</v>
      </c>
      <c r="F190" t="s">
        <v>305</v>
      </c>
      <c r="G190" t="s">
        <v>126</v>
      </c>
      <c r="H190" t="s">
        <v>370</v>
      </c>
      <c r="I190" t="s">
        <v>212</v>
      </c>
      <c r="J190" t="s">
        <v>213</v>
      </c>
      <c r="K190" t="s">
        <v>149</v>
      </c>
      <c r="L190" t="s">
        <v>214</v>
      </c>
      <c r="M190" t="s">
        <v>76</v>
      </c>
      <c r="N190" t="s">
        <v>215</v>
      </c>
      <c r="O190" s="57">
        <v>46298.478182870371</v>
      </c>
      <c r="P190" s="57">
        <v>46298.787222222221</v>
      </c>
      <c r="Q190">
        <v>69403546</v>
      </c>
      <c r="S190">
        <v>152303245938</v>
      </c>
      <c r="T190" t="s">
        <v>2123</v>
      </c>
      <c r="U190" t="s">
        <v>2124</v>
      </c>
      <c r="V190" t="s">
        <v>2125</v>
      </c>
      <c r="Z190">
        <v>112.781138</v>
      </c>
      <c r="AA190">
        <v>-7.3057619999999996</v>
      </c>
      <c r="AB190" t="s">
        <v>2126</v>
      </c>
      <c r="AC190" t="s">
        <v>235</v>
      </c>
      <c r="AL190" t="s">
        <v>217</v>
      </c>
      <c r="AM190" t="s">
        <v>1766</v>
      </c>
      <c r="AN190" t="s">
        <v>6</v>
      </c>
      <c r="AO190" s="57">
        <v>46091.486087962963</v>
      </c>
      <c r="AP190" s="57">
        <v>46299.333333333336</v>
      </c>
      <c r="AR190" t="s">
        <v>218</v>
      </c>
      <c r="AS190" t="s">
        <v>126</v>
      </c>
      <c r="AT190" t="s">
        <v>230</v>
      </c>
      <c r="AU190">
        <v>20261003</v>
      </c>
      <c r="AV190" t="s">
        <v>221</v>
      </c>
      <c r="AW190" t="s">
        <v>879</v>
      </c>
      <c r="AX190" t="s">
        <v>222</v>
      </c>
      <c r="BA190" s="57">
        <v>46299.333333333336</v>
      </c>
      <c r="BB190" t="s">
        <v>1766</v>
      </c>
      <c r="BC190">
        <v>2026</v>
      </c>
      <c r="BD190">
        <v>10</v>
      </c>
      <c r="BE190">
        <v>3</v>
      </c>
      <c r="BF190" s="6">
        <f t="shared" si="6"/>
        <v>46298</v>
      </c>
      <c r="BG190">
        <f t="shared" si="7"/>
        <v>-1.3333333333357587</v>
      </c>
      <c r="BH190" t="str">
        <f t="shared" si="8"/>
        <v>COMPLY</v>
      </c>
      <c r="BI190" t="str">
        <f>VLOOKUP(H190,Sheet2!$A$1:$B$270,2,FALSE)</f>
        <v>SURABAYA SELATAN</v>
      </c>
    </row>
    <row r="191" spans="1:61">
      <c r="A191">
        <v>190</v>
      </c>
      <c r="B191">
        <v>1002620834</v>
      </c>
      <c r="C191">
        <v>3</v>
      </c>
      <c r="D191" t="s">
        <v>55</v>
      </c>
      <c r="E191">
        <v>5</v>
      </c>
      <c r="F191" t="s">
        <v>305</v>
      </c>
      <c r="G191" t="s">
        <v>126</v>
      </c>
      <c r="H191" t="s">
        <v>370</v>
      </c>
      <c r="I191" t="s">
        <v>212</v>
      </c>
      <c r="J191" t="s">
        <v>213</v>
      </c>
      <c r="K191" t="s">
        <v>149</v>
      </c>
      <c r="L191" t="s">
        <v>214</v>
      </c>
      <c r="M191" t="s">
        <v>76</v>
      </c>
      <c r="N191" t="s">
        <v>215</v>
      </c>
      <c r="O191" s="57">
        <v>46298.442824074074</v>
      </c>
      <c r="P191" s="57">
        <v>46299.700659722221</v>
      </c>
      <c r="Q191">
        <v>69403518</v>
      </c>
      <c r="S191">
        <v>152303243536</v>
      </c>
      <c r="T191" t="s">
        <v>2127</v>
      </c>
      <c r="U191" t="s">
        <v>2128</v>
      </c>
      <c r="V191" t="s">
        <v>2129</v>
      </c>
      <c r="Z191">
        <v>112.796211</v>
      </c>
      <c r="AA191">
        <v>-7.2906975999999997</v>
      </c>
      <c r="AB191" t="s">
        <v>2130</v>
      </c>
      <c r="AC191" t="s">
        <v>216</v>
      </c>
      <c r="AL191" t="s">
        <v>217</v>
      </c>
      <c r="AM191" t="s">
        <v>1705</v>
      </c>
      <c r="AN191" t="s">
        <v>6</v>
      </c>
      <c r="AO191" s="57">
        <v>46091.444571759261</v>
      </c>
      <c r="AP191" s="57">
        <v>46299.333333333336</v>
      </c>
      <c r="AR191" t="s">
        <v>218</v>
      </c>
      <c r="AS191" t="s">
        <v>126</v>
      </c>
      <c r="AT191" t="s">
        <v>342</v>
      </c>
      <c r="AU191">
        <v>20261004</v>
      </c>
      <c r="AV191" t="s">
        <v>221</v>
      </c>
      <c r="AW191" t="s">
        <v>2057</v>
      </c>
      <c r="AX191" t="s">
        <v>222</v>
      </c>
      <c r="BA191" s="57">
        <v>46299.333333333336</v>
      </c>
      <c r="BB191" t="s">
        <v>1705</v>
      </c>
      <c r="BC191">
        <v>2026</v>
      </c>
      <c r="BD191">
        <v>10</v>
      </c>
      <c r="BE191">
        <v>4</v>
      </c>
      <c r="BF191" s="6">
        <f t="shared" si="6"/>
        <v>46299</v>
      </c>
      <c r="BG191">
        <f t="shared" si="7"/>
        <v>-0.33333333333575865</v>
      </c>
      <c r="BH191" t="str">
        <f t="shared" si="8"/>
        <v>COMPLY</v>
      </c>
      <c r="BI191" t="str">
        <f>VLOOKUP(H191,Sheet2!$A$1:$B$270,2,FALSE)</f>
        <v>SURABAYA SELATAN</v>
      </c>
    </row>
    <row r="192" spans="1:61">
      <c r="A192">
        <v>191</v>
      </c>
      <c r="B192">
        <v>1002618820</v>
      </c>
      <c r="C192">
        <v>3</v>
      </c>
      <c r="D192" t="s">
        <v>55</v>
      </c>
      <c r="E192">
        <v>5</v>
      </c>
      <c r="F192" t="s">
        <v>305</v>
      </c>
      <c r="G192" t="s">
        <v>124</v>
      </c>
      <c r="H192" t="s">
        <v>307</v>
      </c>
      <c r="I192" t="s">
        <v>212</v>
      </c>
      <c r="J192" t="s">
        <v>213</v>
      </c>
      <c r="K192" t="s">
        <v>149</v>
      </c>
      <c r="L192" t="s">
        <v>214</v>
      </c>
      <c r="M192" t="s">
        <v>76</v>
      </c>
      <c r="N192" t="s">
        <v>215</v>
      </c>
      <c r="O192" s="57">
        <v>46296.817812499998</v>
      </c>
      <c r="P192" s="57">
        <v>46298.589918981481</v>
      </c>
      <c r="Q192">
        <v>69402688</v>
      </c>
      <c r="S192">
        <v>152308243565</v>
      </c>
      <c r="T192" t="s">
        <v>1114</v>
      </c>
      <c r="U192" t="s">
        <v>1115</v>
      </c>
      <c r="V192" t="s">
        <v>1116</v>
      </c>
      <c r="Z192">
        <v>112.755453586578</v>
      </c>
      <c r="AA192">
        <v>-7.3179974751349901</v>
      </c>
      <c r="AB192" t="s">
        <v>1117</v>
      </c>
      <c r="AC192" t="s">
        <v>235</v>
      </c>
      <c r="AL192" t="s">
        <v>217</v>
      </c>
      <c r="AM192" t="s">
        <v>1118</v>
      </c>
      <c r="AN192" t="s">
        <v>6</v>
      </c>
      <c r="AO192" s="57">
        <v>46032.819814814815</v>
      </c>
      <c r="AP192" s="57">
        <v>46298.333333333336</v>
      </c>
      <c r="AR192" t="s">
        <v>218</v>
      </c>
      <c r="AS192" t="s">
        <v>581</v>
      </c>
      <c r="AT192" t="s">
        <v>230</v>
      </c>
      <c r="AU192">
        <v>20261003</v>
      </c>
      <c r="AV192" t="s">
        <v>221</v>
      </c>
      <c r="AW192" t="s">
        <v>879</v>
      </c>
      <c r="AX192" t="s">
        <v>222</v>
      </c>
      <c r="BA192" s="57">
        <v>46298.333333333336</v>
      </c>
      <c r="BB192" t="s">
        <v>1118</v>
      </c>
      <c r="BC192">
        <v>2026</v>
      </c>
      <c r="BD192">
        <v>10</v>
      </c>
      <c r="BE192">
        <v>3</v>
      </c>
      <c r="BF192" s="6">
        <f t="shared" si="6"/>
        <v>46298</v>
      </c>
      <c r="BG192">
        <f t="shared" si="7"/>
        <v>-0.33333333333575865</v>
      </c>
      <c r="BH192" t="str">
        <f t="shared" si="8"/>
        <v>COMPLY</v>
      </c>
      <c r="BI192" t="str">
        <f>VLOOKUP(H192,Sheet2!$A$1:$B$270,2,FALSE)</f>
        <v>SURABAYA SELATAN</v>
      </c>
    </row>
    <row r="193" spans="1:61">
      <c r="A193">
        <v>192</v>
      </c>
      <c r="B193">
        <v>1002621494</v>
      </c>
      <c r="C193">
        <v>3</v>
      </c>
      <c r="D193" t="s">
        <v>55</v>
      </c>
      <c r="E193">
        <v>5</v>
      </c>
      <c r="F193" t="s">
        <v>305</v>
      </c>
      <c r="G193" t="s">
        <v>124</v>
      </c>
      <c r="H193" t="s">
        <v>307</v>
      </c>
      <c r="I193" t="s">
        <v>212</v>
      </c>
      <c r="J193" t="s">
        <v>213</v>
      </c>
      <c r="K193" t="s">
        <v>149</v>
      </c>
      <c r="M193" t="s">
        <v>238</v>
      </c>
      <c r="N193" t="s">
        <v>215</v>
      </c>
      <c r="O193" s="57">
        <v>46299.708287037036</v>
      </c>
      <c r="P193" s="57">
        <v>46299.793067129627</v>
      </c>
      <c r="Q193">
        <v>69403975</v>
      </c>
      <c r="S193">
        <v>152308243249</v>
      </c>
      <c r="T193" t="s">
        <v>2131</v>
      </c>
      <c r="U193" t="s">
        <v>2132</v>
      </c>
      <c r="V193" t="s">
        <v>2133</v>
      </c>
      <c r="Z193">
        <v>112.7612716</v>
      </c>
      <c r="AA193">
        <v>-7.3070893999999997</v>
      </c>
      <c r="AB193" t="s">
        <v>2134</v>
      </c>
      <c r="AC193" t="s">
        <v>229</v>
      </c>
      <c r="AL193" t="s">
        <v>217</v>
      </c>
      <c r="AM193" t="s">
        <v>2135</v>
      </c>
      <c r="AN193" t="s">
        <v>6</v>
      </c>
      <c r="AO193" s="57">
        <v>46122.725798611114</v>
      </c>
      <c r="AP193" s="57">
        <v>46300.625</v>
      </c>
      <c r="AR193" t="s">
        <v>239</v>
      </c>
      <c r="AS193" t="s">
        <v>581</v>
      </c>
      <c r="AT193" t="s">
        <v>2136</v>
      </c>
      <c r="AV193" t="s">
        <v>238</v>
      </c>
      <c r="AW193" t="s">
        <v>2137</v>
      </c>
      <c r="AX193" t="s">
        <v>222</v>
      </c>
      <c r="BA193" s="57">
        <v>46300.625</v>
      </c>
      <c r="BB193" t="s">
        <v>2135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SURABAYA SELATAN</v>
      </c>
    </row>
    <row r="194" spans="1:61">
      <c r="A194">
        <v>193</v>
      </c>
      <c r="B194">
        <v>1002620934</v>
      </c>
      <c r="C194">
        <v>3</v>
      </c>
      <c r="D194" t="s">
        <v>51</v>
      </c>
      <c r="E194">
        <v>4</v>
      </c>
      <c r="F194" t="s">
        <v>234</v>
      </c>
      <c r="G194" t="s">
        <v>2138</v>
      </c>
      <c r="H194" t="s">
        <v>2139</v>
      </c>
      <c r="I194" t="s">
        <v>212</v>
      </c>
      <c r="J194" t="s">
        <v>213</v>
      </c>
      <c r="K194" t="s">
        <v>149</v>
      </c>
      <c r="L194" t="s">
        <v>214</v>
      </c>
      <c r="M194" t="s">
        <v>224</v>
      </c>
      <c r="N194" t="s">
        <v>215</v>
      </c>
      <c r="O194" s="57">
        <v>46298.520532407405</v>
      </c>
      <c r="P194" s="57">
        <v>46299.472337962965</v>
      </c>
      <c r="Q194">
        <v>69403570</v>
      </c>
      <c r="S194">
        <v>143592107359</v>
      </c>
      <c r="T194" t="s">
        <v>2140</v>
      </c>
      <c r="U194" t="s">
        <v>2141</v>
      </c>
      <c r="V194" t="s">
        <v>2142</v>
      </c>
      <c r="Z194">
        <v>110.7244029</v>
      </c>
      <c r="AA194">
        <v>-7.6536429999999998</v>
      </c>
      <c r="AB194" t="s">
        <v>2143</v>
      </c>
      <c r="AC194" t="s">
        <v>235</v>
      </c>
      <c r="AL194" t="s">
        <v>217</v>
      </c>
      <c r="AM194" t="s">
        <v>1695</v>
      </c>
      <c r="AN194" t="s">
        <v>6</v>
      </c>
      <c r="AO194" s="57">
        <v>46091.527916666666</v>
      </c>
      <c r="AP194" s="57">
        <v>46299.458333333336</v>
      </c>
      <c r="AR194" t="s">
        <v>18</v>
      </c>
      <c r="AS194" t="s">
        <v>2144</v>
      </c>
      <c r="AT194" t="s">
        <v>230</v>
      </c>
      <c r="AV194" t="s">
        <v>226</v>
      </c>
      <c r="AW194" t="s">
        <v>879</v>
      </c>
      <c r="AX194" t="s">
        <v>222</v>
      </c>
      <c r="BA194" s="57">
        <v>46299.458333333336</v>
      </c>
      <c r="BB194" t="s">
        <v>1695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e">
        <f>VLOOKUP(H194,Sheet2!$A$1:$B$270,2,FALSE)</f>
        <v>#N/A</v>
      </c>
    </row>
    <row r="195" spans="1:61">
      <c r="A195">
        <v>194</v>
      </c>
      <c r="B195">
        <v>1002618761</v>
      </c>
      <c r="C195">
        <v>3</v>
      </c>
      <c r="D195" t="s">
        <v>51</v>
      </c>
      <c r="E195">
        <v>4</v>
      </c>
      <c r="F195" t="s">
        <v>268</v>
      </c>
      <c r="G195" t="s">
        <v>832</v>
      </c>
      <c r="H195" t="s">
        <v>833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46296.742812500001</v>
      </c>
      <c r="P195" s="57">
        <v>46298.684421296297</v>
      </c>
      <c r="Q195">
        <v>69402661</v>
      </c>
      <c r="S195">
        <v>141569116032</v>
      </c>
      <c r="T195" t="s">
        <v>1124</v>
      </c>
      <c r="U195" t="s">
        <v>1125</v>
      </c>
      <c r="V195" t="s">
        <v>1126</v>
      </c>
      <c r="Z195">
        <v>111.415111</v>
      </c>
      <c r="AA195">
        <v>-6.96875</v>
      </c>
      <c r="AB195" t="s">
        <v>1127</v>
      </c>
      <c r="AC195" t="s">
        <v>235</v>
      </c>
      <c r="AL195" t="s">
        <v>217</v>
      </c>
      <c r="AM195" t="s">
        <v>1128</v>
      </c>
      <c r="AN195" t="s">
        <v>6</v>
      </c>
      <c r="AO195" s="57">
        <v>46032.746898148151</v>
      </c>
      <c r="AP195" s="57">
        <v>46297.625</v>
      </c>
      <c r="AR195" t="s">
        <v>218</v>
      </c>
      <c r="AS195" t="s">
        <v>219</v>
      </c>
      <c r="AT195" t="s">
        <v>230</v>
      </c>
      <c r="AU195">
        <v>20261003</v>
      </c>
      <c r="AV195" t="s">
        <v>221</v>
      </c>
      <c r="AW195" t="s">
        <v>879</v>
      </c>
      <c r="AX195" t="s">
        <v>222</v>
      </c>
      <c r="BA195" s="57">
        <v>46297.625</v>
      </c>
      <c r="BB195" t="s">
        <v>1128</v>
      </c>
      <c r="BC195">
        <v>2026</v>
      </c>
      <c r="BD195">
        <v>10</v>
      </c>
      <c r="BE195">
        <v>3</v>
      </c>
      <c r="BF195" s="6">
        <f t="shared" si="9"/>
        <v>46298</v>
      </c>
      <c r="BG195">
        <f t="shared" si="10"/>
        <v>0.375</v>
      </c>
      <c r="BH195" t="str">
        <f t="shared" si="11"/>
        <v>COMPLY</v>
      </c>
      <c r="BI195" t="e">
        <f>VLOOKUP(H195,Sheet2!$A$1:$B$270,2,FALSE)</f>
        <v>#N/A</v>
      </c>
    </row>
    <row r="196" spans="1:61">
      <c r="A196">
        <v>195</v>
      </c>
      <c r="B196">
        <v>1002617446</v>
      </c>
      <c r="C196">
        <v>3</v>
      </c>
      <c r="D196" t="s">
        <v>51</v>
      </c>
      <c r="E196">
        <v>4</v>
      </c>
      <c r="F196" t="s">
        <v>268</v>
      </c>
      <c r="G196" t="s">
        <v>832</v>
      </c>
      <c r="H196" t="s">
        <v>833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46296.449756944443</v>
      </c>
      <c r="P196" s="57">
        <v>46297.576631944445</v>
      </c>
      <c r="Q196">
        <v>69402204</v>
      </c>
      <c r="S196">
        <v>141569116024</v>
      </c>
      <c r="T196" t="s">
        <v>1119</v>
      </c>
      <c r="U196" t="s">
        <v>1120</v>
      </c>
      <c r="V196" t="s">
        <v>1121</v>
      </c>
      <c r="Z196">
        <v>111.4356827</v>
      </c>
      <c r="AA196">
        <v>-6.9676187000000001</v>
      </c>
      <c r="AB196" t="s">
        <v>1122</v>
      </c>
      <c r="AC196" t="s">
        <v>235</v>
      </c>
      <c r="AL196" t="s">
        <v>217</v>
      </c>
      <c r="AM196" t="s">
        <v>1123</v>
      </c>
      <c r="AN196" t="s">
        <v>6</v>
      </c>
      <c r="AO196" s="57">
        <v>46032.486342592594</v>
      </c>
      <c r="AP196" s="57">
        <v>46297.333333333336</v>
      </c>
      <c r="AR196" t="s">
        <v>218</v>
      </c>
      <c r="AS196" t="s">
        <v>219</v>
      </c>
      <c r="AT196" t="s">
        <v>230</v>
      </c>
      <c r="AU196">
        <v>20261002</v>
      </c>
      <c r="AV196" t="s">
        <v>221</v>
      </c>
      <c r="AW196" t="s">
        <v>236</v>
      </c>
      <c r="AX196" t="s">
        <v>222</v>
      </c>
      <c r="BA196" s="57">
        <v>46297.333333333336</v>
      </c>
      <c r="BB196" t="s">
        <v>1123</v>
      </c>
      <c r="BC196">
        <v>2026</v>
      </c>
      <c r="BD196">
        <v>10</v>
      </c>
      <c r="BE196">
        <v>2</v>
      </c>
      <c r="BF196" s="6">
        <f t="shared" si="9"/>
        <v>46297</v>
      </c>
      <c r="BG196">
        <f t="shared" si="10"/>
        <v>-0.33333333333575865</v>
      </c>
      <c r="BH196" t="str">
        <f t="shared" si="11"/>
        <v>COMPLY</v>
      </c>
      <c r="BI196" t="e">
        <f>VLOOKUP(H196,Sheet2!$A$1:$B$270,2,FALSE)</f>
        <v>#N/A</v>
      </c>
    </row>
    <row r="197" spans="1:61">
      <c r="A197">
        <v>196</v>
      </c>
      <c r="B197">
        <v>1002621472</v>
      </c>
      <c r="C197">
        <v>3</v>
      </c>
      <c r="D197" t="s">
        <v>51</v>
      </c>
      <c r="E197">
        <v>4</v>
      </c>
      <c r="F197" t="s">
        <v>268</v>
      </c>
      <c r="G197" t="s">
        <v>832</v>
      </c>
      <c r="H197" t="s">
        <v>833</v>
      </c>
      <c r="I197" t="s">
        <v>212</v>
      </c>
      <c r="J197" t="s">
        <v>213</v>
      </c>
      <c r="K197" t="s">
        <v>149</v>
      </c>
      <c r="L197" t="s">
        <v>214</v>
      </c>
      <c r="M197" t="s">
        <v>238</v>
      </c>
      <c r="N197" t="s">
        <v>215</v>
      </c>
      <c r="O197" s="57">
        <v>46299.665682870371</v>
      </c>
      <c r="P197" s="57">
        <v>46299.667407407411</v>
      </c>
      <c r="Q197">
        <v>69403968</v>
      </c>
      <c r="S197">
        <v>141569116042</v>
      </c>
      <c r="T197" t="s">
        <v>2145</v>
      </c>
      <c r="U197" t="s">
        <v>2146</v>
      </c>
      <c r="V197" t="s">
        <v>2147</v>
      </c>
      <c r="Z197">
        <v>111.4062969</v>
      </c>
      <c r="AA197">
        <v>-6.9794874999999896</v>
      </c>
      <c r="AB197" t="s">
        <v>2148</v>
      </c>
      <c r="AC197" t="s">
        <v>235</v>
      </c>
      <c r="AL197" t="s">
        <v>217</v>
      </c>
      <c r="AM197" t="s">
        <v>2149</v>
      </c>
      <c r="AN197" t="s">
        <v>6</v>
      </c>
      <c r="AO197" s="57">
        <v>46122.674062500002</v>
      </c>
      <c r="AP197" s="57">
        <v>46300.625</v>
      </c>
      <c r="AR197" t="s">
        <v>239</v>
      </c>
      <c r="AS197" t="s">
        <v>219</v>
      </c>
      <c r="AT197" t="s">
        <v>230</v>
      </c>
      <c r="AV197" t="s">
        <v>238</v>
      </c>
      <c r="AW197" t="s">
        <v>879</v>
      </c>
      <c r="AX197" t="s">
        <v>222</v>
      </c>
      <c r="BA197" s="57">
        <v>46300.625</v>
      </c>
      <c r="BB197" t="s">
        <v>2149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e">
        <f>VLOOKUP(H197,Sheet2!$A$1:$B$270,2,FALSE)</f>
        <v>#N/A</v>
      </c>
    </row>
    <row r="198" spans="1:61">
      <c r="A198">
        <v>197</v>
      </c>
      <c r="B198">
        <v>1002620263</v>
      </c>
      <c r="C198">
        <v>3</v>
      </c>
      <c r="D198" t="s">
        <v>51</v>
      </c>
      <c r="E198">
        <v>4</v>
      </c>
      <c r="F198" t="s">
        <v>268</v>
      </c>
      <c r="G198" t="s">
        <v>832</v>
      </c>
      <c r="H198" t="s">
        <v>2150</v>
      </c>
      <c r="I198" t="s">
        <v>212</v>
      </c>
      <c r="J198" t="s">
        <v>213</v>
      </c>
      <c r="K198" t="s">
        <v>149</v>
      </c>
      <c r="M198" t="s">
        <v>224</v>
      </c>
      <c r="N198" t="s">
        <v>215</v>
      </c>
      <c r="O198" s="57">
        <v>46297.645277777781</v>
      </c>
      <c r="P198" s="57">
        <v>46299.467800925922</v>
      </c>
      <c r="Q198">
        <v>69403235</v>
      </c>
      <c r="S198">
        <v>142552107894</v>
      </c>
      <c r="T198" t="s">
        <v>2151</v>
      </c>
      <c r="U198" t="s">
        <v>2152</v>
      </c>
      <c r="V198" t="s">
        <v>2153</v>
      </c>
      <c r="Z198">
        <v>111.57115810000001</v>
      </c>
      <c r="AA198">
        <v>-7.1108092000000003</v>
      </c>
      <c r="AB198" t="s">
        <v>2154</v>
      </c>
      <c r="AC198" t="s">
        <v>283</v>
      </c>
      <c r="AL198" t="s">
        <v>217</v>
      </c>
      <c r="AM198" t="s">
        <v>2155</v>
      </c>
      <c r="AN198" t="s">
        <v>6</v>
      </c>
      <c r="AO198" s="57">
        <v>46063.652951388889</v>
      </c>
      <c r="AP198" s="57">
        <v>46299.458333333336</v>
      </c>
      <c r="AR198" t="s">
        <v>18</v>
      </c>
      <c r="AS198" t="s">
        <v>2156</v>
      </c>
      <c r="AT198" t="s">
        <v>230</v>
      </c>
      <c r="AV198" t="s">
        <v>226</v>
      </c>
      <c r="AW198" t="s">
        <v>2157</v>
      </c>
      <c r="AX198" t="s">
        <v>222</v>
      </c>
      <c r="BA198" s="57">
        <v>46299.458333333336</v>
      </c>
      <c r="BB198" t="s">
        <v>2155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e">
        <f>VLOOKUP(H198,Sheet2!$A$1:$B$270,2,FALSE)</f>
        <v>#N/A</v>
      </c>
    </row>
    <row r="199" spans="1:61">
      <c r="A199">
        <v>198</v>
      </c>
      <c r="B199">
        <v>1002619966</v>
      </c>
      <c r="C199">
        <v>3</v>
      </c>
      <c r="D199" t="s">
        <v>51</v>
      </c>
      <c r="E199">
        <v>4</v>
      </c>
      <c r="F199" t="s">
        <v>268</v>
      </c>
      <c r="G199" t="s">
        <v>832</v>
      </c>
      <c r="H199" t="s">
        <v>2150</v>
      </c>
      <c r="I199" t="s">
        <v>212</v>
      </c>
      <c r="J199" t="s">
        <v>213</v>
      </c>
      <c r="K199" t="s">
        <v>149</v>
      </c>
      <c r="M199" t="s">
        <v>1726</v>
      </c>
      <c r="N199" t="s">
        <v>215</v>
      </c>
      <c r="O199" s="57">
        <v>46297.597511574073</v>
      </c>
      <c r="P199" s="57">
        <v>46297.635995370372</v>
      </c>
      <c r="Q199">
        <v>69403149</v>
      </c>
      <c r="S199">
        <v>142552107893</v>
      </c>
      <c r="T199" t="s">
        <v>2151</v>
      </c>
      <c r="U199" t="s">
        <v>2152</v>
      </c>
      <c r="Z199">
        <v>111.57115810000001</v>
      </c>
      <c r="AA199">
        <v>-7.1108092000000003</v>
      </c>
      <c r="AB199" t="s">
        <v>2158</v>
      </c>
      <c r="AC199" t="s">
        <v>283</v>
      </c>
      <c r="AO199" s="57">
        <v>46063.61105324074</v>
      </c>
      <c r="AR199" t="s">
        <v>1731</v>
      </c>
      <c r="AS199" t="s">
        <v>2156</v>
      </c>
      <c r="AT199" t="s">
        <v>230</v>
      </c>
      <c r="AV199" t="s">
        <v>2159</v>
      </c>
      <c r="AW199" t="s">
        <v>540</v>
      </c>
      <c r="AX199" t="s">
        <v>222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e">
        <f>VLOOKUP(H199,Sheet2!$A$1:$B$270,2,FALSE)</f>
        <v>#N/A</v>
      </c>
    </row>
    <row r="200" spans="1:61">
      <c r="A200">
        <v>199</v>
      </c>
      <c r="B200">
        <v>1002620740</v>
      </c>
      <c r="C200">
        <v>3</v>
      </c>
      <c r="D200" t="s">
        <v>51</v>
      </c>
      <c r="E200">
        <v>4</v>
      </c>
      <c r="F200" t="s">
        <v>268</v>
      </c>
      <c r="G200" t="s">
        <v>545</v>
      </c>
      <c r="H200" t="s">
        <v>2160</v>
      </c>
      <c r="I200" t="s">
        <v>212</v>
      </c>
      <c r="J200" t="s">
        <v>213</v>
      </c>
      <c r="K200" t="s">
        <v>149</v>
      </c>
      <c r="L200" t="s">
        <v>214</v>
      </c>
      <c r="M200" t="s">
        <v>224</v>
      </c>
      <c r="N200" t="s">
        <v>215</v>
      </c>
      <c r="O200" s="57">
        <v>46298.358043981483</v>
      </c>
      <c r="P200" s="57">
        <v>46299.337118055555</v>
      </c>
      <c r="Q200">
        <v>69403439</v>
      </c>
      <c r="S200">
        <v>142521103463</v>
      </c>
      <c r="T200" t="s">
        <v>2161</v>
      </c>
      <c r="U200" t="s">
        <v>2162</v>
      </c>
      <c r="V200" t="s">
        <v>2163</v>
      </c>
      <c r="Z200">
        <v>110.778127</v>
      </c>
      <c r="AA200">
        <v>-7.0247109999999999</v>
      </c>
      <c r="AB200" t="s">
        <v>2164</v>
      </c>
      <c r="AC200" t="s">
        <v>235</v>
      </c>
      <c r="AL200" t="s">
        <v>217</v>
      </c>
      <c r="AM200" t="s">
        <v>2165</v>
      </c>
      <c r="AN200" t="s">
        <v>6</v>
      </c>
      <c r="AO200" s="57">
        <v>46091.361296296294</v>
      </c>
      <c r="AP200" s="57">
        <v>46299.333333333336</v>
      </c>
      <c r="AR200" t="s">
        <v>18</v>
      </c>
      <c r="AS200" t="s">
        <v>2166</v>
      </c>
      <c r="AT200" t="s">
        <v>230</v>
      </c>
      <c r="AV200" t="s">
        <v>226</v>
      </c>
      <c r="AW200" t="s">
        <v>882</v>
      </c>
      <c r="AX200" t="s">
        <v>222</v>
      </c>
      <c r="BA200" s="57">
        <v>46299.333333333336</v>
      </c>
      <c r="BB200" t="s">
        <v>2165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e">
        <f>VLOOKUP(H200,Sheet2!$A$1:$B$270,2,FALSE)</f>
        <v>#N/A</v>
      </c>
    </row>
    <row r="201" spans="1:61">
      <c r="A201">
        <v>200</v>
      </c>
      <c r="B201">
        <v>1002618094</v>
      </c>
      <c r="C201">
        <v>3</v>
      </c>
      <c r="D201" t="s">
        <v>51</v>
      </c>
      <c r="E201">
        <v>4</v>
      </c>
      <c r="F201" t="s">
        <v>268</v>
      </c>
      <c r="G201" t="s">
        <v>545</v>
      </c>
      <c r="H201" t="s">
        <v>850</v>
      </c>
      <c r="I201" t="s">
        <v>212</v>
      </c>
      <c r="J201" t="s">
        <v>213</v>
      </c>
      <c r="K201" t="s">
        <v>149</v>
      </c>
      <c r="M201" t="s">
        <v>76</v>
      </c>
      <c r="N201" t="s">
        <v>215</v>
      </c>
      <c r="O201" s="57">
        <v>46296.601504629631</v>
      </c>
      <c r="P201" s="57">
        <v>46297.668043981481</v>
      </c>
      <c r="Q201">
        <v>69402453</v>
      </c>
      <c r="S201">
        <v>141568111741</v>
      </c>
      <c r="T201" t="s">
        <v>1134</v>
      </c>
      <c r="U201" t="s">
        <v>1135</v>
      </c>
      <c r="V201" t="s">
        <v>1136</v>
      </c>
      <c r="Z201">
        <v>110.84761279999999</v>
      </c>
      <c r="AA201">
        <v>-7.0151427999999996</v>
      </c>
      <c r="AB201" t="s">
        <v>1137</v>
      </c>
      <c r="AC201" t="s">
        <v>283</v>
      </c>
      <c r="AL201" t="s">
        <v>217</v>
      </c>
      <c r="AM201" t="s">
        <v>1138</v>
      </c>
      <c r="AN201" t="s">
        <v>6</v>
      </c>
      <c r="AO201" s="57">
        <v>46032.611296296294</v>
      </c>
      <c r="AP201" s="57">
        <v>46297.625</v>
      </c>
      <c r="AR201" t="s">
        <v>218</v>
      </c>
      <c r="AS201" t="s">
        <v>219</v>
      </c>
      <c r="AT201" t="s">
        <v>230</v>
      </c>
      <c r="AU201">
        <v>20261002</v>
      </c>
      <c r="AV201" t="s">
        <v>221</v>
      </c>
      <c r="AW201" t="s">
        <v>863</v>
      </c>
      <c r="AX201" t="s">
        <v>222</v>
      </c>
      <c r="BA201" s="57">
        <v>46297.625</v>
      </c>
      <c r="BB201" t="s">
        <v>1138</v>
      </c>
      <c r="BC201">
        <v>2026</v>
      </c>
      <c r="BD201">
        <v>10</v>
      </c>
      <c r="BE201">
        <v>2</v>
      </c>
      <c r="BF201" s="6">
        <f t="shared" si="9"/>
        <v>46297</v>
      </c>
      <c r="BG201">
        <f t="shared" si="10"/>
        <v>-0.625</v>
      </c>
      <c r="BH201" t="str">
        <f t="shared" si="11"/>
        <v>COMPLY</v>
      </c>
      <c r="BI201" t="e">
        <f>VLOOKUP(H201,Sheet2!$A$1:$B$270,2,FALSE)</f>
        <v>#N/A</v>
      </c>
    </row>
    <row r="202" spans="1:61">
      <c r="A202">
        <v>201</v>
      </c>
      <c r="B202">
        <v>1002618342</v>
      </c>
      <c r="C202">
        <v>3</v>
      </c>
      <c r="D202" t="s">
        <v>51</v>
      </c>
      <c r="E202">
        <v>4</v>
      </c>
      <c r="F202" t="s">
        <v>268</v>
      </c>
      <c r="G202" t="s">
        <v>545</v>
      </c>
      <c r="H202" t="s">
        <v>850</v>
      </c>
      <c r="I202" t="s">
        <v>212</v>
      </c>
      <c r="J202" t="s">
        <v>213</v>
      </c>
      <c r="K202" t="s">
        <v>149</v>
      </c>
      <c r="M202" t="s">
        <v>76</v>
      </c>
      <c r="N202" t="s">
        <v>215</v>
      </c>
      <c r="O202" s="57">
        <v>46296.643831018519</v>
      </c>
      <c r="P202" s="57">
        <v>46297.864270833335</v>
      </c>
      <c r="Q202">
        <v>69402518</v>
      </c>
      <c r="S202">
        <v>141568111742</v>
      </c>
      <c r="T202" t="s">
        <v>1129</v>
      </c>
      <c r="U202" t="s">
        <v>1130</v>
      </c>
      <c r="V202" t="s">
        <v>1131</v>
      </c>
      <c r="Z202">
        <v>111.0005197</v>
      </c>
      <c r="AA202">
        <v>-7.1935992000000004</v>
      </c>
      <c r="AB202" t="s">
        <v>1132</v>
      </c>
      <c r="AC202" t="s">
        <v>283</v>
      </c>
      <c r="AL202" t="s">
        <v>217</v>
      </c>
      <c r="AM202" t="s">
        <v>1133</v>
      </c>
      <c r="AN202" t="s">
        <v>6</v>
      </c>
      <c r="AO202" s="57">
        <v>46032.653252314813</v>
      </c>
      <c r="AP202" s="57">
        <v>46297.625</v>
      </c>
      <c r="AR202" t="s">
        <v>218</v>
      </c>
      <c r="AS202" t="s">
        <v>219</v>
      </c>
      <c r="AT202" t="s">
        <v>230</v>
      </c>
      <c r="AU202">
        <v>20261002</v>
      </c>
      <c r="AV202" t="s">
        <v>221</v>
      </c>
      <c r="AW202" t="s">
        <v>831</v>
      </c>
      <c r="AX202" t="s">
        <v>222</v>
      </c>
      <c r="BA202" s="57">
        <v>46297.625</v>
      </c>
      <c r="BB202" t="s">
        <v>1133</v>
      </c>
      <c r="BC202">
        <v>2026</v>
      </c>
      <c r="BD202">
        <v>10</v>
      </c>
      <c r="BE202">
        <v>2</v>
      </c>
      <c r="BF202" s="6">
        <f t="shared" si="9"/>
        <v>46297</v>
      </c>
      <c r="BG202">
        <f t="shared" si="10"/>
        <v>-0.625</v>
      </c>
      <c r="BH202" t="str">
        <f t="shared" si="11"/>
        <v>COMPLY</v>
      </c>
      <c r="BI202" t="e">
        <f>VLOOKUP(H202,Sheet2!$A$1:$B$270,2,FALSE)</f>
        <v>#N/A</v>
      </c>
    </row>
    <row r="203" spans="1:61">
      <c r="A203">
        <v>202</v>
      </c>
      <c r="B203">
        <v>1002620295</v>
      </c>
      <c r="C203">
        <v>3</v>
      </c>
      <c r="D203" t="s">
        <v>51</v>
      </c>
      <c r="E203">
        <v>4</v>
      </c>
      <c r="F203" t="s">
        <v>268</v>
      </c>
      <c r="G203" t="s">
        <v>545</v>
      </c>
      <c r="H203" t="s">
        <v>2167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46297.651087962964</v>
      </c>
      <c r="P203" s="57">
        <v>46299.666412037041</v>
      </c>
      <c r="Q203">
        <v>69403262</v>
      </c>
      <c r="S203">
        <v>142509107337</v>
      </c>
      <c r="T203" t="s">
        <v>2168</v>
      </c>
      <c r="U203" t="s">
        <v>2169</v>
      </c>
      <c r="V203" t="s">
        <v>2170</v>
      </c>
      <c r="Z203">
        <v>111.084547</v>
      </c>
      <c r="AA203">
        <v>-7.2547100000000002</v>
      </c>
      <c r="AB203" t="s">
        <v>2171</v>
      </c>
      <c r="AC203" t="s">
        <v>235</v>
      </c>
      <c r="AL203" t="s">
        <v>217</v>
      </c>
      <c r="AM203" t="s">
        <v>2172</v>
      </c>
      <c r="AN203" t="s">
        <v>6</v>
      </c>
      <c r="AO203" s="57">
        <v>46063.652951388889</v>
      </c>
      <c r="AP203" s="57">
        <v>46298.625</v>
      </c>
      <c r="AR203" t="s">
        <v>218</v>
      </c>
      <c r="AS203" t="s">
        <v>2173</v>
      </c>
      <c r="AT203" t="s">
        <v>230</v>
      </c>
      <c r="AU203">
        <v>20261004</v>
      </c>
      <c r="AV203" t="s">
        <v>221</v>
      </c>
      <c r="AW203" t="s">
        <v>877</v>
      </c>
      <c r="AX203" t="s">
        <v>222</v>
      </c>
      <c r="BA203" s="57">
        <v>46298.625</v>
      </c>
      <c r="BB203" t="s">
        <v>2172</v>
      </c>
      <c r="BC203">
        <v>2026</v>
      </c>
      <c r="BD203">
        <v>10</v>
      </c>
      <c r="BE203">
        <v>4</v>
      </c>
      <c r="BF203" s="6">
        <f t="shared" si="9"/>
        <v>46299</v>
      </c>
      <c r="BG203">
        <f t="shared" si="10"/>
        <v>0.375</v>
      </c>
      <c r="BH203" t="str">
        <f t="shared" si="11"/>
        <v>COMPLY</v>
      </c>
      <c r="BI203" t="e">
        <f>VLOOKUP(H203,Sheet2!$A$1:$B$270,2,FALSE)</f>
        <v>#N/A</v>
      </c>
    </row>
    <row r="204" spans="1:61">
      <c r="A204">
        <v>203</v>
      </c>
      <c r="B204">
        <v>1002620286</v>
      </c>
      <c r="C204">
        <v>3</v>
      </c>
      <c r="D204" t="s">
        <v>51</v>
      </c>
      <c r="E204">
        <v>4</v>
      </c>
      <c r="F204" t="s">
        <v>234</v>
      </c>
      <c r="G204" t="s">
        <v>849</v>
      </c>
      <c r="H204" t="s">
        <v>862</v>
      </c>
      <c r="I204" t="s">
        <v>1440</v>
      </c>
      <c r="J204" t="s">
        <v>213</v>
      </c>
      <c r="K204" t="s">
        <v>149</v>
      </c>
      <c r="M204" t="s">
        <v>895</v>
      </c>
      <c r="N204" t="s">
        <v>1507</v>
      </c>
      <c r="O204" s="57">
        <v>46297.649548611109</v>
      </c>
      <c r="P204" s="57">
        <v>46297.651875000003</v>
      </c>
      <c r="Q204">
        <v>69403240</v>
      </c>
      <c r="S204">
        <v>142565402380</v>
      </c>
      <c r="T204" t="s">
        <v>2174</v>
      </c>
      <c r="U204" t="s">
        <v>2175</v>
      </c>
      <c r="V204" t="s">
        <v>2176</v>
      </c>
      <c r="Z204">
        <v>111.00710391801699</v>
      </c>
      <c r="AA204">
        <v>-7.3352639112318503</v>
      </c>
      <c r="AB204" t="s">
        <v>2177</v>
      </c>
      <c r="AC204" t="s">
        <v>284</v>
      </c>
      <c r="AL204" t="s">
        <v>217</v>
      </c>
      <c r="AM204">
        <v>85725551706</v>
      </c>
      <c r="AN204" t="s">
        <v>6</v>
      </c>
      <c r="AO204" s="57">
        <v>46063.652951388889</v>
      </c>
      <c r="AR204" t="s">
        <v>886</v>
      </c>
      <c r="AS204" t="s">
        <v>219</v>
      </c>
      <c r="AT204" t="s">
        <v>230</v>
      </c>
      <c r="AV204" t="s">
        <v>896</v>
      </c>
      <c r="AW204" t="s">
        <v>2178</v>
      </c>
      <c r="AX204" t="s">
        <v>222</v>
      </c>
      <c r="BA204" s="57">
        <v>46297.5</v>
      </c>
      <c r="BB204">
        <v>85725551706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e">
        <f>VLOOKUP(H204,Sheet2!$A$1:$B$270,2,FALSE)</f>
        <v>#N/A</v>
      </c>
    </row>
    <row r="205" spans="1:61">
      <c r="A205">
        <v>204</v>
      </c>
      <c r="B205">
        <v>1002620272</v>
      </c>
      <c r="C205">
        <v>3</v>
      </c>
      <c r="D205" t="s">
        <v>51</v>
      </c>
      <c r="E205">
        <v>4</v>
      </c>
      <c r="F205" t="s">
        <v>234</v>
      </c>
      <c r="G205" t="s">
        <v>849</v>
      </c>
      <c r="H205" t="s">
        <v>862</v>
      </c>
      <c r="I205" t="s">
        <v>1440</v>
      </c>
      <c r="J205" t="s">
        <v>213</v>
      </c>
      <c r="K205" t="s">
        <v>149</v>
      </c>
      <c r="M205" t="s">
        <v>895</v>
      </c>
      <c r="N205" t="s">
        <v>1507</v>
      </c>
      <c r="O205" s="57">
        <v>46297.646307870367</v>
      </c>
      <c r="P205" s="57">
        <v>46297.647673611114</v>
      </c>
      <c r="Q205">
        <v>69403236</v>
      </c>
      <c r="S205">
        <v>142565402379</v>
      </c>
      <c r="T205" t="s">
        <v>2179</v>
      </c>
      <c r="U205" t="s">
        <v>2180</v>
      </c>
      <c r="V205" t="s">
        <v>2181</v>
      </c>
      <c r="Z205">
        <v>110.88831070000001</v>
      </c>
      <c r="AA205">
        <v>-7.4279023000000004</v>
      </c>
      <c r="AB205" t="s">
        <v>2182</v>
      </c>
      <c r="AC205" t="s">
        <v>284</v>
      </c>
      <c r="AL205" t="s">
        <v>217</v>
      </c>
      <c r="AM205">
        <v>85725551706</v>
      </c>
      <c r="AN205" t="s">
        <v>6</v>
      </c>
      <c r="AO205" s="57">
        <v>46063.652951388889</v>
      </c>
      <c r="AR205" t="s">
        <v>886</v>
      </c>
      <c r="AS205" t="s">
        <v>219</v>
      </c>
      <c r="AT205" t="s">
        <v>230</v>
      </c>
      <c r="AV205" t="s">
        <v>896</v>
      </c>
      <c r="AW205" t="s">
        <v>2178</v>
      </c>
      <c r="AX205" t="s">
        <v>222</v>
      </c>
      <c r="BA205" s="57">
        <v>46297.5</v>
      </c>
      <c r="BB205">
        <v>85725551706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e">
        <f>VLOOKUP(H205,Sheet2!$A$1:$B$270,2,FALSE)</f>
        <v>#N/A</v>
      </c>
    </row>
    <row r="206" spans="1:61">
      <c r="A206">
        <v>205</v>
      </c>
      <c r="B206">
        <v>1002620418</v>
      </c>
      <c r="C206">
        <v>3</v>
      </c>
      <c r="D206" t="s">
        <v>51</v>
      </c>
      <c r="E206">
        <v>4</v>
      </c>
      <c r="F206" t="s">
        <v>234</v>
      </c>
      <c r="G206" t="s">
        <v>849</v>
      </c>
      <c r="H206" t="s">
        <v>862</v>
      </c>
      <c r="I206" t="s">
        <v>1440</v>
      </c>
      <c r="J206" t="s">
        <v>213</v>
      </c>
      <c r="K206" t="s">
        <v>149</v>
      </c>
      <c r="M206" t="s">
        <v>224</v>
      </c>
      <c r="N206" t="s">
        <v>1507</v>
      </c>
      <c r="O206" s="57">
        <v>46297.678680555553</v>
      </c>
      <c r="P206" s="57">
        <v>46297.682349537034</v>
      </c>
      <c r="Q206">
        <v>69403294</v>
      </c>
      <c r="S206">
        <v>142565402385</v>
      </c>
      <c r="T206" t="s">
        <v>2183</v>
      </c>
      <c r="U206" t="s">
        <v>2184</v>
      </c>
      <c r="V206" t="s">
        <v>2185</v>
      </c>
      <c r="Z206">
        <v>111.01986816322599</v>
      </c>
      <c r="AA206">
        <v>-7.4176956752355103</v>
      </c>
      <c r="AB206" t="s">
        <v>2186</v>
      </c>
      <c r="AC206" t="s">
        <v>284</v>
      </c>
      <c r="AL206" t="s">
        <v>217</v>
      </c>
      <c r="AM206">
        <v>85725551706</v>
      </c>
      <c r="AN206" t="s">
        <v>6</v>
      </c>
      <c r="AO206" s="57">
        <v>46063.684548611112</v>
      </c>
      <c r="AR206" t="s">
        <v>18</v>
      </c>
      <c r="AS206" t="s">
        <v>219</v>
      </c>
      <c r="AT206" t="s">
        <v>230</v>
      </c>
      <c r="AV206" t="s">
        <v>226</v>
      </c>
      <c r="AW206" t="s">
        <v>1826</v>
      </c>
      <c r="AX206" t="s">
        <v>222</v>
      </c>
      <c r="BA206" s="57">
        <v>46297.5</v>
      </c>
      <c r="BB206">
        <v>85725551706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e">
        <f>VLOOKUP(H206,Sheet2!$A$1:$B$270,2,FALSE)</f>
        <v>#N/A</v>
      </c>
    </row>
    <row r="207" spans="1:61">
      <c r="A207">
        <v>206</v>
      </c>
      <c r="B207">
        <v>1002620407</v>
      </c>
      <c r="C207">
        <v>3</v>
      </c>
      <c r="D207" t="s">
        <v>51</v>
      </c>
      <c r="E207">
        <v>4</v>
      </c>
      <c r="F207" t="s">
        <v>234</v>
      </c>
      <c r="G207" t="s">
        <v>849</v>
      </c>
      <c r="H207" t="s">
        <v>862</v>
      </c>
      <c r="I207" t="s">
        <v>1440</v>
      </c>
      <c r="J207" t="s">
        <v>213</v>
      </c>
      <c r="K207" t="s">
        <v>149</v>
      </c>
      <c r="M207" t="s">
        <v>224</v>
      </c>
      <c r="N207" t="s">
        <v>1507</v>
      </c>
      <c r="O207" s="57">
        <v>46297.675254629627</v>
      </c>
      <c r="P207" s="57">
        <v>46297.677256944444</v>
      </c>
      <c r="Q207">
        <v>69403293</v>
      </c>
      <c r="S207">
        <v>142565402384</v>
      </c>
      <c r="T207" t="s">
        <v>2187</v>
      </c>
      <c r="U207" t="s">
        <v>2188</v>
      </c>
      <c r="V207" t="s">
        <v>2189</v>
      </c>
      <c r="Z207">
        <v>110.941775376718</v>
      </c>
      <c r="AA207">
        <v>-7.3175452466090602</v>
      </c>
      <c r="AB207" t="s">
        <v>2190</v>
      </c>
      <c r="AC207" t="s">
        <v>284</v>
      </c>
      <c r="AL207" t="s">
        <v>217</v>
      </c>
      <c r="AM207">
        <v>85725551706</v>
      </c>
      <c r="AN207" t="s">
        <v>6</v>
      </c>
      <c r="AO207" s="57">
        <v>46063.684548611112</v>
      </c>
      <c r="AR207" t="s">
        <v>18</v>
      </c>
      <c r="AS207" t="s">
        <v>219</v>
      </c>
      <c r="AT207" t="s">
        <v>230</v>
      </c>
      <c r="AV207" t="s">
        <v>226</v>
      </c>
      <c r="AW207" t="s">
        <v>2178</v>
      </c>
      <c r="AX207" t="s">
        <v>222</v>
      </c>
      <c r="BA207" s="57">
        <v>46297.5</v>
      </c>
      <c r="BB207">
        <v>85725551706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e">
        <f>VLOOKUP(H207,Sheet2!$A$1:$B$270,2,FALSE)</f>
        <v>#N/A</v>
      </c>
    </row>
    <row r="208" spans="1:61">
      <c r="A208">
        <v>207</v>
      </c>
      <c r="B208">
        <v>1002617580</v>
      </c>
      <c r="C208">
        <v>3</v>
      </c>
      <c r="D208" t="s">
        <v>51</v>
      </c>
      <c r="E208">
        <v>4</v>
      </c>
      <c r="F208" t="s">
        <v>234</v>
      </c>
      <c r="G208" t="s">
        <v>849</v>
      </c>
      <c r="H208" t="s">
        <v>862</v>
      </c>
      <c r="I208" t="s">
        <v>212</v>
      </c>
      <c r="J208" t="s">
        <v>213</v>
      </c>
      <c r="K208" t="s">
        <v>149</v>
      </c>
      <c r="L208" t="s">
        <v>214</v>
      </c>
      <c r="M208" t="s">
        <v>76</v>
      </c>
      <c r="N208" t="s">
        <v>215</v>
      </c>
      <c r="O208" s="57">
        <v>46296.474768518521</v>
      </c>
      <c r="P208" s="57">
        <v>46297.484537037039</v>
      </c>
      <c r="Q208">
        <v>69402265</v>
      </c>
      <c r="S208">
        <v>142565402250</v>
      </c>
      <c r="T208" t="s">
        <v>1139</v>
      </c>
      <c r="U208" t="s">
        <v>1140</v>
      </c>
      <c r="V208" t="s">
        <v>1141</v>
      </c>
      <c r="Z208">
        <v>111.1211766</v>
      </c>
      <c r="AA208">
        <v>-7.3640650999999897</v>
      </c>
      <c r="AB208" t="s">
        <v>1142</v>
      </c>
      <c r="AC208" t="s">
        <v>235</v>
      </c>
      <c r="AL208" t="s">
        <v>217</v>
      </c>
      <c r="AM208" t="s">
        <v>1143</v>
      </c>
      <c r="AN208" t="s">
        <v>6</v>
      </c>
      <c r="AO208" s="57">
        <v>46032.486342592594</v>
      </c>
      <c r="AP208" s="57">
        <v>46297.333333333336</v>
      </c>
      <c r="AR208" t="s">
        <v>218</v>
      </c>
      <c r="AS208" t="s">
        <v>219</v>
      </c>
      <c r="AT208" t="s">
        <v>230</v>
      </c>
      <c r="AU208">
        <v>20261002</v>
      </c>
      <c r="AV208" t="s">
        <v>221</v>
      </c>
      <c r="AW208" t="s">
        <v>878</v>
      </c>
      <c r="AX208" t="s">
        <v>222</v>
      </c>
      <c r="BA208" s="57">
        <v>46297.333333333336</v>
      </c>
      <c r="BB208" t="s">
        <v>1143</v>
      </c>
      <c r="BC208">
        <v>2026</v>
      </c>
      <c r="BD208">
        <v>10</v>
      </c>
      <c r="BE208">
        <v>2</v>
      </c>
      <c r="BF208" s="6">
        <f t="shared" si="9"/>
        <v>46297</v>
      </c>
      <c r="BG208">
        <f t="shared" si="10"/>
        <v>-0.33333333333575865</v>
      </c>
      <c r="BH208" t="str">
        <f t="shared" si="11"/>
        <v>COMPLY</v>
      </c>
      <c r="BI208" t="e">
        <f>VLOOKUP(H208,Sheet2!$A$1:$B$270,2,FALSE)</f>
        <v>#N/A</v>
      </c>
    </row>
    <row r="209" spans="1:61">
      <c r="A209">
        <v>208</v>
      </c>
      <c r="B209">
        <v>1002620389</v>
      </c>
      <c r="C209">
        <v>3</v>
      </c>
      <c r="D209" t="s">
        <v>51</v>
      </c>
      <c r="E209">
        <v>4</v>
      </c>
      <c r="F209" t="s">
        <v>234</v>
      </c>
      <c r="G209" t="s">
        <v>849</v>
      </c>
      <c r="H209" t="s">
        <v>862</v>
      </c>
      <c r="I209" t="s">
        <v>1440</v>
      </c>
      <c r="J209" t="s">
        <v>213</v>
      </c>
      <c r="K209" t="s">
        <v>149</v>
      </c>
      <c r="M209" t="s">
        <v>76</v>
      </c>
      <c r="N209" t="s">
        <v>1507</v>
      </c>
      <c r="O209" s="57">
        <v>46297.671053240738</v>
      </c>
      <c r="P209" s="57">
        <v>46299.666342592594</v>
      </c>
      <c r="Q209">
        <v>69403283</v>
      </c>
      <c r="S209">
        <v>142565402383</v>
      </c>
      <c r="T209" t="s">
        <v>2191</v>
      </c>
      <c r="U209" t="s">
        <v>2192</v>
      </c>
      <c r="V209" t="s">
        <v>2193</v>
      </c>
      <c r="Z209">
        <v>111.113912610783</v>
      </c>
      <c r="AA209">
        <v>-7.3389244719846802</v>
      </c>
      <c r="AB209" t="s">
        <v>2194</v>
      </c>
      <c r="AC209" t="s">
        <v>284</v>
      </c>
      <c r="AL209" t="s">
        <v>217</v>
      </c>
      <c r="AM209">
        <v>85725551706</v>
      </c>
      <c r="AN209" t="s">
        <v>6</v>
      </c>
      <c r="AO209" s="57">
        <v>46063.673761574071</v>
      </c>
      <c r="AR209" t="s">
        <v>218</v>
      </c>
      <c r="AS209" t="s">
        <v>219</v>
      </c>
      <c r="AT209" t="s">
        <v>230</v>
      </c>
      <c r="AU209">
        <v>20261004</v>
      </c>
      <c r="AV209" t="s">
        <v>221</v>
      </c>
      <c r="AW209" t="s">
        <v>1826</v>
      </c>
      <c r="AX209" t="s">
        <v>222</v>
      </c>
      <c r="BA209" s="57">
        <v>46297.5</v>
      </c>
      <c r="BB209">
        <v>85725551706</v>
      </c>
      <c r="BC209">
        <v>2026</v>
      </c>
      <c r="BD209">
        <v>10</v>
      </c>
      <c r="BE209">
        <v>4</v>
      </c>
      <c r="BF209" s="6">
        <f t="shared" si="9"/>
        <v>46299</v>
      </c>
      <c r="BG209">
        <f t="shared" si="10"/>
        <v>1.5</v>
      </c>
      <c r="BH209" t="str">
        <f t="shared" si="11"/>
        <v>NOT COMPLY</v>
      </c>
      <c r="BI209" t="e">
        <f>VLOOKUP(H209,Sheet2!$A$1:$B$270,2,FALSE)</f>
        <v>#N/A</v>
      </c>
    </row>
    <row r="210" spans="1:61">
      <c r="A210">
        <v>209</v>
      </c>
      <c r="B210">
        <v>1002620376</v>
      </c>
      <c r="C210">
        <v>3</v>
      </c>
      <c r="D210" t="s">
        <v>51</v>
      </c>
      <c r="E210">
        <v>4</v>
      </c>
      <c r="F210" t="s">
        <v>234</v>
      </c>
      <c r="G210" t="s">
        <v>849</v>
      </c>
      <c r="H210" t="s">
        <v>862</v>
      </c>
      <c r="I210" t="s">
        <v>1440</v>
      </c>
      <c r="J210" t="s">
        <v>213</v>
      </c>
      <c r="K210" t="s">
        <v>149</v>
      </c>
      <c r="M210" t="s">
        <v>76</v>
      </c>
      <c r="N210" t="s">
        <v>1507</v>
      </c>
      <c r="O210" s="57">
        <v>46297.667488425926</v>
      </c>
      <c r="P210" s="57">
        <v>46298.620879629627</v>
      </c>
      <c r="Q210">
        <v>69403279</v>
      </c>
      <c r="S210">
        <v>142565402382</v>
      </c>
      <c r="T210" t="s">
        <v>2195</v>
      </c>
      <c r="U210" t="s">
        <v>2196</v>
      </c>
      <c r="V210" t="s">
        <v>2197</v>
      </c>
      <c r="Z210">
        <v>110.9869765</v>
      </c>
      <c r="AA210">
        <v>-7.4362572</v>
      </c>
      <c r="AB210" t="s">
        <v>2198</v>
      </c>
      <c r="AC210" t="s">
        <v>284</v>
      </c>
      <c r="AL210" t="s">
        <v>217</v>
      </c>
      <c r="AM210">
        <v>85725551706</v>
      </c>
      <c r="AN210" t="s">
        <v>6</v>
      </c>
      <c r="AO210" s="57">
        <v>46063.673761574071</v>
      </c>
      <c r="AR210" t="s">
        <v>218</v>
      </c>
      <c r="AS210" t="s">
        <v>219</v>
      </c>
      <c r="AT210" t="s">
        <v>230</v>
      </c>
      <c r="AU210">
        <v>20261003</v>
      </c>
      <c r="AV210" t="s">
        <v>221</v>
      </c>
      <c r="AW210" t="s">
        <v>1826</v>
      </c>
      <c r="AX210" t="s">
        <v>222</v>
      </c>
      <c r="BA210" s="57">
        <v>46297.5</v>
      </c>
      <c r="BB210">
        <v>85725551706</v>
      </c>
      <c r="BC210">
        <v>2026</v>
      </c>
      <c r="BD210">
        <v>10</v>
      </c>
      <c r="BE210">
        <v>3</v>
      </c>
      <c r="BF210" s="6">
        <f t="shared" si="9"/>
        <v>46298</v>
      </c>
      <c r="BG210">
        <f t="shared" si="10"/>
        <v>0.5</v>
      </c>
      <c r="BH210" t="str">
        <f t="shared" si="11"/>
        <v>COMPLY</v>
      </c>
      <c r="BI210" t="e">
        <f>VLOOKUP(H210,Sheet2!$A$1:$B$270,2,FALSE)</f>
        <v>#N/A</v>
      </c>
    </row>
    <row r="211" spans="1:61">
      <c r="A211">
        <v>210</v>
      </c>
      <c r="B211">
        <v>1002620354</v>
      </c>
      <c r="C211">
        <v>3</v>
      </c>
      <c r="D211" t="s">
        <v>51</v>
      </c>
      <c r="E211">
        <v>4</v>
      </c>
      <c r="F211" t="s">
        <v>234</v>
      </c>
      <c r="G211" t="s">
        <v>849</v>
      </c>
      <c r="H211" t="s">
        <v>862</v>
      </c>
      <c r="I211" t="s">
        <v>1440</v>
      </c>
      <c r="J211" t="s">
        <v>213</v>
      </c>
      <c r="K211" t="s">
        <v>149</v>
      </c>
      <c r="M211" t="s">
        <v>76</v>
      </c>
      <c r="N211" t="s">
        <v>1507</v>
      </c>
      <c r="O211" s="57">
        <v>46297.663877314815</v>
      </c>
      <c r="P211" s="57">
        <v>46298.711527777778</v>
      </c>
      <c r="Q211">
        <v>69403290</v>
      </c>
      <c r="S211">
        <v>142565402381</v>
      </c>
      <c r="T211" t="s">
        <v>2199</v>
      </c>
      <c r="U211" t="s">
        <v>2200</v>
      </c>
      <c r="V211" t="s">
        <v>2201</v>
      </c>
      <c r="Z211">
        <v>111.028575</v>
      </c>
      <c r="AA211">
        <v>-7.4458995000000003</v>
      </c>
      <c r="AB211" t="s">
        <v>2202</v>
      </c>
      <c r="AC211" t="s">
        <v>284</v>
      </c>
      <c r="AL211" t="s">
        <v>217</v>
      </c>
      <c r="AM211">
        <v>85725551706</v>
      </c>
      <c r="AN211" t="s">
        <v>6</v>
      </c>
      <c r="AO211" s="57">
        <v>46063.673761574071</v>
      </c>
      <c r="AR211" t="s">
        <v>218</v>
      </c>
      <c r="AS211" t="s">
        <v>219</v>
      </c>
      <c r="AT211" t="s">
        <v>230</v>
      </c>
      <c r="AU211">
        <v>20261003</v>
      </c>
      <c r="AV211" t="s">
        <v>221</v>
      </c>
      <c r="AW211" t="s">
        <v>2178</v>
      </c>
      <c r="AX211" t="s">
        <v>222</v>
      </c>
      <c r="BA211" s="57">
        <v>46297.5</v>
      </c>
      <c r="BB211">
        <v>85725551706</v>
      </c>
      <c r="BC211">
        <v>2026</v>
      </c>
      <c r="BD211">
        <v>10</v>
      </c>
      <c r="BE211">
        <v>3</v>
      </c>
      <c r="BF211" s="6">
        <f t="shared" si="9"/>
        <v>46298</v>
      </c>
      <c r="BG211">
        <f t="shared" si="10"/>
        <v>0.5</v>
      </c>
      <c r="BH211" t="str">
        <f t="shared" si="11"/>
        <v>COMPLY</v>
      </c>
      <c r="BI211" t="e">
        <f>VLOOKUP(H211,Sheet2!$A$1:$B$270,2,FALSE)</f>
        <v>#N/A</v>
      </c>
    </row>
    <row r="212" spans="1:61">
      <c r="A212">
        <v>211</v>
      </c>
      <c r="B212">
        <v>1002621095</v>
      </c>
      <c r="C212">
        <v>3</v>
      </c>
      <c r="D212" t="s">
        <v>51</v>
      </c>
      <c r="E212">
        <v>4</v>
      </c>
      <c r="F212" t="s">
        <v>234</v>
      </c>
      <c r="G212" t="s">
        <v>849</v>
      </c>
      <c r="H212" t="s">
        <v>2203</v>
      </c>
      <c r="I212" t="s">
        <v>212</v>
      </c>
      <c r="J212" t="s">
        <v>213</v>
      </c>
      <c r="K212" t="s">
        <v>149</v>
      </c>
      <c r="M212" t="s">
        <v>76</v>
      </c>
      <c r="N212" t="s">
        <v>215</v>
      </c>
      <c r="O212" s="57">
        <v>46298.66070601852</v>
      </c>
      <c r="P212" s="57">
        <v>46299.477847222224</v>
      </c>
      <c r="Q212">
        <v>69403697</v>
      </c>
      <c r="S212">
        <v>142522107238</v>
      </c>
      <c r="T212" t="s">
        <v>2204</v>
      </c>
      <c r="U212" t="s">
        <v>2205</v>
      </c>
      <c r="V212" t="s">
        <v>2206</v>
      </c>
      <c r="Z212">
        <v>111.10284299999999</v>
      </c>
      <c r="AA212">
        <v>-7.6372296999999998</v>
      </c>
      <c r="AB212" t="s">
        <v>2207</v>
      </c>
      <c r="AC212" t="s">
        <v>229</v>
      </c>
      <c r="AL212" t="s">
        <v>217</v>
      </c>
      <c r="AM212" t="s">
        <v>2208</v>
      </c>
      <c r="AN212" t="s">
        <v>6</v>
      </c>
      <c r="AO212" s="57">
        <v>46091.663622685184</v>
      </c>
      <c r="AP212" s="57">
        <v>46300.333333333336</v>
      </c>
      <c r="AR212" t="s">
        <v>218</v>
      </c>
      <c r="AS212" t="s">
        <v>2209</v>
      </c>
      <c r="AT212" t="s">
        <v>230</v>
      </c>
      <c r="AU212">
        <v>20261004</v>
      </c>
      <c r="AV212" t="s">
        <v>221</v>
      </c>
      <c r="AW212" t="s">
        <v>539</v>
      </c>
      <c r="AX212" t="s">
        <v>222</v>
      </c>
      <c r="BA212" s="57">
        <v>46300.333333333336</v>
      </c>
      <c r="BB212" t="s">
        <v>2208</v>
      </c>
      <c r="BC212">
        <v>2026</v>
      </c>
      <c r="BD212">
        <v>10</v>
      </c>
      <c r="BE212">
        <v>4</v>
      </c>
      <c r="BF212" s="6">
        <f t="shared" si="9"/>
        <v>46299</v>
      </c>
      <c r="BG212">
        <f t="shared" si="10"/>
        <v>-1.3333333333357587</v>
      </c>
      <c r="BH212" t="str">
        <f t="shared" si="11"/>
        <v>COMPLY</v>
      </c>
      <c r="BI212" t="e">
        <f>VLOOKUP(H212,Sheet2!$A$1:$B$270,2,FALSE)</f>
        <v>#N/A</v>
      </c>
    </row>
    <row r="213" spans="1:61">
      <c r="A213">
        <v>212</v>
      </c>
      <c r="B213">
        <v>1002620325</v>
      </c>
      <c r="C213">
        <v>3</v>
      </c>
      <c r="D213" t="s">
        <v>51</v>
      </c>
      <c r="E213">
        <v>4</v>
      </c>
      <c r="F213" t="s">
        <v>234</v>
      </c>
      <c r="G213" t="s">
        <v>552</v>
      </c>
      <c r="H213" t="s">
        <v>2210</v>
      </c>
      <c r="I213" t="s">
        <v>1440</v>
      </c>
      <c r="J213" t="s">
        <v>213</v>
      </c>
      <c r="K213" t="s">
        <v>149</v>
      </c>
      <c r="M213" t="s">
        <v>224</v>
      </c>
      <c r="N213" t="s">
        <v>1507</v>
      </c>
      <c r="O213" s="57">
        <v>46297.657349537039</v>
      </c>
      <c r="P213" s="57">
        <v>46297.659675925926</v>
      </c>
      <c r="Q213">
        <v>69403269</v>
      </c>
      <c r="S213">
        <v>146514602889</v>
      </c>
      <c r="T213" t="s">
        <v>2211</v>
      </c>
      <c r="U213" t="s">
        <v>2212</v>
      </c>
      <c r="V213" t="s">
        <v>2213</v>
      </c>
      <c r="Z213">
        <v>110.849343</v>
      </c>
      <c r="AA213">
        <v>-7.5699100000000001</v>
      </c>
      <c r="AB213" t="s">
        <v>2214</v>
      </c>
      <c r="AC213" t="s">
        <v>284</v>
      </c>
      <c r="AL213" t="s">
        <v>217</v>
      </c>
      <c r="AM213">
        <v>82313231387</v>
      </c>
      <c r="AN213" t="s">
        <v>6</v>
      </c>
      <c r="AO213" s="57">
        <v>46063.663495370369</v>
      </c>
      <c r="AR213" t="s">
        <v>18</v>
      </c>
      <c r="AS213" t="s">
        <v>219</v>
      </c>
      <c r="AT213" t="s">
        <v>230</v>
      </c>
      <c r="AV213" t="s">
        <v>226</v>
      </c>
      <c r="AW213" t="s">
        <v>1826</v>
      </c>
      <c r="AX213" t="s">
        <v>222</v>
      </c>
      <c r="BA213" s="57">
        <v>46297.5</v>
      </c>
      <c r="BB213">
        <v>82313231387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e">
        <f>VLOOKUP(H213,Sheet2!$A$1:$B$270,2,FALSE)</f>
        <v>#N/A</v>
      </c>
    </row>
    <row r="214" spans="1:61">
      <c r="A214">
        <v>213</v>
      </c>
      <c r="B214">
        <v>1002620340</v>
      </c>
      <c r="C214">
        <v>3</v>
      </c>
      <c r="D214" t="s">
        <v>51</v>
      </c>
      <c r="E214">
        <v>4</v>
      </c>
      <c r="F214" t="s">
        <v>234</v>
      </c>
      <c r="G214" t="s">
        <v>552</v>
      </c>
      <c r="H214" t="s">
        <v>2210</v>
      </c>
      <c r="I214" t="s">
        <v>1440</v>
      </c>
      <c r="J214" t="s">
        <v>213</v>
      </c>
      <c r="K214" t="s">
        <v>149</v>
      </c>
      <c r="M214" t="s">
        <v>224</v>
      </c>
      <c r="N214" t="s">
        <v>1507</v>
      </c>
      <c r="O214" s="57">
        <v>46297.660138888888</v>
      </c>
      <c r="P214" s="57">
        <v>46297.662534722222</v>
      </c>
      <c r="Q214">
        <v>69403288</v>
      </c>
      <c r="S214">
        <v>146514602890</v>
      </c>
      <c r="T214" t="s">
        <v>2211</v>
      </c>
      <c r="U214" t="s">
        <v>2215</v>
      </c>
      <c r="V214" t="s">
        <v>2216</v>
      </c>
      <c r="Z214">
        <v>110.849343</v>
      </c>
      <c r="AA214">
        <v>-7.5699100000000001</v>
      </c>
      <c r="AB214" t="s">
        <v>2214</v>
      </c>
      <c r="AC214" t="s">
        <v>284</v>
      </c>
      <c r="AL214" t="s">
        <v>217</v>
      </c>
      <c r="AM214">
        <v>82313231387</v>
      </c>
      <c r="AN214" t="s">
        <v>6</v>
      </c>
      <c r="AO214" s="57">
        <v>46063.663495370369</v>
      </c>
      <c r="AR214" t="s">
        <v>18</v>
      </c>
      <c r="AS214" t="s">
        <v>219</v>
      </c>
      <c r="AT214" t="s">
        <v>230</v>
      </c>
      <c r="AV214" t="s">
        <v>226</v>
      </c>
      <c r="AW214" t="s">
        <v>2178</v>
      </c>
      <c r="AX214" t="s">
        <v>222</v>
      </c>
      <c r="BA214" s="57">
        <v>46297.5</v>
      </c>
      <c r="BB214">
        <v>82313231387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e">
        <f>VLOOKUP(H214,Sheet2!$A$1:$B$270,2,FALSE)</f>
        <v>#N/A</v>
      </c>
    </row>
    <row r="215" spans="1:61">
      <c r="A215">
        <v>214</v>
      </c>
      <c r="B215">
        <v>1002619657</v>
      </c>
      <c r="C215">
        <v>3</v>
      </c>
      <c r="D215" t="s">
        <v>51</v>
      </c>
      <c r="E215">
        <v>4</v>
      </c>
      <c r="F215" t="s">
        <v>234</v>
      </c>
      <c r="G215" t="s">
        <v>552</v>
      </c>
      <c r="H215" t="s">
        <v>2210</v>
      </c>
      <c r="I215" t="s">
        <v>212</v>
      </c>
      <c r="J215" t="s">
        <v>213</v>
      </c>
      <c r="K215" t="s">
        <v>149</v>
      </c>
      <c r="L215" t="s">
        <v>214</v>
      </c>
      <c r="M215" t="s">
        <v>76</v>
      </c>
      <c r="N215" t="s">
        <v>215</v>
      </c>
      <c r="O215" s="57">
        <v>46297.518506944441</v>
      </c>
      <c r="P215" s="57">
        <v>46299.345601851855</v>
      </c>
      <c r="Q215">
        <v>69403018</v>
      </c>
      <c r="S215">
        <v>146514602781</v>
      </c>
      <c r="T215" t="s">
        <v>2217</v>
      </c>
      <c r="U215" t="s">
        <v>2218</v>
      </c>
      <c r="V215" t="s">
        <v>2219</v>
      </c>
      <c r="Z215">
        <v>110.86068899999999</v>
      </c>
      <c r="AA215">
        <v>-7.5532440000000003</v>
      </c>
      <c r="AB215" t="s">
        <v>2220</v>
      </c>
      <c r="AC215" t="s">
        <v>235</v>
      </c>
      <c r="AL215" t="s">
        <v>217</v>
      </c>
      <c r="AM215" t="s">
        <v>2221</v>
      </c>
      <c r="AN215" t="s">
        <v>6</v>
      </c>
      <c r="AO215" s="57">
        <v>46063.538553240738</v>
      </c>
      <c r="AP215" s="57">
        <v>46298.458333333336</v>
      </c>
      <c r="AR215" t="s">
        <v>218</v>
      </c>
      <c r="AS215" t="s">
        <v>219</v>
      </c>
      <c r="AT215" t="s">
        <v>230</v>
      </c>
      <c r="AU215">
        <v>20261004</v>
      </c>
      <c r="AV215" t="s">
        <v>221</v>
      </c>
      <c r="AW215" t="s">
        <v>882</v>
      </c>
      <c r="AX215" t="s">
        <v>222</v>
      </c>
      <c r="BA215" s="57">
        <v>46298.458333333336</v>
      </c>
      <c r="BB215" t="s">
        <v>2221</v>
      </c>
      <c r="BC215">
        <v>2026</v>
      </c>
      <c r="BD215">
        <v>10</v>
      </c>
      <c r="BE215">
        <v>4</v>
      </c>
      <c r="BF215" s="6">
        <f t="shared" si="9"/>
        <v>46299</v>
      </c>
      <c r="BG215">
        <f t="shared" si="10"/>
        <v>0.54166666666424135</v>
      </c>
      <c r="BH215" t="str">
        <f t="shared" si="11"/>
        <v>COMPLY</v>
      </c>
      <c r="BI215" t="e">
        <f>VLOOKUP(H215,Sheet2!$A$1:$B$270,2,FALSE)</f>
        <v>#N/A</v>
      </c>
    </row>
    <row r="216" spans="1:61">
      <c r="A216">
        <v>215</v>
      </c>
      <c r="B216">
        <v>1002620709</v>
      </c>
      <c r="C216">
        <v>3</v>
      </c>
      <c r="D216" t="s">
        <v>51</v>
      </c>
      <c r="E216">
        <v>4</v>
      </c>
      <c r="F216" t="s">
        <v>234</v>
      </c>
      <c r="G216" t="s">
        <v>552</v>
      </c>
      <c r="H216" t="s">
        <v>2210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46298.316377314812</v>
      </c>
      <c r="P216" s="57">
        <v>46298.510625000003</v>
      </c>
      <c r="Q216">
        <v>69403424</v>
      </c>
      <c r="S216">
        <v>146514602884</v>
      </c>
      <c r="T216" t="s">
        <v>2222</v>
      </c>
      <c r="U216" t="s">
        <v>2223</v>
      </c>
      <c r="V216" t="s">
        <v>2224</v>
      </c>
      <c r="Z216">
        <v>110.854884</v>
      </c>
      <c r="AA216">
        <v>-7.553229</v>
      </c>
      <c r="AB216" t="s">
        <v>2225</v>
      </c>
      <c r="AC216" t="s">
        <v>235</v>
      </c>
      <c r="AL216" t="s">
        <v>217</v>
      </c>
      <c r="AM216" t="s">
        <v>1411</v>
      </c>
      <c r="AN216" t="s">
        <v>6</v>
      </c>
      <c r="AO216" s="57">
        <v>46091.319432870368</v>
      </c>
      <c r="AP216" s="57">
        <v>46299.333333333336</v>
      </c>
      <c r="AR216" t="s">
        <v>218</v>
      </c>
      <c r="AS216" t="s">
        <v>219</v>
      </c>
      <c r="AT216" t="s">
        <v>230</v>
      </c>
      <c r="AU216">
        <v>20261003</v>
      </c>
      <c r="AV216" t="s">
        <v>221</v>
      </c>
      <c r="AW216" t="s">
        <v>882</v>
      </c>
      <c r="AX216" t="s">
        <v>222</v>
      </c>
      <c r="BA216" s="57">
        <v>46299.333333333336</v>
      </c>
      <c r="BB216" t="s">
        <v>1411</v>
      </c>
      <c r="BC216">
        <v>2026</v>
      </c>
      <c r="BD216">
        <v>10</v>
      </c>
      <c r="BE216">
        <v>3</v>
      </c>
      <c r="BF216" s="6">
        <f t="shared" si="9"/>
        <v>46298</v>
      </c>
      <c r="BG216">
        <f t="shared" si="10"/>
        <v>-1.3333333333357587</v>
      </c>
      <c r="BH216" t="str">
        <f t="shared" si="11"/>
        <v>COMPLY</v>
      </c>
      <c r="BI216" t="e">
        <f>VLOOKUP(H216,Sheet2!$A$1:$B$270,2,FALSE)</f>
        <v>#N/A</v>
      </c>
    </row>
    <row r="217" spans="1:61">
      <c r="A217">
        <v>216</v>
      </c>
      <c r="B217">
        <v>1002617638</v>
      </c>
      <c r="C217">
        <v>3</v>
      </c>
      <c r="D217" t="s">
        <v>51</v>
      </c>
      <c r="E217">
        <v>4</v>
      </c>
      <c r="F217" t="s">
        <v>234</v>
      </c>
      <c r="G217" t="s">
        <v>552</v>
      </c>
      <c r="H217" t="s">
        <v>568</v>
      </c>
      <c r="I217" t="s">
        <v>212</v>
      </c>
      <c r="J217" t="s">
        <v>213</v>
      </c>
      <c r="K217" t="s">
        <v>149</v>
      </c>
      <c r="L217" t="s">
        <v>828</v>
      </c>
      <c r="M217" t="s">
        <v>224</v>
      </c>
      <c r="N217" t="s">
        <v>215</v>
      </c>
      <c r="O217" s="57">
        <v>46296.486574074072</v>
      </c>
      <c r="P217" s="57">
        <v>46299.940555555557</v>
      </c>
      <c r="Q217">
        <v>69402275</v>
      </c>
      <c r="R217">
        <v>2716011842</v>
      </c>
      <c r="S217">
        <v>142505404559</v>
      </c>
      <c r="T217" t="s">
        <v>1144</v>
      </c>
      <c r="U217" t="s">
        <v>1145</v>
      </c>
      <c r="V217" t="s">
        <v>1146</v>
      </c>
      <c r="Z217">
        <v>110.762864306951</v>
      </c>
      <c r="AA217">
        <v>-7.5397335047301803</v>
      </c>
      <c r="AB217" t="s">
        <v>1147</v>
      </c>
      <c r="AC217" t="s">
        <v>235</v>
      </c>
      <c r="AL217" t="s">
        <v>217</v>
      </c>
      <c r="AM217" t="s">
        <v>1148</v>
      </c>
      <c r="AN217" t="s">
        <v>6</v>
      </c>
      <c r="AO217" s="57">
        <v>46032.517557870371</v>
      </c>
      <c r="AP217" s="57">
        <v>46297.333333333336</v>
      </c>
      <c r="AR217" t="s">
        <v>18</v>
      </c>
      <c r="AS217" t="s">
        <v>219</v>
      </c>
      <c r="AT217" t="s">
        <v>230</v>
      </c>
      <c r="AV217" t="s">
        <v>226</v>
      </c>
      <c r="AW217" t="s">
        <v>860</v>
      </c>
      <c r="AX217" t="s">
        <v>222</v>
      </c>
      <c r="BA217" s="57">
        <v>46297.333333333336</v>
      </c>
      <c r="BB217" t="s">
        <v>1148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e">
        <f>VLOOKUP(H217,Sheet2!$A$1:$B$270,2,FALSE)</f>
        <v>#N/A</v>
      </c>
    </row>
    <row r="218" spans="1:61">
      <c r="A218">
        <v>217</v>
      </c>
      <c r="B218">
        <v>1002618198</v>
      </c>
      <c r="C218">
        <v>3</v>
      </c>
      <c r="D218" t="s">
        <v>51</v>
      </c>
      <c r="E218">
        <v>4</v>
      </c>
      <c r="F218" t="s">
        <v>234</v>
      </c>
      <c r="G218" t="s">
        <v>552</v>
      </c>
      <c r="H218" t="s">
        <v>568</v>
      </c>
      <c r="I218" t="s">
        <v>1563</v>
      </c>
      <c r="J218" t="s">
        <v>213</v>
      </c>
      <c r="K218" t="s">
        <v>149</v>
      </c>
      <c r="M218" t="s">
        <v>224</v>
      </c>
      <c r="N218" t="s">
        <v>1975</v>
      </c>
      <c r="O218" s="57">
        <v>46296.621921296297</v>
      </c>
      <c r="P218" s="57">
        <v>46296.694201388891</v>
      </c>
      <c r="Q218">
        <v>69402490</v>
      </c>
      <c r="S218">
        <v>142505404702</v>
      </c>
      <c r="T218" t="s">
        <v>2226</v>
      </c>
      <c r="U218" t="s">
        <v>2227</v>
      </c>
      <c r="V218" t="s">
        <v>2228</v>
      </c>
      <c r="Z218">
        <v>110.766363</v>
      </c>
      <c r="AA218">
        <v>-7.5643750000000001</v>
      </c>
      <c r="AB218" t="s">
        <v>2229</v>
      </c>
      <c r="AC218" t="s">
        <v>1980</v>
      </c>
      <c r="AL218" t="s">
        <v>217</v>
      </c>
      <c r="AM218" t="s">
        <v>2229</v>
      </c>
      <c r="AN218" t="s">
        <v>6</v>
      </c>
      <c r="AO218" s="57">
        <v>46032.632627314815</v>
      </c>
      <c r="AR218" t="s">
        <v>18</v>
      </c>
      <c r="AS218" t="s">
        <v>219</v>
      </c>
      <c r="AT218" t="s">
        <v>230</v>
      </c>
      <c r="AV218" t="s">
        <v>226</v>
      </c>
      <c r="AW218" t="s">
        <v>2230</v>
      </c>
      <c r="AX218" t="s">
        <v>222</v>
      </c>
      <c r="BA218" s="57">
        <v>46296.875</v>
      </c>
      <c r="BB218" t="s">
        <v>2229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e">
        <f>VLOOKUP(H218,Sheet2!$A$1:$B$270,2,FALSE)</f>
        <v>#N/A</v>
      </c>
    </row>
    <row r="219" spans="1:61">
      <c r="A219">
        <v>218</v>
      </c>
      <c r="B219">
        <v>1002621260</v>
      </c>
      <c r="C219">
        <v>3</v>
      </c>
      <c r="D219" t="s">
        <v>51</v>
      </c>
      <c r="E219">
        <v>4</v>
      </c>
      <c r="F219" t="s">
        <v>234</v>
      </c>
      <c r="G219" t="s">
        <v>552</v>
      </c>
      <c r="H219" t="s">
        <v>568</v>
      </c>
      <c r="I219" t="s">
        <v>212</v>
      </c>
      <c r="J219" t="s">
        <v>213</v>
      </c>
      <c r="K219" t="s">
        <v>149</v>
      </c>
      <c r="L219" t="s">
        <v>214</v>
      </c>
      <c r="M219" t="s">
        <v>224</v>
      </c>
      <c r="N219" t="s">
        <v>215</v>
      </c>
      <c r="O219" s="57">
        <v>46299.389293981483</v>
      </c>
      <c r="P219" s="57">
        <v>46300.34270833333</v>
      </c>
      <c r="Q219">
        <v>69403811</v>
      </c>
      <c r="S219">
        <v>142505403747</v>
      </c>
      <c r="T219" t="s">
        <v>2231</v>
      </c>
      <c r="U219" t="s">
        <v>2232</v>
      </c>
      <c r="V219" t="s">
        <v>2233</v>
      </c>
      <c r="Z219">
        <v>110.78072280000001</v>
      </c>
      <c r="AA219">
        <v>-7.5764433000000002</v>
      </c>
      <c r="AB219" t="s">
        <v>2234</v>
      </c>
      <c r="AC219" t="s">
        <v>235</v>
      </c>
      <c r="AL219" t="s">
        <v>217</v>
      </c>
      <c r="AM219" t="s">
        <v>2235</v>
      </c>
      <c r="AN219" t="s">
        <v>6</v>
      </c>
      <c r="AO219" s="57">
        <v>46122.392488425925</v>
      </c>
      <c r="AP219" s="57">
        <v>46300.333333333336</v>
      </c>
      <c r="AR219" t="s">
        <v>18</v>
      </c>
      <c r="AS219" t="s">
        <v>219</v>
      </c>
      <c r="AT219" t="s">
        <v>230</v>
      </c>
      <c r="AV219" t="s">
        <v>226</v>
      </c>
      <c r="AW219" t="s">
        <v>882</v>
      </c>
      <c r="AX219" t="s">
        <v>222</v>
      </c>
      <c r="BA219" s="57">
        <v>46300.333333333336</v>
      </c>
      <c r="BB219" t="s">
        <v>2235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e">
        <f>VLOOKUP(H219,Sheet2!$A$1:$B$270,2,FALSE)</f>
        <v>#N/A</v>
      </c>
    </row>
    <row r="220" spans="1:61">
      <c r="A220">
        <v>219</v>
      </c>
      <c r="B220">
        <v>1002617694</v>
      </c>
      <c r="C220">
        <v>3</v>
      </c>
      <c r="D220" t="s">
        <v>51</v>
      </c>
      <c r="E220">
        <v>4</v>
      </c>
      <c r="F220" t="s">
        <v>234</v>
      </c>
      <c r="G220" t="s">
        <v>552</v>
      </c>
      <c r="H220" t="s">
        <v>568</v>
      </c>
      <c r="I220" t="s">
        <v>212</v>
      </c>
      <c r="J220" t="s">
        <v>213</v>
      </c>
      <c r="K220" t="s">
        <v>149</v>
      </c>
      <c r="L220" t="s">
        <v>828</v>
      </c>
      <c r="M220" t="s">
        <v>76</v>
      </c>
      <c r="N220" t="s">
        <v>215</v>
      </c>
      <c r="O220" s="57">
        <v>46296.503935185188</v>
      </c>
      <c r="P220" s="57">
        <v>46296.750034722223</v>
      </c>
      <c r="Q220">
        <v>69402263</v>
      </c>
      <c r="R220">
        <v>2716010314</v>
      </c>
      <c r="S220">
        <v>142505404560</v>
      </c>
      <c r="T220" t="s">
        <v>1144</v>
      </c>
      <c r="U220" t="s">
        <v>1145</v>
      </c>
      <c r="V220" t="s">
        <v>1149</v>
      </c>
      <c r="Z220">
        <v>110.762888789903</v>
      </c>
      <c r="AA220">
        <v>-7.5396775316492004</v>
      </c>
      <c r="AB220" t="s">
        <v>1150</v>
      </c>
      <c r="AC220" t="s">
        <v>235</v>
      </c>
      <c r="AL220" t="s">
        <v>217</v>
      </c>
      <c r="AM220" t="s">
        <v>1151</v>
      </c>
      <c r="AN220" t="s">
        <v>6</v>
      </c>
      <c r="AO220" s="57">
        <v>46032.517557870371</v>
      </c>
      <c r="AP220" s="57">
        <v>46297.458333333336</v>
      </c>
      <c r="AR220" t="s">
        <v>218</v>
      </c>
      <c r="AS220" t="s">
        <v>219</v>
      </c>
      <c r="AT220" t="s">
        <v>230</v>
      </c>
      <c r="AU220">
        <v>20261001</v>
      </c>
      <c r="AV220" t="s">
        <v>221</v>
      </c>
      <c r="AW220" t="s">
        <v>860</v>
      </c>
      <c r="AX220" t="s">
        <v>222</v>
      </c>
      <c r="BA220" s="57">
        <v>46297.458333333336</v>
      </c>
      <c r="BB220" t="s">
        <v>1151</v>
      </c>
      <c r="BC220">
        <v>2026</v>
      </c>
      <c r="BD220">
        <v>10</v>
      </c>
      <c r="BE220">
        <v>1</v>
      </c>
      <c r="BF220" s="6">
        <f t="shared" si="9"/>
        <v>46296</v>
      </c>
      <c r="BG220">
        <f t="shared" si="10"/>
        <v>-1.4583333333357587</v>
      </c>
      <c r="BH220" t="str">
        <f t="shared" si="11"/>
        <v>COMPLY</v>
      </c>
      <c r="BI220" t="e">
        <f>VLOOKUP(H220,Sheet2!$A$1:$B$270,2,FALSE)</f>
        <v>#N/A</v>
      </c>
    </row>
    <row r="221" spans="1:61">
      <c r="A221">
        <v>220</v>
      </c>
      <c r="B221">
        <v>1002619200</v>
      </c>
      <c r="C221">
        <v>3</v>
      </c>
      <c r="D221" t="s">
        <v>51</v>
      </c>
      <c r="E221">
        <v>4</v>
      </c>
      <c r="F221" t="s">
        <v>234</v>
      </c>
      <c r="G221" t="s">
        <v>552</v>
      </c>
      <c r="H221" t="s">
        <v>568</v>
      </c>
      <c r="I221" t="s">
        <v>1894</v>
      </c>
      <c r="J221" t="s">
        <v>213</v>
      </c>
      <c r="K221" t="s">
        <v>149</v>
      </c>
      <c r="M221" t="s">
        <v>76</v>
      </c>
      <c r="N221" t="s">
        <v>1895</v>
      </c>
      <c r="O221" s="57">
        <v>46297.410775462966</v>
      </c>
      <c r="P221" s="57">
        <v>46298.713645833333</v>
      </c>
      <c r="Q221">
        <v>69402819</v>
      </c>
      <c r="R221">
        <v>2716011747</v>
      </c>
      <c r="S221">
        <v>142505404833</v>
      </c>
      <c r="T221" t="s">
        <v>2236</v>
      </c>
      <c r="U221" t="s">
        <v>2237</v>
      </c>
      <c r="V221" t="s">
        <v>2238</v>
      </c>
      <c r="Z221">
        <v>110.771718767461</v>
      </c>
      <c r="AA221">
        <v>-7.5576117213448599</v>
      </c>
      <c r="AB221" t="s">
        <v>2239</v>
      </c>
      <c r="AC221" t="s">
        <v>225</v>
      </c>
      <c r="AL221" t="s">
        <v>217</v>
      </c>
      <c r="AM221" t="s">
        <v>1936</v>
      </c>
      <c r="AN221" t="s">
        <v>6</v>
      </c>
      <c r="AO221" s="57">
        <v>46063.42392361111</v>
      </c>
      <c r="AR221" t="s">
        <v>218</v>
      </c>
      <c r="AS221" t="s">
        <v>219</v>
      </c>
      <c r="AT221" t="s">
        <v>230</v>
      </c>
      <c r="AU221">
        <v>20261003</v>
      </c>
      <c r="AV221" t="s">
        <v>221</v>
      </c>
      <c r="AW221" t="s">
        <v>2240</v>
      </c>
      <c r="AX221" t="s">
        <v>222</v>
      </c>
      <c r="BA221" s="57">
        <v>46297.541666666664</v>
      </c>
      <c r="BB221" t="s">
        <v>1936</v>
      </c>
      <c r="BC221">
        <v>2026</v>
      </c>
      <c r="BD221">
        <v>10</v>
      </c>
      <c r="BE221">
        <v>3</v>
      </c>
      <c r="BF221" s="6">
        <f t="shared" si="9"/>
        <v>46298</v>
      </c>
      <c r="BG221">
        <f t="shared" si="10"/>
        <v>0.45833333333575865</v>
      </c>
      <c r="BH221" t="str">
        <f t="shared" si="11"/>
        <v>COMPLY</v>
      </c>
      <c r="BI221" t="e">
        <f>VLOOKUP(H221,Sheet2!$A$1:$B$270,2,FALSE)</f>
        <v>#N/A</v>
      </c>
    </row>
    <row r="222" spans="1:61">
      <c r="A222">
        <v>221</v>
      </c>
      <c r="B222">
        <v>1002620244</v>
      </c>
      <c r="C222">
        <v>3</v>
      </c>
      <c r="D222" t="s">
        <v>51</v>
      </c>
      <c r="E222">
        <v>4</v>
      </c>
      <c r="F222" t="s">
        <v>234</v>
      </c>
      <c r="G222" t="s">
        <v>552</v>
      </c>
      <c r="H222" t="s">
        <v>2241</v>
      </c>
      <c r="I222" t="s">
        <v>1440</v>
      </c>
      <c r="J222" t="s">
        <v>213</v>
      </c>
      <c r="K222" t="s">
        <v>149</v>
      </c>
      <c r="M222" t="s">
        <v>895</v>
      </c>
      <c r="N222" t="s">
        <v>1507</v>
      </c>
      <c r="O222" s="57">
        <v>46297.641412037039</v>
      </c>
      <c r="P222" s="57">
        <v>46297.643564814818</v>
      </c>
      <c r="Q222">
        <v>69403256</v>
      </c>
      <c r="S222">
        <v>142566102842</v>
      </c>
      <c r="T222" t="s">
        <v>2242</v>
      </c>
      <c r="U222" t="s">
        <v>2243</v>
      </c>
      <c r="V222" t="s">
        <v>2244</v>
      </c>
      <c r="Z222">
        <v>110.807023</v>
      </c>
      <c r="AA222">
        <v>-7.4436349999999996</v>
      </c>
      <c r="AB222" t="s">
        <v>2245</v>
      </c>
      <c r="AC222" t="s">
        <v>284</v>
      </c>
      <c r="AL222" t="s">
        <v>217</v>
      </c>
      <c r="AM222">
        <v>85725551706</v>
      </c>
      <c r="AN222" t="s">
        <v>6</v>
      </c>
      <c r="AO222" s="57">
        <v>46063.652951388889</v>
      </c>
      <c r="AR222" t="s">
        <v>886</v>
      </c>
      <c r="AS222" t="s">
        <v>2246</v>
      </c>
      <c r="AT222" t="s">
        <v>230</v>
      </c>
      <c r="AV222" t="s">
        <v>896</v>
      </c>
      <c r="AW222" t="s">
        <v>2247</v>
      </c>
      <c r="AX222" t="s">
        <v>222</v>
      </c>
      <c r="BA222" s="57">
        <v>46297.5</v>
      </c>
      <c r="BB222">
        <v>85725551706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e">
        <f>VLOOKUP(H222,Sheet2!$A$1:$B$270,2,FALSE)</f>
        <v>#N/A</v>
      </c>
    </row>
    <row r="223" spans="1:61">
      <c r="A223">
        <v>222</v>
      </c>
      <c r="B223">
        <v>1002620424</v>
      </c>
      <c r="C223">
        <v>3</v>
      </c>
      <c r="D223" t="s">
        <v>51</v>
      </c>
      <c r="E223">
        <v>4</v>
      </c>
      <c r="F223" t="s">
        <v>234</v>
      </c>
      <c r="G223" t="s">
        <v>552</v>
      </c>
      <c r="H223" t="s">
        <v>2241</v>
      </c>
      <c r="I223" t="s">
        <v>1440</v>
      </c>
      <c r="J223" t="s">
        <v>213</v>
      </c>
      <c r="K223" t="s">
        <v>149</v>
      </c>
      <c r="M223" t="s">
        <v>76</v>
      </c>
      <c r="N223" t="s">
        <v>1507</v>
      </c>
      <c r="O223" s="57">
        <v>46297.681307870371</v>
      </c>
      <c r="P223" s="57">
        <v>46299.898159722223</v>
      </c>
      <c r="Q223">
        <v>69403299</v>
      </c>
      <c r="S223">
        <v>142566102845</v>
      </c>
      <c r="T223" t="s">
        <v>2248</v>
      </c>
      <c r="U223" t="s">
        <v>2249</v>
      </c>
      <c r="V223" t="s">
        <v>2250</v>
      </c>
      <c r="Z223">
        <v>110.82771003253799</v>
      </c>
      <c r="AA223">
        <v>-7.3967957134839599</v>
      </c>
      <c r="AB223" t="s">
        <v>2251</v>
      </c>
      <c r="AC223" t="s">
        <v>284</v>
      </c>
      <c r="AL223" t="s">
        <v>217</v>
      </c>
      <c r="AM223">
        <v>85725551706</v>
      </c>
      <c r="AN223" t="s">
        <v>6</v>
      </c>
      <c r="AO223" s="57">
        <v>46063.684548611112</v>
      </c>
      <c r="AR223" t="s">
        <v>218</v>
      </c>
      <c r="AS223" t="s">
        <v>2246</v>
      </c>
      <c r="AT223" t="s">
        <v>230</v>
      </c>
      <c r="AU223">
        <v>20261004</v>
      </c>
      <c r="AV223" t="s">
        <v>221</v>
      </c>
      <c r="AW223" t="s">
        <v>2252</v>
      </c>
      <c r="AX223" t="s">
        <v>222</v>
      </c>
      <c r="BA223" s="57">
        <v>46297.5</v>
      </c>
      <c r="BB223">
        <v>85725551706</v>
      </c>
      <c r="BC223">
        <v>2026</v>
      </c>
      <c r="BD223">
        <v>10</v>
      </c>
      <c r="BE223">
        <v>4</v>
      </c>
      <c r="BF223" s="6">
        <f t="shared" si="9"/>
        <v>46299</v>
      </c>
      <c r="BG223">
        <f t="shared" si="10"/>
        <v>1.5</v>
      </c>
      <c r="BH223" t="str">
        <f t="shared" si="11"/>
        <v>NOT COMPLY</v>
      </c>
      <c r="BI223" t="e">
        <f>VLOOKUP(H223,Sheet2!$A$1:$B$270,2,FALSE)</f>
        <v>#N/A</v>
      </c>
    </row>
    <row r="224" spans="1:61">
      <c r="A224">
        <v>223</v>
      </c>
      <c r="B224">
        <v>1002620161</v>
      </c>
      <c r="C224">
        <v>3</v>
      </c>
      <c r="D224" t="s">
        <v>51</v>
      </c>
      <c r="E224">
        <v>4</v>
      </c>
      <c r="F224" t="s">
        <v>234</v>
      </c>
      <c r="G224" t="s">
        <v>552</v>
      </c>
      <c r="H224" t="s">
        <v>2241</v>
      </c>
      <c r="I224" t="s">
        <v>1440</v>
      </c>
      <c r="J224" t="s">
        <v>213</v>
      </c>
      <c r="K224" t="s">
        <v>149</v>
      </c>
      <c r="M224" t="s">
        <v>76</v>
      </c>
      <c r="N224" t="s">
        <v>1507</v>
      </c>
      <c r="O224" s="57">
        <v>46297.62940972222</v>
      </c>
      <c r="P224" s="57">
        <v>46299.44394675926</v>
      </c>
      <c r="Q224">
        <v>69403220</v>
      </c>
      <c r="S224">
        <v>142566102838</v>
      </c>
      <c r="T224" t="s">
        <v>2253</v>
      </c>
      <c r="U224" t="s">
        <v>2254</v>
      </c>
      <c r="V224" t="s">
        <v>2255</v>
      </c>
      <c r="Z224">
        <v>110.8581588</v>
      </c>
      <c r="AA224">
        <v>-7.3316076999999904</v>
      </c>
      <c r="AB224" t="s">
        <v>2256</v>
      </c>
      <c r="AC224" t="s">
        <v>284</v>
      </c>
      <c r="AL224" t="s">
        <v>217</v>
      </c>
      <c r="AM224">
        <v>85725551706</v>
      </c>
      <c r="AN224" t="s">
        <v>6</v>
      </c>
      <c r="AO224" s="57">
        <v>46063.652951388889</v>
      </c>
      <c r="AR224" t="s">
        <v>218</v>
      </c>
      <c r="AS224" t="s">
        <v>2246</v>
      </c>
      <c r="AT224" t="s">
        <v>230</v>
      </c>
      <c r="AU224">
        <v>20261004</v>
      </c>
      <c r="AV224" t="s">
        <v>221</v>
      </c>
      <c r="AW224" t="s">
        <v>2257</v>
      </c>
      <c r="AX224" t="s">
        <v>222</v>
      </c>
      <c r="BA224" s="57">
        <v>46297.5</v>
      </c>
      <c r="BB224">
        <v>85725551706</v>
      </c>
      <c r="BC224">
        <v>2026</v>
      </c>
      <c r="BD224">
        <v>10</v>
      </c>
      <c r="BE224">
        <v>4</v>
      </c>
      <c r="BF224" s="6">
        <f t="shared" si="9"/>
        <v>46299</v>
      </c>
      <c r="BG224">
        <f t="shared" si="10"/>
        <v>1.5</v>
      </c>
      <c r="BH224" t="str">
        <f t="shared" si="11"/>
        <v>NOT COMPLY</v>
      </c>
      <c r="BI224" t="e">
        <f>VLOOKUP(H224,Sheet2!$A$1:$B$270,2,FALSE)</f>
        <v>#N/A</v>
      </c>
    </row>
    <row r="225" spans="1:61">
      <c r="A225">
        <v>224</v>
      </c>
      <c r="B225">
        <v>1002619389</v>
      </c>
      <c r="C225">
        <v>3</v>
      </c>
      <c r="D225" t="s">
        <v>51</v>
      </c>
      <c r="E225">
        <v>4</v>
      </c>
      <c r="F225" t="s">
        <v>234</v>
      </c>
      <c r="G225" t="s">
        <v>865</v>
      </c>
      <c r="H225" t="s">
        <v>2258</v>
      </c>
      <c r="I225" t="s">
        <v>1563</v>
      </c>
      <c r="J225" t="s">
        <v>213</v>
      </c>
      <c r="K225" t="s">
        <v>149</v>
      </c>
      <c r="M225" t="s">
        <v>2259</v>
      </c>
      <c r="N225" t="s">
        <v>1975</v>
      </c>
      <c r="O225" s="57">
        <v>46297.446655092594</v>
      </c>
      <c r="P225" s="57">
        <v>46297.447268518517</v>
      </c>
      <c r="Q225">
        <v>69402891</v>
      </c>
      <c r="S225">
        <v>146517100139</v>
      </c>
      <c r="T225" t="s">
        <v>2260</v>
      </c>
      <c r="Z225">
        <v>110.964220209087</v>
      </c>
      <c r="AA225">
        <v>-7.9424445837153401</v>
      </c>
      <c r="AB225" t="s">
        <v>1979</v>
      </c>
      <c r="AC225" t="s">
        <v>1980</v>
      </c>
      <c r="AL225" t="s">
        <v>217</v>
      </c>
      <c r="AM225" s="58">
        <v>25569</v>
      </c>
      <c r="AN225" t="s">
        <v>6</v>
      </c>
      <c r="AO225" s="57">
        <v>46063.455081018517</v>
      </c>
      <c r="AR225" t="s">
        <v>6</v>
      </c>
      <c r="AS225" t="s">
        <v>219</v>
      </c>
      <c r="AT225" t="s">
        <v>230</v>
      </c>
      <c r="AV225" t="s">
        <v>2261</v>
      </c>
      <c r="AW225" t="s">
        <v>1451</v>
      </c>
      <c r="AX225" t="s">
        <v>222</v>
      </c>
      <c r="BA225" s="57">
        <v>25569</v>
      </c>
      <c r="BB225" s="58">
        <v>25569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e">
        <f>VLOOKUP(H225,Sheet2!$A$1:$B$270,2,FALSE)</f>
        <v>#N/A</v>
      </c>
    </row>
    <row r="226" spans="1:61">
      <c r="A226">
        <v>225</v>
      </c>
      <c r="B226">
        <v>1002619578</v>
      </c>
      <c r="C226">
        <v>3</v>
      </c>
      <c r="D226" t="s">
        <v>51</v>
      </c>
      <c r="E226">
        <v>4</v>
      </c>
      <c r="F226" t="s">
        <v>234</v>
      </c>
      <c r="G226" t="s">
        <v>865</v>
      </c>
      <c r="H226" t="s">
        <v>890</v>
      </c>
      <c r="I226" t="s">
        <v>212</v>
      </c>
      <c r="J226" t="s">
        <v>213</v>
      </c>
      <c r="K226" t="s">
        <v>149</v>
      </c>
      <c r="L226" t="s">
        <v>214</v>
      </c>
      <c r="M226" t="s">
        <v>895</v>
      </c>
      <c r="N226" t="s">
        <v>215</v>
      </c>
      <c r="O226" s="57">
        <v>46297.483032407406</v>
      </c>
      <c r="P226" s="57">
        <v>46300.336944444447</v>
      </c>
      <c r="Q226">
        <v>69402956</v>
      </c>
      <c r="S226">
        <v>142523108354</v>
      </c>
      <c r="T226" t="s">
        <v>2262</v>
      </c>
      <c r="U226" t="s">
        <v>2263</v>
      </c>
      <c r="V226" t="s">
        <v>2264</v>
      </c>
      <c r="Z226">
        <v>111.08164600000001</v>
      </c>
      <c r="AA226">
        <v>-7.7886013999999903</v>
      </c>
      <c r="AB226" t="s">
        <v>2265</v>
      </c>
      <c r="AC226" t="s">
        <v>235</v>
      </c>
      <c r="AL226" t="s">
        <v>217</v>
      </c>
      <c r="AM226" t="s">
        <v>2266</v>
      </c>
      <c r="AN226" t="s">
        <v>6</v>
      </c>
      <c r="AO226" s="57">
        <v>46063.486087962963</v>
      </c>
      <c r="AP226" s="57">
        <v>46300.333333333336</v>
      </c>
      <c r="AR226" t="s">
        <v>886</v>
      </c>
      <c r="AS226" t="s">
        <v>219</v>
      </c>
      <c r="AT226" t="s">
        <v>230</v>
      </c>
      <c r="AV226" t="s">
        <v>896</v>
      </c>
      <c r="AW226" t="s">
        <v>882</v>
      </c>
      <c r="AX226" t="s">
        <v>222</v>
      </c>
      <c r="BA226" s="57">
        <v>46300.333333333336</v>
      </c>
      <c r="BB226" t="s">
        <v>2266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:61">
      <c r="A227">
        <v>226</v>
      </c>
      <c r="B227">
        <v>1002617973</v>
      </c>
      <c r="C227">
        <v>3</v>
      </c>
      <c r="D227" t="s">
        <v>51</v>
      </c>
      <c r="E227">
        <v>4</v>
      </c>
      <c r="F227" t="s">
        <v>234</v>
      </c>
      <c r="G227" t="s">
        <v>865</v>
      </c>
      <c r="H227" t="s">
        <v>890</v>
      </c>
      <c r="I227" t="s">
        <v>212</v>
      </c>
      <c r="J227" t="s">
        <v>213</v>
      </c>
      <c r="K227" t="s">
        <v>149</v>
      </c>
      <c r="M227" t="s">
        <v>76</v>
      </c>
      <c r="N227" t="s">
        <v>215</v>
      </c>
      <c r="O227" s="57">
        <v>46296.581493055557</v>
      </c>
      <c r="P227" s="57">
        <v>46298.538472222222</v>
      </c>
      <c r="Q227">
        <v>69402411</v>
      </c>
      <c r="S227">
        <v>142523108896</v>
      </c>
      <c r="T227" t="s">
        <v>1152</v>
      </c>
      <c r="U227" t="s">
        <v>1153</v>
      </c>
      <c r="V227" t="s">
        <v>1154</v>
      </c>
      <c r="Z227">
        <v>111.127386046067</v>
      </c>
      <c r="AA227">
        <v>-7.8303749684347101</v>
      </c>
      <c r="AB227" t="s">
        <v>1155</v>
      </c>
      <c r="AC227" t="s">
        <v>284</v>
      </c>
      <c r="AL227" t="s">
        <v>217</v>
      </c>
      <c r="AM227" t="s">
        <v>1156</v>
      </c>
      <c r="AN227" t="s">
        <v>6</v>
      </c>
      <c r="AO227" s="57">
        <v>46032.590474537035</v>
      </c>
      <c r="AP227" s="57">
        <v>46298.333333333336</v>
      </c>
      <c r="AR227" t="s">
        <v>218</v>
      </c>
      <c r="AS227" t="s">
        <v>219</v>
      </c>
      <c r="AT227" t="s">
        <v>230</v>
      </c>
      <c r="AU227">
        <v>20261003</v>
      </c>
      <c r="AV227" t="s">
        <v>221</v>
      </c>
      <c r="AW227" t="s">
        <v>539</v>
      </c>
      <c r="AX227" t="s">
        <v>222</v>
      </c>
      <c r="BA227" s="57">
        <v>46298.333333333336</v>
      </c>
      <c r="BB227" t="s">
        <v>1156</v>
      </c>
      <c r="BC227">
        <v>2026</v>
      </c>
      <c r="BD227">
        <v>10</v>
      </c>
      <c r="BE227">
        <v>3</v>
      </c>
      <c r="BF227" s="6">
        <f t="shared" si="9"/>
        <v>46298</v>
      </c>
      <c r="BG227">
        <f t="shared" si="10"/>
        <v>-0.33333333333575865</v>
      </c>
      <c r="BH227" t="str">
        <f t="shared" si="11"/>
        <v>COMPLY</v>
      </c>
      <c r="BI227" t="e">
        <f>VLOOKUP(H227,Sheet2!$A$1:$B$270,2,FALSE)</f>
        <v>#N/A</v>
      </c>
    </row>
    <row r="228" spans="1:61">
      <c r="A228">
        <v>227</v>
      </c>
      <c r="B228">
        <v>1002620950</v>
      </c>
      <c r="C228">
        <v>3</v>
      </c>
      <c r="D228" t="s">
        <v>51</v>
      </c>
      <c r="E228">
        <v>4</v>
      </c>
      <c r="F228" t="s">
        <v>234</v>
      </c>
      <c r="G228" t="s">
        <v>865</v>
      </c>
      <c r="H228" t="s">
        <v>890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46298.535185185188</v>
      </c>
      <c r="P228" s="57">
        <v>46299.665717592594</v>
      </c>
      <c r="Q228">
        <v>69403592</v>
      </c>
      <c r="S228">
        <v>142523108356</v>
      </c>
      <c r="T228" t="s">
        <v>2267</v>
      </c>
      <c r="U228" t="s">
        <v>2268</v>
      </c>
      <c r="V228" t="s">
        <v>2269</v>
      </c>
      <c r="Z228">
        <v>111.06861960000001</v>
      </c>
      <c r="AA228">
        <v>-7.8193758999999998</v>
      </c>
      <c r="AB228" t="s">
        <v>2270</v>
      </c>
      <c r="AC228" t="s">
        <v>235</v>
      </c>
      <c r="AL228" t="s">
        <v>217</v>
      </c>
      <c r="AM228" t="s">
        <v>1695</v>
      </c>
      <c r="AN228" t="s">
        <v>6</v>
      </c>
      <c r="AO228" s="57">
        <v>46091.549074074072</v>
      </c>
      <c r="AP228" s="57">
        <v>46299.458333333336</v>
      </c>
      <c r="AR228" t="s">
        <v>218</v>
      </c>
      <c r="AS228" t="s">
        <v>219</v>
      </c>
      <c r="AT228" t="s">
        <v>230</v>
      </c>
      <c r="AU228">
        <v>20261004</v>
      </c>
      <c r="AV228" t="s">
        <v>221</v>
      </c>
      <c r="AW228" t="s">
        <v>882</v>
      </c>
      <c r="AX228" t="s">
        <v>222</v>
      </c>
      <c r="BA228" s="57">
        <v>46299.458333333336</v>
      </c>
      <c r="BB228" t="s">
        <v>1695</v>
      </c>
      <c r="BC228">
        <v>2026</v>
      </c>
      <c r="BD228">
        <v>10</v>
      </c>
      <c r="BE228">
        <v>4</v>
      </c>
      <c r="BF228" s="6">
        <f t="shared" si="9"/>
        <v>46299</v>
      </c>
      <c r="BG228">
        <f t="shared" si="10"/>
        <v>-0.45833333333575865</v>
      </c>
      <c r="BH228" t="str">
        <f t="shared" si="11"/>
        <v>COMPLY</v>
      </c>
      <c r="BI228" t="e">
        <f>VLOOKUP(H228,Sheet2!$A$1:$B$270,2,FALSE)</f>
        <v>#N/A</v>
      </c>
    </row>
    <row r="229" spans="1:61">
      <c r="A229">
        <v>228</v>
      </c>
      <c r="B229">
        <v>1002621082</v>
      </c>
      <c r="C229">
        <v>3</v>
      </c>
      <c r="D229" t="s">
        <v>51</v>
      </c>
      <c r="E229">
        <v>4</v>
      </c>
      <c r="F229" t="s">
        <v>234</v>
      </c>
      <c r="G229" t="s">
        <v>865</v>
      </c>
      <c r="H229" t="s">
        <v>2271</v>
      </c>
      <c r="I229" t="s">
        <v>212</v>
      </c>
      <c r="J229" t="s">
        <v>213</v>
      </c>
      <c r="K229" t="s">
        <v>149</v>
      </c>
      <c r="L229" t="s">
        <v>214</v>
      </c>
      <c r="M229" t="s">
        <v>224</v>
      </c>
      <c r="N229" t="s">
        <v>215</v>
      </c>
      <c r="O229" s="57">
        <v>46298.641377314816</v>
      </c>
      <c r="P229" s="57">
        <v>46299.641793981478</v>
      </c>
      <c r="Q229">
        <v>69403685</v>
      </c>
      <c r="S229">
        <v>143554100304</v>
      </c>
      <c r="T229" t="s">
        <v>2272</v>
      </c>
      <c r="U229" t="s">
        <v>2273</v>
      </c>
      <c r="V229" t="s">
        <v>2274</v>
      </c>
      <c r="Z229">
        <v>110.8010781</v>
      </c>
      <c r="AA229">
        <v>-7.8243926000000004</v>
      </c>
      <c r="AB229" t="s">
        <v>2275</v>
      </c>
      <c r="AC229" t="s">
        <v>235</v>
      </c>
      <c r="AL229" t="s">
        <v>217</v>
      </c>
      <c r="AM229" t="s">
        <v>1431</v>
      </c>
      <c r="AN229" t="s">
        <v>6</v>
      </c>
      <c r="AO229" s="57">
        <v>46091.642442129632</v>
      </c>
      <c r="AP229" s="57">
        <v>46299.625</v>
      </c>
      <c r="AR229" t="s">
        <v>18</v>
      </c>
      <c r="AS229" t="s">
        <v>219</v>
      </c>
      <c r="AT229" t="s">
        <v>230</v>
      </c>
      <c r="AV229" t="s">
        <v>226</v>
      </c>
      <c r="AW229" t="s">
        <v>879</v>
      </c>
      <c r="AX229" t="s">
        <v>222</v>
      </c>
      <c r="BA229" s="57">
        <v>46299.625</v>
      </c>
      <c r="BB229" t="s">
        <v>1431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e">
        <f>VLOOKUP(H229,Sheet2!$A$1:$B$270,2,FALSE)</f>
        <v>#N/A</v>
      </c>
    </row>
    <row r="230" spans="1:61">
      <c r="A230">
        <v>229</v>
      </c>
      <c r="B230">
        <v>1002621515</v>
      </c>
      <c r="C230">
        <v>3</v>
      </c>
      <c r="D230" t="s">
        <v>51</v>
      </c>
      <c r="E230">
        <v>4</v>
      </c>
      <c r="F230" t="s">
        <v>234</v>
      </c>
      <c r="G230" t="s">
        <v>865</v>
      </c>
      <c r="H230" t="s">
        <v>2271</v>
      </c>
      <c r="I230" t="s">
        <v>212</v>
      </c>
      <c r="J230" t="s">
        <v>213</v>
      </c>
      <c r="K230" t="s">
        <v>149</v>
      </c>
      <c r="L230" t="s">
        <v>214</v>
      </c>
      <c r="M230" t="s">
        <v>238</v>
      </c>
      <c r="N230" t="s">
        <v>215</v>
      </c>
      <c r="O230" s="57">
        <v>46299.805960648147</v>
      </c>
      <c r="P230" s="57">
        <v>46299.807453703703</v>
      </c>
      <c r="Q230">
        <v>69403996</v>
      </c>
      <c r="S230">
        <v>143554101237</v>
      </c>
      <c r="T230" t="s">
        <v>2276</v>
      </c>
      <c r="U230" t="s">
        <v>2277</v>
      </c>
      <c r="V230" t="s">
        <v>2278</v>
      </c>
      <c r="Z230">
        <v>110.84886109999999</v>
      </c>
      <c r="AA230">
        <v>-7.8933388999999998</v>
      </c>
      <c r="AB230" t="s">
        <v>2279</v>
      </c>
      <c r="AC230" t="s">
        <v>235</v>
      </c>
      <c r="AL230" t="s">
        <v>217</v>
      </c>
      <c r="AM230" t="s">
        <v>2280</v>
      </c>
      <c r="AN230" t="s">
        <v>6</v>
      </c>
      <c r="AO230" s="57">
        <v>46122.809201388889</v>
      </c>
      <c r="AP230" s="57">
        <v>46301.333333333336</v>
      </c>
      <c r="AR230" t="s">
        <v>239</v>
      </c>
      <c r="AS230" t="s">
        <v>219</v>
      </c>
      <c r="AT230" t="s">
        <v>230</v>
      </c>
      <c r="AV230" t="s">
        <v>238</v>
      </c>
      <c r="AW230" t="s">
        <v>878</v>
      </c>
      <c r="AX230" t="s">
        <v>222</v>
      </c>
      <c r="BA230" s="57">
        <v>46301.333333333336</v>
      </c>
      <c r="BB230" t="s">
        <v>2280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e">
        <f>VLOOKUP(H230,Sheet2!$A$1:$B$270,2,FALSE)</f>
        <v>#N/A</v>
      </c>
    </row>
    <row r="231" spans="1:61">
      <c r="A231">
        <v>230</v>
      </c>
      <c r="B231">
        <v>1002620284</v>
      </c>
      <c r="C231">
        <v>3</v>
      </c>
      <c r="D231" t="s">
        <v>42</v>
      </c>
      <c r="E231">
        <v>5</v>
      </c>
      <c r="F231" t="s">
        <v>232</v>
      </c>
      <c r="G231" t="s">
        <v>103</v>
      </c>
      <c r="H231" t="s">
        <v>389</v>
      </c>
      <c r="I231" t="s">
        <v>1563</v>
      </c>
      <c r="J231" t="s">
        <v>213</v>
      </c>
      <c r="K231" t="s">
        <v>149</v>
      </c>
      <c r="M231" t="s">
        <v>819</v>
      </c>
      <c r="N231" t="s">
        <v>1975</v>
      </c>
      <c r="O231" s="57">
        <v>46297.649872685186</v>
      </c>
      <c r="P231" s="57">
        <v>46297.651493055557</v>
      </c>
      <c r="Q231">
        <v>69403260</v>
      </c>
      <c r="S231">
        <v>152318242565</v>
      </c>
      <c r="T231" t="s">
        <v>2281</v>
      </c>
      <c r="U231" t="s">
        <v>2282</v>
      </c>
      <c r="V231" t="s">
        <v>2283</v>
      </c>
      <c r="Z231">
        <v>112.163609271163</v>
      </c>
      <c r="AA231">
        <v>-7.5638483177410301</v>
      </c>
      <c r="AB231" t="s">
        <v>2284</v>
      </c>
      <c r="AC231" t="s">
        <v>1980</v>
      </c>
      <c r="AL231" t="s">
        <v>217</v>
      </c>
      <c r="AM231" t="s">
        <v>2284</v>
      </c>
      <c r="AN231" t="s">
        <v>6</v>
      </c>
      <c r="AO231" s="57">
        <v>46063.652951388889</v>
      </c>
      <c r="AR231" t="s">
        <v>325</v>
      </c>
      <c r="AS231" t="s">
        <v>103</v>
      </c>
      <c r="AT231" t="s">
        <v>230</v>
      </c>
      <c r="AV231" t="s">
        <v>820</v>
      </c>
      <c r="AW231" t="s">
        <v>1451</v>
      </c>
      <c r="AX231" t="s">
        <v>222</v>
      </c>
      <c r="BA231" s="57">
        <v>46298.875</v>
      </c>
      <c r="BB231" t="s">
        <v>2284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MOJOKERTO</v>
      </c>
    </row>
    <row r="232" spans="1:61">
      <c r="A232">
        <v>231</v>
      </c>
      <c r="B232">
        <v>1002620059</v>
      </c>
      <c r="C232">
        <v>3</v>
      </c>
      <c r="D232" t="s">
        <v>42</v>
      </c>
      <c r="E232">
        <v>5</v>
      </c>
      <c r="F232" t="s">
        <v>232</v>
      </c>
      <c r="G232" t="s">
        <v>103</v>
      </c>
      <c r="H232" t="s">
        <v>293</v>
      </c>
      <c r="I232" t="s">
        <v>212</v>
      </c>
      <c r="J232" t="s">
        <v>213</v>
      </c>
      <c r="K232" t="s">
        <v>149</v>
      </c>
      <c r="L232" t="s">
        <v>214</v>
      </c>
      <c r="M232" t="s">
        <v>1406</v>
      </c>
      <c r="N232" t="s">
        <v>215</v>
      </c>
      <c r="O232" s="57">
        <v>46297.612210648149</v>
      </c>
      <c r="P232" s="57">
        <v>46299.416331018518</v>
      </c>
      <c r="Q232">
        <v>69403163</v>
      </c>
      <c r="S232">
        <v>152319209578</v>
      </c>
      <c r="T232" t="s">
        <v>2285</v>
      </c>
      <c r="U232" t="s">
        <v>2286</v>
      </c>
      <c r="V232" t="s">
        <v>2287</v>
      </c>
      <c r="Z232">
        <v>112.41521400000001</v>
      </c>
      <c r="AA232">
        <v>-7.6101939999999999</v>
      </c>
      <c r="AB232" t="s">
        <v>2288</v>
      </c>
      <c r="AC232" t="s">
        <v>235</v>
      </c>
      <c r="AL232" t="s">
        <v>217</v>
      </c>
      <c r="AM232" t="s">
        <v>1551</v>
      </c>
      <c r="AN232" t="s">
        <v>6</v>
      </c>
      <c r="AO232" s="57">
        <v>46063.652951388889</v>
      </c>
      <c r="AP232" s="57">
        <v>46298.458333333336</v>
      </c>
      <c r="AQ232" t="s">
        <v>843</v>
      </c>
      <c r="AR232" t="s">
        <v>14</v>
      </c>
      <c r="AS232" t="s">
        <v>103</v>
      </c>
      <c r="AT232" t="s">
        <v>230</v>
      </c>
      <c r="AV232" t="s">
        <v>2289</v>
      </c>
      <c r="AW232" t="s">
        <v>2290</v>
      </c>
      <c r="AX232" t="s">
        <v>222</v>
      </c>
      <c r="BA232" s="57">
        <v>46298.458333333336</v>
      </c>
      <c r="BB232" t="s">
        <v>1551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MOJOKERTO</v>
      </c>
    </row>
    <row r="233" spans="1:61">
      <c r="A233">
        <v>232</v>
      </c>
      <c r="B233">
        <v>1002617289</v>
      </c>
      <c r="C233">
        <v>3</v>
      </c>
      <c r="D233" t="s">
        <v>42</v>
      </c>
      <c r="E233">
        <v>5</v>
      </c>
      <c r="F233" t="s">
        <v>232</v>
      </c>
      <c r="G233" t="s">
        <v>103</v>
      </c>
      <c r="H233" t="s">
        <v>293</v>
      </c>
      <c r="I233" t="s">
        <v>212</v>
      </c>
      <c r="J233" t="s">
        <v>213</v>
      </c>
      <c r="K233" t="s">
        <v>149</v>
      </c>
      <c r="M233" t="s">
        <v>76</v>
      </c>
      <c r="N233" t="s">
        <v>215</v>
      </c>
      <c r="O233" s="57">
        <v>46296.428113425929</v>
      </c>
      <c r="P233" s="57">
        <v>46296.669687499998</v>
      </c>
      <c r="Q233">
        <v>69400158</v>
      </c>
      <c r="S233">
        <v>152319207912</v>
      </c>
      <c r="T233" t="s">
        <v>925</v>
      </c>
      <c r="U233" t="s">
        <v>1157</v>
      </c>
      <c r="V233" t="s">
        <v>1158</v>
      </c>
      <c r="Z233">
        <v>112.34041568000001</v>
      </c>
      <c r="AA233">
        <v>-7.546673052</v>
      </c>
      <c r="AB233" t="s">
        <v>926</v>
      </c>
      <c r="AC233" t="s">
        <v>229</v>
      </c>
      <c r="AL233" t="s">
        <v>217</v>
      </c>
      <c r="AM233" t="s">
        <v>1159</v>
      </c>
      <c r="AN233" t="s">
        <v>6</v>
      </c>
      <c r="AO233" s="57">
        <v>46032.434247685182</v>
      </c>
      <c r="AR233" t="s">
        <v>218</v>
      </c>
      <c r="AS233" t="s">
        <v>103</v>
      </c>
      <c r="AT233" t="s">
        <v>230</v>
      </c>
      <c r="AU233">
        <v>20261001</v>
      </c>
      <c r="AV233" t="s">
        <v>221</v>
      </c>
      <c r="AW233" t="s">
        <v>540</v>
      </c>
      <c r="AX233" t="s">
        <v>222</v>
      </c>
      <c r="BA233" s="57">
        <v>46296.291666666664</v>
      </c>
      <c r="BB233" t="s">
        <v>1159</v>
      </c>
      <c r="BC233">
        <v>2026</v>
      </c>
      <c r="BD233">
        <v>10</v>
      </c>
      <c r="BE233">
        <v>1</v>
      </c>
      <c r="BF233" s="6">
        <f t="shared" si="9"/>
        <v>46296</v>
      </c>
      <c r="BG233">
        <f t="shared" si="10"/>
        <v>-0.29166666666424135</v>
      </c>
      <c r="BH233" t="str">
        <f t="shared" si="11"/>
        <v>COMPLY</v>
      </c>
      <c r="BI233" t="str">
        <f>VLOOKUP(H233,Sheet2!$A$1:$B$270,2,FALSE)</f>
        <v>MOJOKERTO</v>
      </c>
    </row>
    <row r="234" spans="1:61">
      <c r="A234">
        <v>233</v>
      </c>
      <c r="B234">
        <v>1002620432</v>
      </c>
      <c r="C234">
        <v>3</v>
      </c>
      <c r="D234" t="s">
        <v>42</v>
      </c>
      <c r="E234">
        <v>5</v>
      </c>
      <c r="F234" t="s">
        <v>232</v>
      </c>
      <c r="G234" t="s">
        <v>103</v>
      </c>
      <c r="H234" t="s">
        <v>293</v>
      </c>
      <c r="I234" t="s">
        <v>212</v>
      </c>
      <c r="J234" t="s">
        <v>213</v>
      </c>
      <c r="K234" t="s">
        <v>149</v>
      </c>
      <c r="M234" t="s">
        <v>76</v>
      </c>
      <c r="N234" t="s">
        <v>215</v>
      </c>
      <c r="O234" s="57">
        <v>46297.685277777775</v>
      </c>
      <c r="P234" s="57">
        <v>46298.615486111114</v>
      </c>
      <c r="Q234">
        <v>69403314</v>
      </c>
      <c r="S234">
        <v>152319208071</v>
      </c>
      <c r="T234" t="s">
        <v>2291</v>
      </c>
      <c r="U234" t="s">
        <v>2292</v>
      </c>
      <c r="V234" t="s">
        <v>2293</v>
      </c>
      <c r="Z234">
        <v>112.33218859999999</v>
      </c>
      <c r="AA234">
        <v>-7.5730507999999999</v>
      </c>
      <c r="AB234" t="s">
        <v>2294</v>
      </c>
      <c r="AC234" t="s">
        <v>229</v>
      </c>
      <c r="AL234" t="s">
        <v>217</v>
      </c>
      <c r="AM234" t="s">
        <v>2295</v>
      </c>
      <c r="AN234" t="s">
        <v>6</v>
      </c>
      <c r="AO234" s="57">
        <v>46063.694699074076</v>
      </c>
      <c r="AP234" s="57">
        <v>46298.625</v>
      </c>
      <c r="AR234" t="s">
        <v>218</v>
      </c>
      <c r="AS234" t="s">
        <v>103</v>
      </c>
      <c r="AT234" t="s">
        <v>230</v>
      </c>
      <c r="AU234">
        <v>20261003</v>
      </c>
      <c r="AV234" t="s">
        <v>221</v>
      </c>
      <c r="AW234" t="s">
        <v>540</v>
      </c>
      <c r="AX234" t="s">
        <v>222</v>
      </c>
      <c r="BA234" s="57">
        <v>46298.625</v>
      </c>
      <c r="BB234" t="s">
        <v>2295</v>
      </c>
      <c r="BC234">
        <v>2026</v>
      </c>
      <c r="BD234">
        <v>10</v>
      </c>
      <c r="BE234">
        <v>3</v>
      </c>
      <c r="BF234" s="6">
        <f t="shared" si="9"/>
        <v>46298</v>
      </c>
      <c r="BG234">
        <f t="shared" si="10"/>
        <v>-0.625</v>
      </c>
      <c r="BH234" t="str">
        <f t="shared" si="11"/>
        <v>COMPLY</v>
      </c>
      <c r="BI234" t="str">
        <f>VLOOKUP(H234,Sheet2!$A$1:$B$270,2,FALSE)</f>
        <v>MOJOKERTO</v>
      </c>
    </row>
    <row r="235" spans="1:61">
      <c r="A235">
        <v>234</v>
      </c>
      <c r="B235">
        <v>1002621327</v>
      </c>
      <c r="C235">
        <v>3</v>
      </c>
      <c r="D235" t="s">
        <v>42</v>
      </c>
      <c r="E235">
        <v>5</v>
      </c>
      <c r="F235" t="s">
        <v>232</v>
      </c>
      <c r="G235" t="s">
        <v>103</v>
      </c>
      <c r="H235" t="s">
        <v>293</v>
      </c>
      <c r="I235" t="s">
        <v>212</v>
      </c>
      <c r="J235" t="s">
        <v>213</v>
      </c>
      <c r="K235" t="s">
        <v>149</v>
      </c>
      <c r="M235" t="s">
        <v>76</v>
      </c>
      <c r="N235" t="s">
        <v>215</v>
      </c>
      <c r="O235" s="57">
        <v>46299.464375000003</v>
      </c>
      <c r="P235" s="57">
        <v>46299.756944444445</v>
      </c>
      <c r="Q235">
        <v>69403842</v>
      </c>
      <c r="S235">
        <v>152319209069</v>
      </c>
      <c r="T235" t="s">
        <v>2296</v>
      </c>
      <c r="U235" t="s">
        <v>2297</v>
      </c>
      <c r="V235" t="s">
        <v>2298</v>
      </c>
      <c r="Z235">
        <v>112.4319852</v>
      </c>
      <c r="AA235">
        <v>-7.4631537000000003</v>
      </c>
      <c r="AB235" t="s">
        <v>2299</v>
      </c>
      <c r="AC235" t="s">
        <v>229</v>
      </c>
      <c r="AL235" t="s">
        <v>217</v>
      </c>
      <c r="AM235" t="s">
        <v>2300</v>
      </c>
      <c r="AN235" t="s">
        <v>6</v>
      </c>
      <c r="AO235" s="57">
        <v>46122.475601851853</v>
      </c>
      <c r="AP235" s="57">
        <v>46300.333333333336</v>
      </c>
      <c r="AR235" t="s">
        <v>218</v>
      </c>
      <c r="AS235" t="s">
        <v>103</v>
      </c>
      <c r="AT235" t="s">
        <v>230</v>
      </c>
      <c r="AU235">
        <v>20261004</v>
      </c>
      <c r="AV235" t="s">
        <v>221</v>
      </c>
      <c r="AW235" t="s">
        <v>540</v>
      </c>
      <c r="AX235" t="s">
        <v>222</v>
      </c>
      <c r="BA235" s="57">
        <v>46300.333333333336</v>
      </c>
      <c r="BB235" t="s">
        <v>2300</v>
      </c>
      <c r="BC235">
        <v>2026</v>
      </c>
      <c r="BD235">
        <v>10</v>
      </c>
      <c r="BE235">
        <v>4</v>
      </c>
      <c r="BF235" s="6">
        <f t="shared" si="9"/>
        <v>46299</v>
      </c>
      <c r="BG235">
        <f t="shared" si="10"/>
        <v>-1.3333333333357587</v>
      </c>
      <c r="BH235" t="str">
        <f t="shared" si="11"/>
        <v>COMPLY</v>
      </c>
      <c r="BI235" t="str">
        <f>VLOOKUP(H235,Sheet2!$A$1:$B$270,2,FALSE)</f>
        <v>MOJOKERTO</v>
      </c>
    </row>
    <row r="236" spans="1:61">
      <c r="A236">
        <v>235</v>
      </c>
      <c r="B236">
        <v>1002621279</v>
      </c>
      <c r="C236">
        <v>3</v>
      </c>
      <c r="D236" t="s">
        <v>42</v>
      </c>
      <c r="E236">
        <v>5</v>
      </c>
      <c r="F236" t="s">
        <v>232</v>
      </c>
      <c r="G236" t="s">
        <v>103</v>
      </c>
      <c r="H236" t="s">
        <v>293</v>
      </c>
      <c r="I236" t="s">
        <v>212</v>
      </c>
      <c r="J236" t="s">
        <v>213</v>
      </c>
      <c r="K236" t="s">
        <v>149</v>
      </c>
      <c r="M236" t="s">
        <v>76</v>
      </c>
      <c r="N236" t="s">
        <v>215</v>
      </c>
      <c r="O236" s="57">
        <v>46299.416342592594</v>
      </c>
      <c r="P236" s="57">
        <v>46299.578553240739</v>
      </c>
      <c r="Q236">
        <v>69403163</v>
      </c>
      <c r="S236">
        <v>152319209068</v>
      </c>
      <c r="T236" t="s">
        <v>2285</v>
      </c>
      <c r="U236" t="s">
        <v>2286</v>
      </c>
      <c r="V236" t="s">
        <v>2301</v>
      </c>
      <c r="Z236">
        <v>112.41571193</v>
      </c>
      <c r="AA236">
        <v>-7.6101747749999999</v>
      </c>
      <c r="AB236" t="s">
        <v>2288</v>
      </c>
      <c r="AC236" t="s">
        <v>229</v>
      </c>
      <c r="AL236" t="s">
        <v>217</v>
      </c>
      <c r="AM236" t="s">
        <v>1561</v>
      </c>
      <c r="AN236" t="s">
        <v>6</v>
      </c>
      <c r="AO236" s="57">
        <v>46122.423935185187</v>
      </c>
      <c r="AR236" t="s">
        <v>218</v>
      </c>
      <c r="AS236" t="s">
        <v>103</v>
      </c>
      <c r="AT236" t="s">
        <v>230</v>
      </c>
      <c r="AU236">
        <v>20261004</v>
      </c>
      <c r="AV236" t="s">
        <v>221</v>
      </c>
      <c r="AW236" t="s">
        <v>540</v>
      </c>
      <c r="AX236" t="s">
        <v>222</v>
      </c>
      <c r="BA236" s="57">
        <v>46299.291666666664</v>
      </c>
      <c r="BB236" t="s">
        <v>1561</v>
      </c>
      <c r="BC236">
        <v>2026</v>
      </c>
      <c r="BD236">
        <v>10</v>
      </c>
      <c r="BE236">
        <v>4</v>
      </c>
      <c r="BF236" s="6">
        <f t="shared" si="9"/>
        <v>46299</v>
      </c>
      <c r="BG236">
        <f t="shared" si="10"/>
        <v>-0.29166666666424135</v>
      </c>
      <c r="BH236" t="str">
        <f t="shared" si="11"/>
        <v>COMPLY</v>
      </c>
      <c r="BI236" t="str">
        <f>VLOOKUP(H236,Sheet2!$A$1:$B$270,2,FALSE)</f>
        <v>MOJOKERTO</v>
      </c>
    </row>
    <row r="237" spans="1:61">
      <c r="A237">
        <v>236</v>
      </c>
      <c r="B237">
        <v>1002621112</v>
      </c>
      <c r="C237">
        <v>3</v>
      </c>
      <c r="D237" t="s">
        <v>42</v>
      </c>
      <c r="E237">
        <v>5</v>
      </c>
      <c r="F237" t="s">
        <v>232</v>
      </c>
      <c r="G237" t="s">
        <v>105</v>
      </c>
      <c r="H237" t="s">
        <v>432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46298.667754629627</v>
      </c>
      <c r="P237" s="57">
        <v>46299.536249999997</v>
      </c>
      <c r="Q237">
        <v>69403702</v>
      </c>
      <c r="S237">
        <v>152330220813</v>
      </c>
      <c r="T237" t="s">
        <v>2302</v>
      </c>
      <c r="U237" t="s">
        <v>2303</v>
      </c>
      <c r="V237" t="s">
        <v>2304</v>
      </c>
      <c r="Z237">
        <v>112.5627245</v>
      </c>
      <c r="AA237">
        <v>-7.5215709999999998</v>
      </c>
      <c r="AB237" t="s">
        <v>2305</v>
      </c>
      <c r="AC237" t="s">
        <v>235</v>
      </c>
      <c r="AL237" t="s">
        <v>217</v>
      </c>
      <c r="AM237" t="s">
        <v>2306</v>
      </c>
      <c r="AN237" t="s">
        <v>6</v>
      </c>
      <c r="AO237" s="57">
        <v>46091.684004629627</v>
      </c>
      <c r="AP237" s="57">
        <v>46299.625</v>
      </c>
      <c r="AR237" t="s">
        <v>218</v>
      </c>
      <c r="AS237" t="s">
        <v>105</v>
      </c>
      <c r="AT237" t="s">
        <v>230</v>
      </c>
      <c r="AU237">
        <v>20261004</v>
      </c>
      <c r="AV237" t="s">
        <v>221</v>
      </c>
      <c r="AW237" t="s">
        <v>879</v>
      </c>
      <c r="AX237" t="s">
        <v>222</v>
      </c>
      <c r="BA237" s="57">
        <v>46299.625</v>
      </c>
      <c r="BB237" t="s">
        <v>2306</v>
      </c>
      <c r="BC237">
        <v>2026</v>
      </c>
      <c r="BD237">
        <v>10</v>
      </c>
      <c r="BE237">
        <v>4</v>
      </c>
      <c r="BF237" s="6">
        <f t="shared" si="9"/>
        <v>46299</v>
      </c>
      <c r="BG237">
        <f t="shared" si="10"/>
        <v>-0.625</v>
      </c>
      <c r="BH237" t="str">
        <f t="shared" si="11"/>
        <v>COMPLY</v>
      </c>
      <c r="BI237" t="str">
        <f>VLOOKUP(H237,Sheet2!$A$1:$B$270,2,FALSE)</f>
        <v>MOJOKERTO</v>
      </c>
    </row>
    <row r="238" spans="1:61">
      <c r="A238">
        <v>237</v>
      </c>
      <c r="B238">
        <v>1002616829</v>
      </c>
      <c r="C238">
        <v>3</v>
      </c>
      <c r="D238" t="s">
        <v>42</v>
      </c>
      <c r="E238">
        <v>5</v>
      </c>
      <c r="F238" t="s">
        <v>232</v>
      </c>
      <c r="G238" t="s">
        <v>105</v>
      </c>
      <c r="H238" t="s">
        <v>369</v>
      </c>
      <c r="I238" t="s">
        <v>212</v>
      </c>
      <c r="J238" t="s">
        <v>213</v>
      </c>
      <c r="K238" t="s">
        <v>149</v>
      </c>
      <c r="M238" t="s">
        <v>76</v>
      </c>
      <c r="N238" t="s">
        <v>215</v>
      </c>
      <c r="O238" s="57">
        <v>46296.328032407408</v>
      </c>
      <c r="P238" s="57">
        <v>46297.849548611113</v>
      </c>
      <c r="Q238">
        <v>69402000</v>
      </c>
      <c r="S238">
        <v>152312243348</v>
      </c>
      <c r="T238" t="s">
        <v>1160</v>
      </c>
      <c r="U238" t="s">
        <v>1161</v>
      </c>
      <c r="V238" t="s">
        <v>1162</v>
      </c>
      <c r="Z238">
        <v>112.43383559999999</v>
      </c>
      <c r="AA238">
        <v>-7.4922269000000004</v>
      </c>
      <c r="AB238" t="s">
        <v>1163</v>
      </c>
      <c r="AC238" t="s">
        <v>229</v>
      </c>
      <c r="AL238" t="s">
        <v>217</v>
      </c>
      <c r="AM238" t="s">
        <v>1164</v>
      </c>
      <c r="AN238" t="s">
        <v>6</v>
      </c>
      <c r="AO238" s="57">
        <v>46032.330370370371</v>
      </c>
      <c r="AP238" s="57">
        <v>46297.333333333336</v>
      </c>
      <c r="AR238" t="s">
        <v>218</v>
      </c>
      <c r="AS238" t="s">
        <v>105</v>
      </c>
      <c r="AT238" t="s">
        <v>230</v>
      </c>
      <c r="AU238">
        <v>20261002</v>
      </c>
      <c r="AV238" t="s">
        <v>221</v>
      </c>
      <c r="AW238" t="s">
        <v>540</v>
      </c>
      <c r="AX238" t="s">
        <v>222</v>
      </c>
      <c r="BA238" s="57">
        <v>46297.333333333336</v>
      </c>
      <c r="BB238" t="s">
        <v>1164</v>
      </c>
      <c r="BC238">
        <v>2026</v>
      </c>
      <c r="BD238">
        <v>10</v>
      </c>
      <c r="BE238">
        <v>2</v>
      </c>
      <c r="BF238" s="6">
        <f t="shared" si="9"/>
        <v>46297</v>
      </c>
      <c r="BG238">
        <f t="shared" si="10"/>
        <v>-0.33333333333575865</v>
      </c>
      <c r="BH238" t="str">
        <f t="shared" si="11"/>
        <v>COMPLY</v>
      </c>
      <c r="BI238" t="str">
        <f>VLOOKUP(H238,Sheet2!$A$1:$B$270,2,FALSE)</f>
        <v>MOJOKERTO</v>
      </c>
    </row>
    <row r="239" spans="1:61">
      <c r="A239">
        <v>238</v>
      </c>
      <c r="B239">
        <v>1002619197</v>
      </c>
      <c r="C239">
        <v>3</v>
      </c>
      <c r="D239" t="s">
        <v>42</v>
      </c>
      <c r="E239">
        <v>5</v>
      </c>
      <c r="F239" t="s">
        <v>232</v>
      </c>
      <c r="G239" t="s">
        <v>105</v>
      </c>
      <c r="H239" t="s">
        <v>369</v>
      </c>
      <c r="I239" t="s">
        <v>212</v>
      </c>
      <c r="J239" t="s">
        <v>213</v>
      </c>
      <c r="K239" t="s">
        <v>149</v>
      </c>
      <c r="M239" t="s">
        <v>76</v>
      </c>
      <c r="N239" t="s">
        <v>215</v>
      </c>
      <c r="O239" s="57">
        <v>46297.410694444443</v>
      </c>
      <c r="P239" s="57">
        <v>46297.918055555558</v>
      </c>
      <c r="Q239">
        <v>69402821</v>
      </c>
      <c r="S239">
        <v>152312243562</v>
      </c>
      <c r="T239" t="s">
        <v>2307</v>
      </c>
      <c r="U239" t="s">
        <v>2308</v>
      </c>
      <c r="V239" t="s">
        <v>2309</v>
      </c>
      <c r="Z239">
        <v>112.370482</v>
      </c>
      <c r="AA239">
        <v>-7.4588653999999996</v>
      </c>
      <c r="AB239" t="s">
        <v>2310</v>
      </c>
      <c r="AC239" t="s">
        <v>229</v>
      </c>
      <c r="AL239" t="s">
        <v>217</v>
      </c>
      <c r="AM239" t="s">
        <v>2311</v>
      </c>
      <c r="AN239" t="s">
        <v>6</v>
      </c>
      <c r="AO239" s="57">
        <v>46063.42392361111</v>
      </c>
      <c r="AP239" s="57">
        <v>46298.458333333336</v>
      </c>
      <c r="AR239" t="s">
        <v>218</v>
      </c>
      <c r="AS239" t="s">
        <v>105</v>
      </c>
      <c r="AT239" t="s">
        <v>230</v>
      </c>
      <c r="AU239">
        <v>20261002</v>
      </c>
      <c r="AV239" t="s">
        <v>221</v>
      </c>
      <c r="AW239" t="s">
        <v>540</v>
      </c>
      <c r="AX239" t="s">
        <v>222</v>
      </c>
      <c r="BA239" s="57">
        <v>46298.458333333336</v>
      </c>
      <c r="BB239" t="s">
        <v>2311</v>
      </c>
      <c r="BC239">
        <v>2026</v>
      </c>
      <c r="BD239">
        <v>10</v>
      </c>
      <c r="BE239">
        <v>2</v>
      </c>
      <c r="BF239" s="6">
        <f t="shared" si="9"/>
        <v>46297</v>
      </c>
      <c r="BG239">
        <f t="shared" si="10"/>
        <v>-1.4583333333357587</v>
      </c>
      <c r="BH239" t="str">
        <f t="shared" si="11"/>
        <v>COMPLY</v>
      </c>
      <c r="BI239" t="str">
        <f>VLOOKUP(H239,Sheet2!$A$1:$B$270,2,FALSE)</f>
        <v>MOJOKERTO</v>
      </c>
    </row>
    <row r="240" spans="1:61">
      <c r="A240">
        <v>239</v>
      </c>
      <c r="B240">
        <v>1002620825</v>
      </c>
      <c r="C240">
        <v>3</v>
      </c>
      <c r="D240" t="s">
        <v>42</v>
      </c>
      <c r="E240">
        <v>5</v>
      </c>
      <c r="F240" t="s">
        <v>232</v>
      </c>
      <c r="G240" t="s">
        <v>105</v>
      </c>
      <c r="H240" t="s">
        <v>369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46298.437210648146</v>
      </c>
      <c r="P240" s="57">
        <v>46299.396770833337</v>
      </c>
      <c r="Q240">
        <v>69403477</v>
      </c>
      <c r="S240">
        <v>152312243576</v>
      </c>
      <c r="T240" t="s">
        <v>2312</v>
      </c>
      <c r="U240" t="s">
        <v>2313</v>
      </c>
      <c r="V240" t="s">
        <v>2314</v>
      </c>
      <c r="Z240">
        <v>112.439976</v>
      </c>
      <c r="AA240">
        <v>-7.4786830000000002</v>
      </c>
      <c r="AB240" t="s">
        <v>2315</v>
      </c>
      <c r="AC240" t="s">
        <v>235</v>
      </c>
      <c r="AL240" t="s">
        <v>217</v>
      </c>
      <c r="AM240" t="s">
        <v>2316</v>
      </c>
      <c r="AN240" t="s">
        <v>6</v>
      </c>
      <c r="AO240" s="57">
        <v>46091.444571759261</v>
      </c>
      <c r="AP240" s="57">
        <v>46299.333333333336</v>
      </c>
      <c r="AR240" t="s">
        <v>218</v>
      </c>
      <c r="AS240" t="s">
        <v>105</v>
      </c>
      <c r="AT240" t="s">
        <v>230</v>
      </c>
      <c r="AU240">
        <v>20261004</v>
      </c>
      <c r="AV240" t="s">
        <v>221</v>
      </c>
      <c r="AW240" t="s">
        <v>882</v>
      </c>
      <c r="AX240" t="s">
        <v>222</v>
      </c>
      <c r="BA240" s="57">
        <v>46299.333333333336</v>
      </c>
      <c r="BB240" t="s">
        <v>2316</v>
      </c>
      <c r="BC240">
        <v>2026</v>
      </c>
      <c r="BD240">
        <v>10</v>
      </c>
      <c r="BE240">
        <v>4</v>
      </c>
      <c r="BF240" s="6">
        <f t="shared" si="9"/>
        <v>46299</v>
      </c>
      <c r="BG240">
        <f t="shared" si="10"/>
        <v>-0.33333333333575865</v>
      </c>
      <c r="BH240" t="str">
        <f t="shared" si="11"/>
        <v>COMPLY</v>
      </c>
      <c r="BI240" t="str">
        <f>VLOOKUP(H240,Sheet2!$A$1:$B$270,2,FALSE)</f>
        <v>MOJOKERTO</v>
      </c>
    </row>
    <row r="241" spans="1:61">
      <c r="A241">
        <v>240</v>
      </c>
      <c r="B241">
        <v>1002621142</v>
      </c>
      <c r="C241">
        <v>3</v>
      </c>
      <c r="D241" t="s">
        <v>42</v>
      </c>
      <c r="E241">
        <v>5</v>
      </c>
      <c r="F241" t="s">
        <v>232</v>
      </c>
      <c r="G241" t="s">
        <v>105</v>
      </c>
      <c r="H241" t="s">
        <v>369</v>
      </c>
      <c r="I241" t="s">
        <v>212</v>
      </c>
      <c r="J241" t="s">
        <v>213</v>
      </c>
      <c r="K241" t="s">
        <v>149</v>
      </c>
      <c r="M241" t="s">
        <v>2317</v>
      </c>
      <c r="N241" t="s">
        <v>215</v>
      </c>
      <c r="O241" s="57">
        <v>46298.69604166667</v>
      </c>
      <c r="P241" s="57">
        <v>46298.698622685188</v>
      </c>
      <c r="Q241">
        <v>69403723</v>
      </c>
      <c r="S241">
        <v>152312243367</v>
      </c>
      <c r="T241" t="s">
        <v>2318</v>
      </c>
      <c r="U241" t="s">
        <v>2319</v>
      </c>
      <c r="Z241">
        <v>112.443244659539</v>
      </c>
      <c r="AA241">
        <v>-7.4712617506795898</v>
      </c>
      <c r="AB241" t="s">
        <v>2320</v>
      </c>
      <c r="AC241" t="s">
        <v>229</v>
      </c>
      <c r="AO241" s="57">
        <v>46091.726053240738</v>
      </c>
      <c r="AR241" t="s">
        <v>5</v>
      </c>
      <c r="AS241" t="s">
        <v>105</v>
      </c>
      <c r="AT241" t="s">
        <v>220</v>
      </c>
      <c r="AV241" t="s">
        <v>2317</v>
      </c>
      <c r="AW241" t="s">
        <v>540</v>
      </c>
      <c r="AX241" t="s">
        <v>222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MOJOKERTO</v>
      </c>
    </row>
    <row r="242" spans="1:61">
      <c r="A242">
        <v>241</v>
      </c>
      <c r="B242">
        <v>1002617823</v>
      </c>
      <c r="C242">
        <v>3</v>
      </c>
      <c r="D242" t="s">
        <v>42</v>
      </c>
      <c r="E242">
        <v>5</v>
      </c>
      <c r="F242" t="s">
        <v>232</v>
      </c>
      <c r="G242" t="s">
        <v>101</v>
      </c>
      <c r="H242" t="s">
        <v>425</v>
      </c>
      <c r="I242" t="s">
        <v>212</v>
      </c>
      <c r="J242" t="s">
        <v>213</v>
      </c>
      <c r="K242" t="s">
        <v>149</v>
      </c>
      <c r="L242" t="s">
        <v>214</v>
      </c>
      <c r="M242" t="s">
        <v>895</v>
      </c>
      <c r="N242" t="s">
        <v>215</v>
      </c>
      <c r="O242" s="57">
        <v>46296.553182870368</v>
      </c>
      <c r="P242" s="57">
        <v>46296.680902777778</v>
      </c>
      <c r="Q242">
        <v>69402355</v>
      </c>
      <c r="S242">
        <v>152331251875</v>
      </c>
      <c r="T242" t="s">
        <v>1165</v>
      </c>
      <c r="U242" t="s">
        <v>1166</v>
      </c>
      <c r="V242" t="s">
        <v>1167</v>
      </c>
      <c r="Z242">
        <v>112.51153100000001</v>
      </c>
      <c r="AA242">
        <v>-7.4020760000000001</v>
      </c>
      <c r="AB242" t="s">
        <v>1168</v>
      </c>
      <c r="AC242" t="s">
        <v>235</v>
      </c>
      <c r="AL242" t="s">
        <v>217</v>
      </c>
      <c r="AM242" t="s">
        <v>1169</v>
      </c>
      <c r="AN242" t="s">
        <v>6</v>
      </c>
      <c r="AO242" s="57">
        <v>46032.559305555558</v>
      </c>
      <c r="AP242" s="57">
        <v>46297.458333333336</v>
      </c>
      <c r="AR242" t="s">
        <v>886</v>
      </c>
      <c r="AS242" t="s">
        <v>560</v>
      </c>
      <c r="AT242" t="s">
        <v>230</v>
      </c>
      <c r="AV242" t="s">
        <v>896</v>
      </c>
      <c r="AW242" t="s">
        <v>889</v>
      </c>
      <c r="AX242" t="s">
        <v>222</v>
      </c>
      <c r="BA242" s="57">
        <v>46297.458333333336</v>
      </c>
      <c r="BB242" t="s">
        <v>1169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SIDOARJO</v>
      </c>
    </row>
    <row r="243" spans="1:61">
      <c r="A243">
        <v>242</v>
      </c>
      <c r="B243">
        <v>1002617312</v>
      </c>
      <c r="C243">
        <v>3</v>
      </c>
      <c r="D243" t="s">
        <v>42</v>
      </c>
      <c r="E243">
        <v>5</v>
      </c>
      <c r="F243" t="s">
        <v>232</v>
      </c>
      <c r="G243" t="s">
        <v>101</v>
      </c>
      <c r="H243" t="s">
        <v>499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46296.431018518517</v>
      </c>
      <c r="P243" s="57">
        <v>46297.702141203707</v>
      </c>
      <c r="Q243">
        <v>69402163</v>
      </c>
      <c r="S243">
        <v>152328218520</v>
      </c>
      <c r="T243" t="s">
        <v>1175</v>
      </c>
      <c r="U243" t="s">
        <v>1176</v>
      </c>
      <c r="V243" t="s">
        <v>1177</v>
      </c>
      <c r="Z243">
        <v>112.65343230000001</v>
      </c>
      <c r="AA243">
        <v>-7.4160553</v>
      </c>
      <c r="AB243" t="s">
        <v>1178</v>
      </c>
      <c r="AC243" t="s">
        <v>216</v>
      </c>
      <c r="AL243" t="s">
        <v>217</v>
      </c>
      <c r="AM243" t="s">
        <v>1179</v>
      </c>
      <c r="AN243" t="s">
        <v>6</v>
      </c>
      <c r="AO243" s="57">
        <v>46032.434247685182</v>
      </c>
      <c r="AP243" s="57">
        <v>46297.458333333336</v>
      </c>
      <c r="AR243" t="s">
        <v>218</v>
      </c>
      <c r="AS243" t="s">
        <v>232</v>
      </c>
      <c r="AT243" t="s">
        <v>220</v>
      </c>
      <c r="AU243">
        <v>20261002</v>
      </c>
      <c r="AV243" t="s">
        <v>221</v>
      </c>
      <c r="AW243" t="s">
        <v>852</v>
      </c>
      <c r="AX243" t="s">
        <v>222</v>
      </c>
      <c r="BA243" s="57">
        <v>46297.458333333336</v>
      </c>
      <c r="BB243" t="s">
        <v>1179</v>
      </c>
      <c r="BC243">
        <v>2026</v>
      </c>
      <c r="BD243">
        <v>10</v>
      </c>
      <c r="BE243">
        <v>2</v>
      </c>
      <c r="BF243" s="6">
        <f t="shared" si="9"/>
        <v>46297</v>
      </c>
      <c r="BG243">
        <f t="shared" si="10"/>
        <v>-0.45833333333575865</v>
      </c>
      <c r="BH243" t="str">
        <f t="shared" si="11"/>
        <v>COMPLY</v>
      </c>
      <c r="BI243" t="str">
        <f>VLOOKUP(H243,Sheet2!$A$1:$B$270,2,FALSE)</f>
        <v>SIDOARJO</v>
      </c>
    </row>
    <row r="244" spans="1:61">
      <c r="A244">
        <v>243</v>
      </c>
      <c r="B244">
        <v>1002616839</v>
      </c>
      <c r="C244">
        <v>3</v>
      </c>
      <c r="D244" t="s">
        <v>42</v>
      </c>
      <c r="E244">
        <v>5</v>
      </c>
      <c r="F244" t="s">
        <v>232</v>
      </c>
      <c r="G244" t="s">
        <v>101</v>
      </c>
      <c r="H244" t="s">
        <v>499</v>
      </c>
      <c r="I244" t="s">
        <v>212</v>
      </c>
      <c r="J244" t="s">
        <v>213</v>
      </c>
      <c r="K244" t="s">
        <v>149</v>
      </c>
      <c r="M244" t="s">
        <v>76</v>
      </c>
      <c r="N244" t="s">
        <v>215</v>
      </c>
      <c r="O244" s="57">
        <v>46296.335347222222</v>
      </c>
      <c r="P244" s="57">
        <v>46296.930648148147</v>
      </c>
      <c r="Q244">
        <v>69401984</v>
      </c>
      <c r="S244">
        <v>152328218519</v>
      </c>
      <c r="T244" t="s">
        <v>1170</v>
      </c>
      <c r="U244" t="s">
        <v>1171</v>
      </c>
      <c r="V244" t="s">
        <v>1172</v>
      </c>
      <c r="Z244">
        <v>112.66993990135801</v>
      </c>
      <c r="AA244">
        <v>-7.40526673854795</v>
      </c>
      <c r="AB244" t="s">
        <v>1173</v>
      </c>
      <c r="AC244" t="s">
        <v>229</v>
      </c>
      <c r="AL244" t="s">
        <v>217</v>
      </c>
      <c r="AM244" t="s">
        <v>1174</v>
      </c>
      <c r="AN244" t="s">
        <v>6</v>
      </c>
      <c r="AO244" s="57">
        <v>46032.351168981484</v>
      </c>
      <c r="AP244" s="57">
        <v>46297.333333333336</v>
      </c>
      <c r="AR244" t="s">
        <v>218</v>
      </c>
      <c r="AS244" t="s">
        <v>232</v>
      </c>
      <c r="AT244" t="s">
        <v>230</v>
      </c>
      <c r="AU244">
        <v>20261001</v>
      </c>
      <c r="AV244" t="s">
        <v>221</v>
      </c>
      <c r="AW244" t="s">
        <v>540</v>
      </c>
      <c r="AX244" t="s">
        <v>222</v>
      </c>
      <c r="BA244" s="57">
        <v>46297.333333333336</v>
      </c>
      <c r="BB244" t="s">
        <v>1174</v>
      </c>
      <c r="BC244">
        <v>2026</v>
      </c>
      <c r="BD244">
        <v>10</v>
      </c>
      <c r="BE244">
        <v>1</v>
      </c>
      <c r="BF244" s="6">
        <f t="shared" si="9"/>
        <v>46296</v>
      </c>
      <c r="BG244">
        <f t="shared" si="10"/>
        <v>-1.3333333333357587</v>
      </c>
      <c r="BH244" t="str">
        <f t="shared" si="11"/>
        <v>COMPLY</v>
      </c>
      <c r="BI244" t="str">
        <f>VLOOKUP(H244,Sheet2!$A$1:$B$270,2,FALSE)</f>
        <v>SIDOARJO</v>
      </c>
    </row>
    <row r="245" spans="1:61">
      <c r="A245">
        <v>244</v>
      </c>
      <c r="B245">
        <v>1002617423</v>
      </c>
      <c r="C245">
        <v>3</v>
      </c>
      <c r="D245" t="s">
        <v>42</v>
      </c>
      <c r="E245">
        <v>5</v>
      </c>
      <c r="F245" t="s">
        <v>232</v>
      </c>
      <c r="G245" t="s">
        <v>101</v>
      </c>
      <c r="H245" t="s">
        <v>258</v>
      </c>
      <c r="I245" t="s">
        <v>212</v>
      </c>
      <c r="J245" t="s">
        <v>213</v>
      </c>
      <c r="K245" t="s">
        <v>149</v>
      </c>
      <c r="L245" t="s">
        <v>214</v>
      </c>
      <c r="M245" t="s">
        <v>841</v>
      </c>
      <c r="N245" t="s">
        <v>215</v>
      </c>
      <c r="O245" s="57">
        <v>46296.446979166663</v>
      </c>
      <c r="P245" s="57">
        <v>46298.490115740744</v>
      </c>
      <c r="Q245">
        <v>69402198</v>
      </c>
      <c r="S245">
        <v>152316233175</v>
      </c>
      <c r="T245" t="s">
        <v>1185</v>
      </c>
      <c r="U245" t="s">
        <v>1186</v>
      </c>
      <c r="V245" t="s">
        <v>1187</v>
      </c>
      <c r="Z245">
        <v>112.6811052</v>
      </c>
      <c r="AA245">
        <v>-7.4230592</v>
      </c>
      <c r="AB245" t="s">
        <v>1188</v>
      </c>
      <c r="AC245" t="s">
        <v>235</v>
      </c>
      <c r="AL245" t="s">
        <v>217</v>
      </c>
      <c r="AM245" t="s">
        <v>1189</v>
      </c>
      <c r="AN245" t="s">
        <v>6</v>
      </c>
      <c r="AO245" s="57">
        <v>46032.486342592594</v>
      </c>
      <c r="AP245" s="57">
        <v>46297.333333333336</v>
      </c>
      <c r="AQ245" t="s">
        <v>843</v>
      </c>
      <c r="AR245" t="s">
        <v>842</v>
      </c>
      <c r="AS245" t="s">
        <v>232</v>
      </c>
      <c r="AT245" t="s">
        <v>342</v>
      </c>
      <c r="AV245" t="s">
        <v>2321</v>
      </c>
      <c r="AW245" t="s">
        <v>823</v>
      </c>
      <c r="AX245" t="s">
        <v>222</v>
      </c>
      <c r="BA245" s="57">
        <v>46297.333333333336</v>
      </c>
      <c r="BB245" t="s">
        <v>1189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SIDOARJO</v>
      </c>
    </row>
    <row r="246" spans="1:61">
      <c r="A246">
        <v>245</v>
      </c>
      <c r="B246">
        <v>1002621524</v>
      </c>
      <c r="C246">
        <v>3</v>
      </c>
      <c r="D246" t="s">
        <v>42</v>
      </c>
      <c r="E246">
        <v>5</v>
      </c>
      <c r="F246" t="s">
        <v>232</v>
      </c>
      <c r="G246" t="s">
        <v>101</v>
      </c>
      <c r="H246" t="s">
        <v>258</v>
      </c>
      <c r="I246" t="s">
        <v>1440</v>
      </c>
      <c r="J246" t="s">
        <v>213</v>
      </c>
      <c r="K246" t="s">
        <v>149</v>
      </c>
      <c r="M246" t="s">
        <v>224</v>
      </c>
      <c r="N246" t="s">
        <v>1507</v>
      </c>
      <c r="O246" s="57">
        <v>46299.934629629628</v>
      </c>
      <c r="P246" s="57">
        <v>46299.938333333332</v>
      </c>
      <c r="Q246">
        <v>69308751</v>
      </c>
      <c r="S246">
        <v>152316233288</v>
      </c>
      <c r="T246" t="s">
        <v>2322</v>
      </c>
      <c r="U246" t="s">
        <v>2323</v>
      </c>
      <c r="V246" t="s">
        <v>2324</v>
      </c>
      <c r="Z246">
        <v>112.73811000000001</v>
      </c>
      <c r="AA246">
        <v>-7.4529569999999996</v>
      </c>
      <c r="AB246" t="s">
        <v>2325</v>
      </c>
      <c r="AC246" t="s">
        <v>284</v>
      </c>
      <c r="AL246" t="s">
        <v>217</v>
      </c>
      <c r="AM246" t="s">
        <v>1879</v>
      </c>
      <c r="AN246" t="s">
        <v>6</v>
      </c>
      <c r="AO246" s="57">
        <v>46122.944745370369</v>
      </c>
      <c r="AR246" t="s">
        <v>18</v>
      </c>
      <c r="AS246" t="s">
        <v>232</v>
      </c>
      <c r="AT246" t="s">
        <v>230</v>
      </c>
      <c r="AV246" t="s">
        <v>226</v>
      </c>
      <c r="AW246" t="s">
        <v>1446</v>
      </c>
      <c r="AX246" t="s">
        <v>222</v>
      </c>
      <c r="BA246" s="57">
        <v>46300.5625</v>
      </c>
      <c r="BB246" t="s">
        <v>1879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str">
        <f>VLOOKUP(H246,Sheet2!$A$1:$B$270,2,FALSE)</f>
        <v>SIDOARJO</v>
      </c>
    </row>
    <row r="247" spans="1:61">
      <c r="A247">
        <v>246</v>
      </c>
      <c r="B247">
        <v>1002617556</v>
      </c>
      <c r="C247">
        <v>3</v>
      </c>
      <c r="D247" t="s">
        <v>42</v>
      </c>
      <c r="E247">
        <v>5</v>
      </c>
      <c r="F247" t="s">
        <v>232</v>
      </c>
      <c r="G247" t="s">
        <v>101</v>
      </c>
      <c r="H247" t="s">
        <v>258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46296.470532407409</v>
      </c>
      <c r="P247" s="57">
        <v>46297.662361111114</v>
      </c>
      <c r="Q247">
        <v>69402243</v>
      </c>
      <c r="S247">
        <v>152316233179</v>
      </c>
      <c r="T247" t="s">
        <v>1180</v>
      </c>
      <c r="U247" t="s">
        <v>1181</v>
      </c>
      <c r="V247" t="s">
        <v>1182</v>
      </c>
      <c r="Z247">
        <v>112.69584570000001</v>
      </c>
      <c r="AA247">
        <v>-7.4521503999999998</v>
      </c>
      <c r="AB247" t="s">
        <v>1183</v>
      </c>
      <c r="AC247" t="s">
        <v>216</v>
      </c>
      <c r="AL247" t="s">
        <v>217</v>
      </c>
      <c r="AM247" t="s">
        <v>1184</v>
      </c>
      <c r="AN247" t="s">
        <v>6</v>
      </c>
      <c r="AO247" s="57">
        <v>46032.486342592594</v>
      </c>
      <c r="AP247" s="57">
        <v>46297.333333333336</v>
      </c>
      <c r="AR247" t="s">
        <v>218</v>
      </c>
      <c r="AS247" t="s">
        <v>232</v>
      </c>
      <c r="AT247" t="s">
        <v>230</v>
      </c>
      <c r="AU247">
        <v>20261002</v>
      </c>
      <c r="AV247" t="s">
        <v>221</v>
      </c>
      <c r="AW247" t="s">
        <v>885</v>
      </c>
      <c r="AX247" t="s">
        <v>222</v>
      </c>
      <c r="BA247" s="57">
        <v>46297.333333333336</v>
      </c>
      <c r="BB247" t="s">
        <v>1184</v>
      </c>
      <c r="BC247">
        <v>2026</v>
      </c>
      <c r="BD247">
        <v>10</v>
      </c>
      <c r="BE247">
        <v>2</v>
      </c>
      <c r="BF247" s="6">
        <f t="shared" si="9"/>
        <v>46297</v>
      </c>
      <c r="BG247">
        <f t="shared" si="10"/>
        <v>-0.33333333333575865</v>
      </c>
      <c r="BH247" t="str">
        <f t="shared" si="11"/>
        <v>COMPLY</v>
      </c>
      <c r="BI247" t="str">
        <f>VLOOKUP(H247,Sheet2!$A$1:$B$270,2,FALSE)</f>
        <v>SIDOARJO</v>
      </c>
    </row>
    <row r="248" spans="1:61">
      <c r="A248">
        <v>247</v>
      </c>
      <c r="B248">
        <v>1002617448</v>
      </c>
      <c r="C248">
        <v>3</v>
      </c>
      <c r="D248" t="s">
        <v>42</v>
      </c>
      <c r="E248">
        <v>5</v>
      </c>
      <c r="F248" t="s">
        <v>232</v>
      </c>
      <c r="G248" t="s">
        <v>101</v>
      </c>
      <c r="H248" t="s">
        <v>258</v>
      </c>
      <c r="I248" t="s">
        <v>1563</v>
      </c>
      <c r="J248" t="s">
        <v>213</v>
      </c>
      <c r="K248" t="s">
        <v>149</v>
      </c>
      <c r="M248" t="s">
        <v>76</v>
      </c>
      <c r="N248" t="s">
        <v>2326</v>
      </c>
      <c r="O248" s="57">
        <v>46296.450497685182</v>
      </c>
      <c r="P248" s="57">
        <v>46297.64576388889</v>
      </c>
      <c r="Q248">
        <v>69402182</v>
      </c>
      <c r="S248">
        <v>152316233174</v>
      </c>
      <c r="T248" t="s">
        <v>2327</v>
      </c>
      <c r="U248" t="s">
        <v>2328</v>
      </c>
      <c r="V248" t="s">
        <v>2329</v>
      </c>
      <c r="Z248">
        <v>112.692944</v>
      </c>
      <c r="AA248">
        <v>-7.4326939999999997</v>
      </c>
      <c r="AB248" t="s">
        <v>2330</v>
      </c>
      <c r="AC248" t="s">
        <v>225</v>
      </c>
      <c r="AL248" t="s">
        <v>217</v>
      </c>
      <c r="AM248" t="s">
        <v>2331</v>
      </c>
      <c r="AN248" t="s">
        <v>6</v>
      </c>
      <c r="AO248" s="57">
        <v>46032.486342592594</v>
      </c>
      <c r="AQ248" t="s">
        <v>843</v>
      </c>
      <c r="AR248" t="s">
        <v>218</v>
      </c>
      <c r="AS248" t="s">
        <v>232</v>
      </c>
      <c r="AT248" t="s">
        <v>230</v>
      </c>
      <c r="AU248">
        <v>20261002</v>
      </c>
      <c r="AV248" t="s">
        <v>221</v>
      </c>
      <c r="AW248" t="s">
        <v>2332</v>
      </c>
      <c r="AX248" t="s">
        <v>222</v>
      </c>
      <c r="BA248" s="57">
        <v>46303.5</v>
      </c>
      <c r="BB248" t="s">
        <v>2331</v>
      </c>
      <c r="BC248">
        <v>2026</v>
      </c>
      <c r="BD248">
        <v>10</v>
      </c>
      <c r="BE248">
        <v>2</v>
      </c>
      <c r="BF248" s="6">
        <f t="shared" si="9"/>
        <v>46297</v>
      </c>
      <c r="BG248">
        <f t="shared" si="10"/>
        <v>-6.5</v>
      </c>
      <c r="BH248" t="str">
        <f t="shared" si="11"/>
        <v>COMPLY</v>
      </c>
      <c r="BI248" t="str">
        <f>VLOOKUP(H248,Sheet2!$A$1:$B$270,2,FALSE)</f>
        <v>SIDOARJO</v>
      </c>
    </row>
    <row r="249" spans="1:61">
      <c r="A249">
        <v>248</v>
      </c>
      <c r="B249">
        <v>1002620004</v>
      </c>
      <c r="C249">
        <v>3</v>
      </c>
      <c r="D249" t="s">
        <v>42</v>
      </c>
      <c r="E249">
        <v>5</v>
      </c>
      <c r="F249" t="s">
        <v>232</v>
      </c>
      <c r="G249" t="s">
        <v>101</v>
      </c>
      <c r="H249" t="s">
        <v>258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46297.601851851854</v>
      </c>
      <c r="P249" s="57">
        <v>46298.418310185189</v>
      </c>
      <c r="Q249">
        <v>69403171</v>
      </c>
      <c r="S249">
        <v>152316231844</v>
      </c>
      <c r="T249" t="s">
        <v>2333</v>
      </c>
      <c r="U249" t="s">
        <v>2334</v>
      </c>
      <c r="V249" t="s">
        <v>2335</v>
      </c>
      <c r="Z249">
        <v>112.701519057154</v>
      </c>
      <c r="AA249">
        <v>-7.4495876911207297</v>
      </c>
      <c r="AB249" t="s">
        <v>2336</v>
      </c>
      <c r="AC249" t="s">
        <v>216</v>
      </c>
      <c r="AL249" t="s">
        <v>217</v>
      </c>
      <c r="AM249" t="s">
        <v>2337</v>
      </c>
      <c r="AN249" t="s">
        <v>6</v>
      </c>
      <c r="AO249" s="57">
        <v>46063.61105324074</v>
      </c>
      <c r="AP249" s="57">
        <v>46298.458333333336</v>
      </c>
      <c r="AR249" t="s">
        <v>218</v>
      </c>
      <c r="AS249" t="s">
        <v>232</v>
      </c>
      <c r="AT249" t="s">
        <v>230</v>
      </c>
      <c r="AU249">
        <v>20261003</v>
      </c>
      <c r="AV249" t="s">
        <v>221</v>
      </c>
      <c r="AW249" t="s">
        <v>889</v>
      </c>
      <c r="AX249" t="s">
        <v>222</v>
      </c>
      <c r="BA249" s="57">
        <v>46298.458333333336</v>
      </c>
      <c r="BB249" t="s">
        <v>2337</v>
      </c>
      <c r="BC249">
        <v>2026</v>
      </c>
      <c r="BD249">
        <v>10</v>
      </c>
      <c r="BE249">
        <v>3</v>
      </c>
      <c r="BF249" s="6">
        <f t="shared" si="9"/>
        <v>46298</v>
      </c>
      <c r="BG249">
        <f t="shared" si="10"/>
        <v>-0.45833333333575865</v>
      </c>
      <c r="BH249" t="str">
        <f t="shared" si="11"/>
        <v>COMPLY</v>
      </c>
      <c r="BI249" t="str">
        <f>VLOOKUP(H249,Sheet2!$A$1:$B$270,2,FALSE)</f>
        <v>SIDOARJO</v>
      </c>
    </row>
    <row r="250" spans="1:61">
      <c r="A250">
        <v>249</v>
      </c>
      <c r="B250">
        <v>1002618024</v>
      </c>
      <c r="C250">
        <v>3</v>
      </c>
      <c r="D250" t="s">
        <v>42</v>
      </c>
      <c r="E250">
        <v>5</v>
      </c>
      <c r="F250" t="s">
        <v>106</v>
      </c>
      <c r="G250" t="s">
        <v>106</v>
      </c>
      <c r="H250" t="s">
        <v>329</v>
      </c>
      <c r="I250" t="s">
        <v>212</v>
      </c>
      <c r="J250" t="s">
        <v>213</v>
      </c>
      <c r="K250" t="s">
        <v>149</v>
      </c>
      <c r="M250" t="s">
        <v>76</v>
      </c>
      <c r="N250" t="s">
        <v>215</v>
      </c>
      <c r="O250" s="57">
        <v>46296.58966435185</v>
      </c>
      <c r="P250" s="57">
        <v>46297.769513888888</v>
      </c>
      <c r="Q250">
        <v>69402402</v>
      </c>
      <c r="S250">
        <v>152744222226</v>
      </c>
      <c r="T250" t="s">
        <v>1190</v>
      </c>
      <c r="U250" t="s">
        <v>1191</v>
      </c>
      <c r="V250" t="s">
        <v>1192</v>
      </c>
      <c r="Z250">
        <v>112.77250979999999</v>
      </c>
      <c r="AA250">
        <v>-7.6047699</v>
      </c>
      <c r="AB250" t="s">
        <v>1193</v>
      </c>
      <c r="AC250" t="s">
        <v>229</v>
      </c>
      <c r="AL250" t="s">
        <v>217</v>
      </c>
      <c r="AM250" t="s">
        <v>1194</v>
      </c>
      <c r="AN250" t="s">
        <v>6</v>
      </c>
      <c r="AO250" s="57">
        <v>46032.590474537035</v>
      </c>
      <c r="AP250" s="57">
        <v>46297.625</v>
      </c>
      <c r="AR250" t="s">
        <v>218</v>
      </c>
      <c r="AS250" t="s">
        <v>580</v>
      </c>
      <c r="AT250" t="s">
        <v>230</v>
      </c>
      <c r="AU250">
        <v>20261002</v>
      </c>
      <c r="AV250" t="s">
        <v>221</v>
      </c>
      <c r="AW250" t="s">
        <v>540</v>
      </c>
      <c r="AX250" t="s">
        <v>222</v>
      </c>
      <c r="BA250" s="57">
        <v>46297.625</v>
      </c>
      <c r="BB250" t="s">
        <v>1194</v>
      </c>
      <c r="BC250">
        <v>2026</v>
      </c>
      <c r="BD250">
        <v>10</v>
      </c>
      <c r="BE250">
        <v>2</v>
      </c>
      <c r="BF250" s="6">
        <f t="shared" si="9"/>
        <v>46297</v>
      </c>
      <c r="BG250">
        <f t="shared" si="10"/>
        <v>-0.625</v>
      </c>
      <c r="BH250" t="str">
        <f t="shared" si="11"/>
        <v>COMPLY</v>
      </c>
      <c r="BI250" t="str">
        <f>VLOOKUP(H250,Sheet2!$A$1:$B$270,2,FALSE)</f>
        <v>PASURUAN</v>
      </c>
    </row>
    <row r="251" spans="1:61">
      <c r="A251">
        <v>250</v>
      </c>
      <c r="B251">
        <v>1002621479</v>
      </c>
      <c r="C251">
        <v>3</v>
      </c>
      <c r="D251" t="s">
        <v>42</v>
      </c>
      <c r="E251">
        <v>5</v>
      </c>
      <c r="F251" t="s">
        <v>232</v>
      </c>
      <c r="G251" t="s">
        <v>106</v>
      </c>
      <c r="H251" t="s">
        <v>439</v>
      </c>
      <c r="I251" t="s">
        <v>212</v>
      </c>
      <c r="J251" t="s">
        <v>213</v>
      </c>
      <c r="K251" t="s">
        <v>149</v>
      </c>
      <c r="L251" t="s">
        <v>214</v>
      </c>
      <c r="M251" t="s">
        <v>238</v>
      </c>
      <c r="N251" t="s">
        <v>215</v>
      </c>
      <c r="O251" s="57">
        <v>46299.676249999997</v>
      </c>
      <c r="P251" s="57">
        <v>46299.677800925929</v>
      </c>
      <c r="Q251">
        <v>69403962</v>
      </c>
      <c r="S251">
        <v>152741225071</v>
      </c>
      <c r="T251" t="s">
        <v>2338</v>
      </c>
      <c r="U251" t="s">
        <v>2339</v>
      </c>
      <c r="V251" t="s">
        <v>2340</v>
      </c>
      <c r="Z251">
        <v>112.67480639999999</v>
      </c>
      <c r="AA251">
        <v>-7.7031757000000001</v>
      </c>
      <c r="AB251" t="s">
        <v>2341</v>
      </c>
      <c r="AC251" t="s">
        <v>235</v>
      </c>
      <c r="AL251" t="s">
        <v>217</v>
      </c>
      <c r="AM251" t="s">
        <v>2342</v>
      </c>
      <c r="AN251" t="s">
        <v>6</v>
      </c>
      <c r="AO251" s="57">
        <v>46122.684537037036</v>
      </c>
      <c r="AP251" s="57">
        <v>46300.625</v>
      </c>
      <c r="AR251" t="s">
        <v>239</v>
      </c>
      <c r="AS251" t="s">
        <v>2343</v>
      </c>
      <c r="AT251" t="s">
        <v>230</v>
      </c>
      <c r="AV251" t="s">
        <v>238</v>
      </c>
      <c r="AW251" t="s">
        <v>879</v>
      </c>
      <c r="AX251" t="s">
        <v>222</v>
      </c>
      <c r="BA251" s="57">
        <v>46300.625</v>
      </c>
      <c r="BB251" t="s">
        <v>2342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str">
        <f>VLOOKUP(H251,Sheet2!$A$1:$B$270,2,FALSE)</f>
        <v>PASURUAN</v>
      </c>
    </row>
    <row r="252" spans="1:61">
      <c r="A252">
        <v>251</v>
      </c>
      <c r="B252">
        <v>1002619094</v>
      </c>
      <c r="C252">
        <v>3</v>
      </c>
      <c r="D252" t="s">
        <v>42</v>
      </c>
      <c r="E252">
        <v>5</v>
      </c>
      <c r="F252" t="s">
        <v>106</v>
      </c>
      <c r="G252" t="s">
        <v>106</v>
      </c>
      <c r="H252" t="s">
        <v>335</v>
      </c>
      <c r="I252" t="s">
        <v>212</v>
      </c>
      <c r="J252" t="s">
        <v>213</v>
      </c>
      <c r="K252" t="s">
        <v>149</v>
      </c>
      <c r="M252" t="s">
        <v>76</v>
      </c>
      <c r="N252" t="s">
        <v>215</v>
      </c>
      <c r="O252" s="57">
        <v>46297.386874999997</v>
      </c>
      <c r="P252" s="57">
        <v>46297.814155092594</v>
      </c>
      <c r="Q252">
        <v>69402758</v>
      </c>
      <c r="S252">
        <v>152729256775</v>
      </c>
      <c r="T252" t="s">
        <v>2344</v>
      </c>
      <c r="U252" t="s">
        <v>2345</v>
      </c>
      <c r="V252" t="s">
        <v>2346</v>
      </c>
      <c r="Z252">
        <v>112.91883919999999</v>
      </c>
      <c r="AA252">
        <v>-7.6454184999999999</v>
      </c>
      <c r="AB252" t="s">
        <v>2347</v>
      </c>
      <c r="AC252" t="s">
        <v>229</v>
      </c>
      <c r="AL252" t="s">
        <v>217</v>
      </c>
      <c r="AM252" t="s">
        <v>2348</v>
      </c>
      <c r="AN252" t="s">
        <v>6</v>
      </c>
      <c r="AO252" s="57">
        <v>46063.39334490741</v>
      </c>
      <c r="AP252" s="57">
        <v>46298.333333333336</v>
      </c>
      <c r="AR252" t="s">
        <v>218</v>
      </c>
      <c r="AS252" t="s">
        <v>106</v>
      </c>
      <c r="AT252" t="s">
        <v>230</v>
      </c>
      <c r="AU252">
        <v>20261002</v>
      </c>
      <c r="AV252" t="s">
        <v>221</v>
      </c>
      <c r="AW252" t="s">
        <v>540</v>
      </c>
      <c r="AX252" t="s">
        <v>222</v>
      </c>
      <c r="BA252" s="57">
        <v>46298.333333333336</v>
      </c>
      <c r="BB252" t="s">
        <v>2348</v>
      </c>
      <c r="BC252">
        <v>2026</v>
      </c>
      <c r="BD252">
        <v>10</v>
      </c>
      <c r="BE252">
        <v>2</v>
      </c>
      <c r="BF252" s="6">
        <f t="shared" si="9"/>
        <v>46297</v>
      </c>
      <c r="BG252">
        <f t="shared" si="10"/>
        <v>-1.3333333333357587</v>
      </c>
      <c r="BH252" t="str">
        <f t="shared" si="11"/>
        <v>COMPLY</v>
      </c>
      <c r="BI252" t="str">
        <f>VLOOKUP(H252,Sheet2!$A$1:$B$270,2,FALSE)</f>
        <v>PASURUAN</v>
      </c>
    </row>
    <row r="253" spans="1:61">
      <c r="A253">
        <v>252</v>
      </c>
      <c r="B253">
        <v>1002620780</v>
      </c>
      <c r="C253">
        <v>3</v>
      </c>
      <c r="D253" t="s">
        <v>42</v>
      </c>
      <c r="E253">
        <v>5</v>
      </c>
      <c r="F253" t="s">
        <v>232</v>
      </c>
      <c r="G253" t="s">
        <v>101</v>
      </c>
      <c r="H253" t="s">
        <v>299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46298.399074074077</v>
      </c>
      <c r="P253" s="57">
        <v>46299.535798611112</v>
      </c>
      <c r="Q253">
        <v>69403490</v>
      </c>
      <c r="S253">
        <v>152332253608</v>
      </c>
      <c r="T253" t="s">
        <v>2349</v>
      </c>
      <c r="U253" t="s">
        <v>2350</v>
      </c>
      <c r="V253" t="s">
        <v>2351</v>
      </c>
      <c r="Z253">
        <v>112.7016709</v>
      </c>
      <c r="AA253">
        <v>-7.3463174999999996</v>
      </c>
      <c r="AB253" t="s">
        <v>2352</v>
      </c>
      <c r="AC253" t="s">
        <v>235</v>
      </c>
      <c r="AL253" t="s">
        <v>217</v>
      </c>
      <c r="AM253" t="s">
        <v>2353</v>
      </c>
      <c r="AN253" t="s">
        <v>6</v>
      </c>
      <c r="AO253" s="57">
        <v>46091.40283564815</v>
      </c>
      <c r="AP253" s="57">
        <v>46299.333333333336</v>
      </c>
      <c r="AR253" t="s">
        <v>218</v>
      </c>
      <c r="AS253" t="s">
        <v>562</v>
      </c>
      <c r="AT253" t="s">
        <v>230</v>
      </c>
      <c r="AU253">
        <v>20261004</v>
      </c>
      <c r="AV253" t="s">
        <v>221</v>
      </c>
      <c r="AW253" t="s">
        <v>882</v>
      </c>
      <c r="AX253" t="s">
        <v>222</v>
      </c>
      <c r="BA253" s="57">
        <v>46299.333333333336</v>
      </c>
      <c r="BB253" t="s">
        <v>2353</v>
      </c>
      <c r="BC253">
        <v>2026</v>
      </c>
      <c r="BD253">
        <v>10</v>
      </c>
      <c r="BE253">
        <v>4</v>
      </c>
      <c r="BF253" s="6">
        <f t="shared" si="9"/>
        <v>46299</v>
      </c>
      <c r="BG253">
        <f t="shared" si="10"/>
        <v>-0.33333333333575865</v>
      </c>
      <c r="BH253" t="str">
        <f t="shared" si="11"/>
        <v>COMPLY</v>
      </c>
      <c r="BI253" t="str">
        <f>VLOOKUP(H253,Sheet2!$A$1:$B$270,2,FALSE)</f>
        <v>SIDOARJO</v>
      </c>
    </row>
    <row r="254" spans="1:61">
      <c r="A254">
        <v>253</v>
      </c>
      <c r="B254">
        <v>1002620404</v>
      </c>
      <c r="C254">
        <v>3</v>
      </c>
      <c r="D254" t="s">
        <v>55</v>
      </c>
      <c r="E254">
        <v>5</v>
      </c>
      <c r="F254" t="s">
        <v>305</v>
      </c>
      <c r="G254" t="s">
        <v>124</v>
      </c>
      <c r="H254" t="s">
        <v>385</v>
      </c>
      <c r="I254" t="s">
        <v>212</v>
      </c>
      <c r="J254" t="s">
        <v>213</v>
      </c>
      <c r="K254" t="s">
        <v>149</v>
      </c>
      <c r="M254" t="s">
        <v>841</v>
      </c>
      <c r="N254" t="s">
        <v>215</v>
      </c>
      <c r="O254" s="57">
        <v>46297.676782407405</v>
      </c>
      <c r="P254" s="57">
        <v>46299.375405092593</v>
      </c>
      <c r="Q254">
        <v>69403281</v>
      </c>
      <c r="S254">
        <v>152302238363</v>
      </c>
      <c r="T254" t="s">
        <v>2354</v>
      </c>
      <c r="U254" t="s">
        <v>2355</v>
      </c>
      <c r="V254" t="s">
        <v>2356</v>
      </c>
      <c r="Z254">
        <v>112.727266741275</v>
      </c>
      <c r="AA254">
        <v>-7.3755729601013602</v>
      </c>
      <c r="AB254" t="s">
        <v>2357</v>
      </c>
      <c r="AC254" t="s">
        <v>229</v>
      </c>
      <c r="AL254" t="s">
        <v>217</v>
      </c>
      <c r="AM254" t="s">
        <v>2358</v>
      </c>
      <c r="AN254" t="s">
        <v>6</v>
      </c>
      <c r="AO254" s="57">
        <v>46063.684548611112</v>
      </c>
      <c r="AP254" s="57">
        <v>46299.333333333336</v>
      </c>
      <c r="AQ254" t="s">
        <v>840</v>
      </c>
      <c r="AR254" t="s">
        <v>842</v>
      </c>
      <c r="AS254" t="s">
        <v>816</v>
      </c>
      <c r="AT254" t="s">
        <v>230</v>
      </c>
      <c r="AV254" t="s">
        <v>2359</v>
      </c>
      <c r="AW254" t="s">
        <v>539</v>
      </c>
      <c r="AX254" t="s">
        <v>222</v>
      </c>
      <c r="BA254" s="57">
        <v>46299.333333333336</v>
      </c>
      <c r="BB254" t="s">
        <v>2358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SURABAYA SELATAN</v>
      </c>
    </row>
    <row r="255" spans="1:61">
      <c r="A255">
        <v>254</v>
      </c>
      <c r="B255">
        <v>1002620339</v>
      </c>
      <c r="C255">
        <v>3</v>
      </c>
      <c r="D255" t="s">
        <v>55</v>
      </c>
      <c r="E255">
        <v>5</v>
      </c>
      <c r="F255" t="s">
        <v>305</v>
      </c>
      <c r="G255" t="s">
        <v>124</v>
      </c>
      <c r="H255" t="s">
        <v>385</v>
      </c>
      <c r="I255" t="s">
        <v>212</v>
      </c>
      <c r="J255" t="s">
        <v>213</v>
      </c>
      <c r="K255" t="s">
        <v>149</v>
      </c>
      <c r="M255" t="s">
        <v>895</v>
      </c>
      <c r="N255" t="s">
        <v>215</v>
      </c>
      <c r="O255" s="57">
        <v>46297.661226851851</v>
      </c>
      <c r="P255" s="57">
        <v>46299.336724537039</v>
      </c>
      <c r="Q255">
        <v>69403286</v>
      </c>
      <c r="S255">
        <v>152302238362</v>
      </c>
      <c r="T255" t="s">
        <v>2354</v>
      </c>
      <c r="U255" t="s">
        <v>2360</v>
      </c>
      <c r="V255" t="s">
        <v>2361</v>
      </c>
      <c r="Z255">
        <v>112.727108001708</v>
      </c>
      <c r="AA255">
        <v>-7.3756288204415803</v>
      </c>
      <c r="AB255" t="s">
        <v>2362</v>
      </c>
      <c r="AC255" t="s">
        <v>229</v>
      </c>
      <c r="AL255" t="s">
        <v>217</v>
      </c>
      <c r="AM255" t="s">
        <v>2358</v>
      </c>
      <c r="AN255" t="s">
        <v>6</v>
      </c>
      <c r="AO255" s="57">
        <v>46063.663495370369</v>
      </c>
      <c r="AP255" s="57">
        <v>46299.333333333336</v>
      </c>
      <c r="AR255" t="s">
        <v>886</v>
      </c>
      <c r="AS255" t="s">
        <v>816</v>
      </c>
      <c r="AT255" t="s">
        <v>230</v>
      </c>
      <c r="AV255" t="s">
        <v>896</v>
      </c>
      <c r="AW255" t="s">
        <v>541</v>
      </c>
      <c r="AX255" t="s">
        <v>222</v>
      </c>
      <c r="BA255" s="57">
        <v>46299.333333333336</v>
      </c>
      <c r="BB255" t="s">
        <v>2358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SURABAYA SELATAN</v>
      </c>
    </row>
    <row r="256" spans="1:61">
      <c r="A256">
        <v>255</v>
      </c>
      <c r="B256">
        <v>1002617383</v>
      </c>
      <c r="C256">
        <v>3</v>
      </c>
      <c r="D256" t="s">
        <v>55</v>
      </c>
      <c r="E256">
        <v>5</v>
      </c>
      <c r="F256" t="s">
        <v>305</v>
      </c>
      <c r="G256" t="s">
        <v>124</v>
      </c>
      <c r="H256" t="s">
        <v>326</v>
      </c>
      <c r="I256" t="s">
        <v>212</v>
      </c>
      <c r="J256" t="s">
        <v>213</v>
      </c>
      <c r="K256" t="s">
        <v>149</v>
      </c>
      <c r="L256" t="s">
        <v>214</v>
      </c>
      <c r="M256" t="s">
        <v>895</v>
      </c>
      <c r="N256" t="s">
        <v>215</v>
      </c>
      <c r="O256" s="57">
        <v>46296.441435185188</v>
      </c>
      <c r="P256" s="57">
        <v>46297.343553240738</v>
      </c>
      <c r="Q256">
        <v>69402176</v>
      </c>
      <c r="S256">
        <v>152305231385</v>
      </c>
      <c r="T256" t="s">
        <v>1195</v>
      </c>
      <c r="U256" t="s">
        <v>1196</v>
      </c>
      <c r="V256" t="s">
        <v>1197</v>
      </c>
      <c r="Z256">
        <v>112.78666440000001</v>
      </c>
      <c r="AA256">
        <v>-7.3539735999999998</v>
      </c>
      <c r="AB256" t="s">
        <v>1198</v>
      </c>
      <c r="AC256" t="s">
        <v>216</v>
      </c>
      <c r="AL256" t="s">
        <v>217</v>
      </c>
      <c r="AM256" t="s">
        <v>1123</v>
      </c>
      <c r="AN256" t="s">
        <v>6</v>
      </c>
      <c r="AO256" s="57">
        <v>46032.444687499999</v>
      </c>
      <c r="AP256" s="57">
        <v>46297.333333333336</v>
      </c>
      <c r="AR256" t="s">
        <v>886</v>
      </c>
      <c r="AS256" t="s">
        <v>845</v>
      </c>
      <c r="AT256" t="s">
        <v>230</v>
      </c>
      <c r="AV256" t="s">
        <v>896</v>
      </c>
      <c r="AW256" t="s">
        <v>881</v>
      </c>
      <c r="AX256" t="s">
        <v>222</v>
      </c>
      <c r="BA256" s="57">
        <v>46297.333333333336</v>
      </c>
      <c r="BB256" t="s">
        <v>1123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SURABAYA SELATAN</v>
      </c>
    </row>
    <row r="257" spans="1:61">
      <c r="A257">
        <v>256</v>
      </c>
      <c r="B257">
        <v>1002617708</v>
      </c>
      <c r="C257">
        <v>3</v>
      </c>
      <c r="D257" t="s">
        <v>55</v>
      </c>
      <c r="E257">
        <v>5</v>
      </c>
      <c r="F257" t="s">
        <v>305</v>
      </c>
      <c r="G257" t="s">
        <v>124</v>
      </c>
      <c r="H257" t="s">
        <v>326</v>
      </c>
      <c r="I257" t="s">
        <v>212</v>
      </c>
      <c r="J257" t="s">
        <v>213</v>
      </c>
      <c r="K257" t="s">
        <v>149</v>
      </c>
      <c r="M257" t="s">
        <v>76</v>
      </c>
      <c r="N257" t="s">
        <v>215</v>
      </c>
      <c r="O257" s="57">
        <v>46296.511134259257</v>
      </c>
      <c r="P257" s="57">
        <v>46296.723958333336</v>
      </c>
      <c r="Q257">
        <v>69401010</v>
      </c>
      <c r="S257">
        <v>152305231383</v>
      </c>
      <c r="T257" t="s">
        <v>929</v>
      </c>
      <c r="U257" t="s">
        <v>1199</v>
      </c>
      <c r="V257" t="s">
        <v>1200</v>
      </c>
      <c r="Z257">
        <v>112.7634</v>
      </c>
      <c r="AA257">
        <v>-7.3680000000000003</v>
      </c>
      <c r="AB257" t="s">
        <v>930</v>
      </c>
      <c r="AC257" t="s">
        <v>216</v>
      </c>
      <c r="AL257" t="s">
        <v>217</v>
      </c>
      <c r="AM257" t="s">
        <v>1201</v>
      </c>
      <c r="AN257" t="s">
        <v>6</v>
      </c>
      <c r="AO257" s="57">
        <v>46032.517557870371</v>
      </c>
      <c r="AR257" t="s">
        <v>218</v>
      </c>
      <c r="AS257" t="s">
        <v>845</v>
      </c>
      <c r="AT257" t="s">
        <v>342</v>
      </c>
      <c r="AU257">
        <v>20261001</v>
      </c>
      <c r="AV257" t="s">
        <v>221</v>
      </c>
      <c r="AW257" t="s">
        <v>540</v>
      </c>
      <c r="AX257" t="s">
        <v>222</v>
      </c>
      <c r="BA257" s="57">
        <v>46296.291666666664</v>
      </c>
      <c r="BB257" t="s">
        <v>1201</v>
      </c>
      <c r="BC257">
        <v>2026</v>
      </c>
      <c r="BD257">
        <v>10</v>
      </c>
      <c r="BE257">
        <v>1</v>
      </c>
      <c r="BF257" s="6">
        <f t="shared" si="9"/>
        <v>46296</v>
      </c>
      <c r="BG257">
        <f t="shared" si="10"/>
        <v>-0.29166666666424135</v>
      </c>
      <c r="BH257" t="str">
        <f t="shared" si="11"/>
        <v>COMPLY</v>
      </c>
      <c r="BI257" t="str">
        <f>VLOOKUP(H257,Sheet2!$A$1:$B$270,2,FALSE)</f>
        <v>SURABAYA SELATAN</v>
      </c>
    </row>
    <row r="258" spans="1:61">
      <c r="A258">
        <v>257</v>
      </c>
      <c r="B258">
        <v>1002617838</v>
      </c>
      <c r="C258">
        <v>3</v>
      </c>
      <c r="D258" t="s">
        <v>51</v>
      </c>
      <c r="E258">
        <v>4</v>
      </c>
      <c r="F258" t="s">
        <v>268</v>
      </c>
      <c r="G258" t="s">
        <v>268</v>
      </c>
      <c r="H258" t="s">
        <v>874</v>
      </c>
      <c r="I258" t="s">
        <v>212</v>
      </c>
      <c r="J258" t="s">
        <v>213</v>
      </c>
      <c r="K258" t="s">
        <v>149</v>
      </c>
      <c r="M258" t="s">
        <v>76</v>
      </c>
      <c r="N258" t="s">
        <v>215</v>
      </c>
      <c r="O258" s="57">
        <v>46296.558993055558</v>
      </c>
      <c r="P258" s="57">
        <v>46299.302789351852</v>
      </c>
      <c r="Q258">
        <v>69402365</v>
      </c>
      <c r="S258">
        <v>141456115553</v>
      </c>
      <c r="T258" t="s">
        <v>1202</v>
      </c>
      <c r="U258" t="s">
        <v>1203</v>
      </c>
      <c r="V258" t="s">
        <v>2363</v>
      </c>
      <c r="Z258">
        <v>110.640070438385</v>
      </c>
      <c r="AA258">
        <v>-6.8997784563049702</v>
      </c>
      <c r="AB258" t="s">
        <v>1204</v>
      </c>
      <c r="AC258" t="s">
        <v>283</v>
      </c>
      <c r="AL258" t="s">
        <v>217</v>
      </c>
      <c r="AM258" t="s">
        <v>2364</v>
      </c>
      <c r="AN258" t="s">
        <v>6</v>
      </c>
      <c r="AO258" s="57">
        <v>46032.569884259261</v>
      </c>
      <c r="AP258" s="57">
        <v>46299.458333333336</v>
      </c>
      <c r="AR258" t="s">
        <v>218</v>
      </c>
      <c r="AS258" t="s">
        <v>875</v>
      </c>
      <c r="AT258" t="s">
        <v>230</v>
      </c>
      <c r="AU258">
        <v>20261004</v>
      </c>
      <c r="AV258" t="s">
        <v>221</v>
      </c>
      <c r="AW258" t="s">
        <v>540</v>
      </c>
      <c r="AX258" t="s">
        <v>222</v>
      </c>
      <c r="BA258" s="57">
        <v>46299.458333333336</v>
      </c>
      <c r="BB258" t="s">
        <v>2364</v>
      </c>
      <c r="BC258">
        <v>2026</v>
      </c>
      <c r="BD258">
        <v>10</v>
      </c>
      <c r="BE258">
        <v>4</v>
      </c>
      <c r="BF258" s="6">
        <f t="shared" ref="BF258:BF321" si="12">DATE(BC258,BD258,BE258)</f>
        <v>46299</v>
      </c>
      <c r="BG258">
        <f t="shared" ref="BG258:BG321" si="13">BF258-BA258</f>
        <v>-0.45833333333575865</v>
      </c>
      <c r="BH258" t="str">
        <f t="shared" ref="BH258:BH321" si="14">IF(BG258=1,"COMPLY",IF(BG258&lt;1,"COMPLY","NOT COMPLY"))</f>
        <v>COMPLY</v>
      </c>
      <c r="BI258" t="e">
        <f>VLOOKUP(H258,Sheet2!$A$1:$B$270,2,FALSE)</f>
        <v>#N/A</v>
      </c>
    </row>
    <row r="259" spans="1:61">
      <c r="A259">
        <v>258</v>
      </c>
      <c r="B259">
        <v>1002618408</v>
      </c>
      <c r="C259">
        <v>3</v>
      </c>
      <c r="D259" t="s">
        <v>49</v>
      </c>
      <c r="E259">
        <v>4</v>
      </c>
      <c r="F259" t="s">
        <v>244</v>
      </c>
      <c r="G259" t="s">
        <v>554</v>
      </c>
      <c r="H259" t="s">
        <v>555</v>
      </c>
      <c r="I259" t="s">
        <v>1563</v>
      </c>
      <c r="J259" t="s">
        <v>213</v>
      </c>
      <c r="K259" t="s">
        <v>149</v>
      </c>
      <c r="M259" t="s">
        <v>224</v>
      </c>
      <c r="N259" t="s">
        <v>1975</v>
      </c>
      <c r="O259" s="57">
        <v>46296.654687499999</v>
      </c>
      <c r="P259" s="57">
        <v>46296.741944444446</v>
      </c>
      <c r="Q259">
        <v>69402553</v>
      </c>
      <c r="S259">
        <v>142434111805</v>
      </c>
      <c r="T259" t="s">
        <v>2365</v>
      </c>
      <c r="U259" t="s">
        <v>2366</v>
      </c>
      <c r="V259" t="s">
        <v>2367</v>
      </c>
      <c r="Z259">
        <v>110.66051459819801</v>
      </c>
      <c r="AA259">
        <v>-7.3115769745066101</v>
      </c>
      <c r="AB259" t="s">
        <v>2368</v>
      </c>
      <c r="AC259" t="s">
        <v>1980</v>
      </c>
      <c r="AL259" t="s">
        <v>217</v>
      </c>
      <c r="AM259" t="s">
        <v>2368</v>
      </c>
      <c r="AN259" t="s">
        <v>6</v>
      </c>
      <c r="AO259" s="57">
        <v>46032.694421296299</v>
      </c>
      <c r="AR259" t="s">
        <v>18</v>
      </c>
      <c r="AS259" t="s">
        <v>219</v>
      </c>
      <c r="AT259" t="s">
        <v>230</v>
      </c>
      <c r="AV259" t="s">
        <v>226</v>
      </c>
      <c r="AW259" t="s">
        <v>1446</v>
      </c>
      <c r="AX259" t="s">
        <v>222</v>
      </c>
      <c r="BA259" s="57">
        <v>46297.854166666664</v>
      </c>
      <c r="BB259" t="s">
        <v>2368</v>
      </c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e">
        <f>VLOOKUP(H259,Sheet2!$A$1:$B$270,2,FALSE)</f>
        <v>#N/A</v>
      </c>
    </row>
    <row r="260" spans="1:61">
      <c r="A260">
        <v>259</v>
      </c>
      <c r="B260">
        <v>1002617515</v>
      </c>
      <c r="C260">
        <v>3</v>
      </c>
      <c r="D260" t="s">
        <v>49</v>
      </c>
      <c r="E260">
        <v>4</v>
      </c>
      <c r="F260" t="s">
        <v>244</v>
      </c>
      <c r="G260" t="s">
        <v>554</v>
      </c>
      <c r="H260" t="s">
        <v>555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46296.462268518517</v>
      </c>
      <c r="P260" s="57">
        <v>46297.598912037036</v>
      </c>
      <c r="Q260">
        <v>69402219</v>
      </c>
      <c r="S260">
        <v>142434111801</v>
      </c>
      <c r="T260" t="s">
        <v>1205</v>
      </c>
      <c r="U260" t="s">
        <v>1206</v>
      </c>
      <c r="V260" t="s">
        <v>1207</v>
      </c>
      <c r="Z260">
        <v>110.50549289999999</v>
      </c>
      <c r="AA260">
        <v>-7.3329836999999998</v>
      </c>
      <c r="AB260" t="s">
        <v>1208</v>
      </c>
      <c r="AC260" t="s">
        <v>235</v>
      </c>
      <c r="AL260" t="s">
        <v>217</v>
      </c>
      <c r="AM260" t="s">
        <v>1209</v>
      </c>
      <c r="AN260" t="s">
        <v>6</v>
      </c>
      <c r="AO260" s="57">
        <v>46032.486342592594</v>
      </c>
      <c r="AP260" s="57">
        <v>46297.333333333336</v>
      </c>
      <c r="AR260" t="s">
        <v>218</v>
      </c>
      <c r="AS260" t="s">
        <v>219</v>
      </c>
      <c r="AT260" t="s">
        <v>230</v>
      </c>
      <c r="AU260">
        <v>20261002</v>
      </c>
      <c r="AV260" t="s">
        <v>221</v>
      </c>
      <c r="AW260" t="s">
        <v>889</v>
      </c>
      <c r="AX260" t="s">
        <v>222</v>
      </c>
      <c r="BA260" s="57">
        <v>46297.333333333336</v>
      </c>
      <c r="BB260" t="s">
        <v>1209</v>
      </c>
      <c r="BC260">
        <v>2026</v>
      </c>
      <c r="BD260">
        <v>10</v>
      </c>
      <c r="BE260">
        <v>2</v>
      </c>
      <c r="BF260" s="6">
        <f t="shared" si="12"/>
        <v>46297</v>
      </c>
      <c r="BG260">
        <f t="shared" si="13"/>
        <v>-0.33333333333575865</v>
      </c>
      <c r="BH260" t="str">
        <f t="shared" si="14"/>
        <v>COMPLY</v>
      </c>
      <c r="BI260" t="e">
        <f>VLOOKUP(H260,Sheet2!$A$1:$B$270,2,FALSE)</f>
        <v>#N/A</v>
      </c>
    </row>
    <row r="261" spans="1:61">
      <c r="A261">
        <v>260</v>
      </c>
      <c r="B261">
        <v>1002618961</v>
      </c>
      <c r="C261">
        <v>3</v>
      </c>
      <c r="D261" t="s">
        <v>49</v>
      </c>
      <c r="E261">
        <v>4</v>
      </c>
      <c r="F261" t="s">
        <v>244</v>
      </c>
      <c r="G261" t="s">
        <v>554</v>
      </c>
      <c r="H261" t="s">
        <v>555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46297.3594212963</v>
      </c>
      <c r="P261" s="57">
        <v>46297.777418981481</v>
      </c>
      <c r="Q261">
        <v>69402718</v>
      </c>
      <c r="S261">
        <v>142434111564</v>
      </c>
      <c r="T261" t="s">
        <v>2369</v>
      </c>
      <c r="U261" t="s">
        <v>2370</v>
      </c>
      <c r="V261" t="s">
        <v>2371</v>
      </c>
      <c r="Z261">
        <v>110.434306114912</v>
      </c>
      <c r="AA261">
        <v>-7.3956559601632801</v>
      </c>
      <c r="AB261" t="s">
        <v>2372</v>
      </c>
      <c r="AC261" t="s">
        <v>216</v>
      </c>
      <c r="AL261" t="s">
        <v>217</v>
      </c>
      <c r="AM261" t="s">
        <v>2373</v>
      </c>
      <c r="AN261" t="s">
        <v>6</v>
      </c>
      <c r="AO261" s="57">
        <v>46063.361111111109</v>
      </c>
      <c r="AP261" s="57">
        <v>46298.333333333336</v>
      </c>
      <c r="AR261" t="s">
        <v>218</v>
      </c>
      <c r="AS261" t="s">
        <v>219</v>
      </c>
      <c r="AT261" t="s">
        <v>230</v>
      </c>
      <c r="AU261">
        <v>20261002</v>
      </c>
      <c r="AV261" t="s">
        <v>221</v>
      </c>
      <c r="AW261" t="s">
        <v>879</v>
      </c>
      <c r="AX261" t="s">
        <v>222</v>
      </c>
      <c r="BA261" s="57">
        <v>46298.333333333336</v>
      </c>
      <c r="BB261" t="s">
        <v>2373</v>
      </c>
      <c r="BC261">
        <v>2026</v>
      </c>
      <c r="BD261">
        <v>10</v>
      </c>
      <c r="BE261">
        <v>2</v>
      </c>
      <c r="BF261" s="6">
        <f t="shared" si="12"/>
        <v>46297</v>
      </c>
      <c r="BG261">
        <f t="shared" si="13"/>
        <v>-1.3333333333357587</v>
      </c>
      <c r="BH261" t="str">
        <f t="shared" si="14"/>
        <v>COMPLY</v>
      </c>
      <c r="BI261" t="e">
        <f>VLOOKUP(H261,Sheet2!$A$1:$B$270,2,FALSE)</f>
        <v>#N/A</v>
      </c>
    </row>
    <row r="262" spans="1:61">
      <c r="A262">
        <v>261</v>
      </c>
      <c r="B262">
        <v>1002619128</v>
      </c>
      <c r="C262">
        <v>3</v>
      </c>
      <c r="D262" t="s">
        <v>49</v>
      </c>
      <c r="E262">
        <v>4</v>
      </c>
      <c r="F262" t="s">
        <v>244</v>
      </c>
      <c r="G262" t="s">
        <v>554</v>
      </c>
      <c r="H262" t="s">
        <v>555</v>
      </c>
      <c r="I262" t="s">
        <v>212</v>
      </c>
      <c r="J262" t="s">
        <v>213</v>
      </c>
      <c r="K262" t="s">
        <v>149</v>
      </c>
      <c r="L262" t="s">
        <v>214</v>
      </c>
      <c r="M262" t="s">
        <v>2374</v>
      </c>
      <c r="N262" t="s">
        <v>215</v>
      </c>
      <c r="O262" s="57">
        <v>46297.393726851849</v>
      </c>
      <c r="P262" s="57">
        <v>46298.35628472222</v>
      </c>
      <c r="Q262">
        <v>69400076</v>
      </c>
      <c r="T262" t="s">
        <v>2375</v>
      </c>
      <c r="V262" t="s">
        <v>2376</v>
      </c>
      <c r="Z262">
        <v>110.666</v>
      </c>
      <c r="AA262">
        <v>-7.3639999999999999</v>
      </c>
      <c r="AB262" t="s">
        <v>2377</v>
      </c>
      <c r="AC262" t="s">
        <v>235</v>
      </c>
      <c r="AL262" t="s">
        <v>217</v>
      </c>
      <c r="AM262" t="s">
        <v>2378</v>
      </c>
      <c r="AN262" t="s">
        <v>6</v>
      </c>
      <c r="AO262" s="57">
        <v>46063.403113425928</v>
      </c>
      <c r="AP262" s="57">
        <v>46294</v>
      </c>
      <c r="AR262" t="s">
        <v>543</v>
      </c>
      <c r="AS262" t="s">
        <v>219</v>
      </c>
      <c r="AT262" t="s">
        <v>230</v>
      </c>
      <c r="AV262" t="s">
        <v>2379</v>
      </c>
      <c r="AW262" t="s">
        <v>882</v>
      </c>
      <c r="AX262" t="s">
        <v>222</v>
      </c>
      <c r="BA262" s="57">
        <v>46294.458333333336</v>
      </c>
      <c r="BB262" t="s">
        <v>2378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e">
        <f>VLOOKUP(H262,Sheet2!$A$1:$B$270,2,FALSE)</f>
        <v>#N/A</v>
      </c>
    </row>
    <row r="263" spans="1:61">
      <c r="A263">
        <v>262</v>
      </c>
      <c r="B263">
        <v>1002619095</v>
      </c>
      <c r="C263">
        <v>3</v>
      </c>
      <c r="D263" t="s">
        <v>51</v>
      </c>
      <c r="E263">
        <v>4</v>
      </c>
      <c r="F263" t="s">
        <v>268</v>
      </c>
      <c r="G263" t="s">
        <v>2380</v>
      </c>
      <c r="H263" t="s">
        <v>2381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46297.386504629627</v>
      </c>
      <c r="P263" s="57">
        <v>46298.686273148145</v>
      </c>
      <c r="Q263">
        <v>69402771</v>
      </c>
      <c r="S263">
        <v>146593115714</v>
      </c>
      <c r="T263" t="s">
        <v>2382</v>
      </c>
      <c r="U263" t="s">
        <v>2383</v>
      </c>
      <c r="V263" t="s">
        <v>2384</v>
      </c>
      <c r="Z263">
        <v>110.732849</v>
      </c>
      <c r="AA263">
        <v>-6.7292825000000001</v>
      </c>
      <c r="AB263" t="s">
        <v>2385</v>
      </c>
      <c r="AC263" t="s">
        <v>235</v>
      </c>
      <c r="AL263" t="s">
        <v>217</v>
      </c>
      <c r="AM263" t="s">
        <v>2386</v>
      </c>
      <c r="AN263" t="s">
        <v>6</v>
      </c>
      <c r="AO263" s="57">
        <v>46063.39334490741</v>
      </c>
      <c r="AP263" s="57">
        <v>46298.333333333336</v>
      </c>
      <c r="AR263" t="s">
        <v>218</v>
      </c>
      <c r="AS263" t="s">
        <v>2387</v>
      </c>
      <c r="AT263" t="s">
        <v>230</v>
      </c>
      <c r="AU263">
        <v>20261003</v>
      </c>
      <c r="AV263" t="s">
        <v>221</v>
      </c>
      <c r="AW263" t="s">
        <v>879</v>
      </c>
      <c r="AX263" t="s">
        <v>222</v>
      </c>
      <c r="BA263" s="57">
        <v>46298.333333333336</v>
      </c>
      <c r="BB263" t="s">
        <v>2386</v>
      </c>
      <c r="BC263">
        <v>2026</v>
      </c>
      <c r="BD263">
        <v>10</v>
      </c>
      <c r="BE263">
        <v>3</v>
      </c>
      <c r="BF263" s="6">
        <f t="shared" si="12"/>
        <v>46298</v>
      </c>
      <c r="BG263">
        <f t="shared" si="13"/>
        <v>-0.33333333333575865</v>
      </c>
      <c r="BH263" t="str">
        <f t="shared" si="14"/>
        <v>COMPLY</v>
      </c>
      <c r="BI263" t="e">
        <f>VLOOKUP(H263,Sheet2!$A$1:$B$270,2,FALSE)</f>
        <v>#N/A</v>
      </c>
    </row>
    <row r="264" spans="1:61">
      <c r="A264">
        <v>263</v>
      </c>
      <c r="B264">
        <v>1002619742</v>
      </c>
      <c r="C264">
        <v>3</v>
      </c>
      <c r="D264" t="s">
        <v>51</v>
      </c>
      <c r="E264">
        <v>4</v>
      </c>
      <c r="F264" t="s">
        <v>268</v>
      </c>
      <c r="G264" t="s">
        <v>268</v>
      </c>
      <c r="H264" t="s">
        <v>805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46297.551168981481</v>
      </c>
      <c r="P264" s="57">
        <v>46298.657534722224</v>
      </c>
      <c r="Q264">
        <v>69403057</v>
      </c>
      <c r="S264">
        <v>142401146372</v>
      </c>
      <c r="T264" t="s">
        <v>2388</v>
      </c>
      <c r="U264" t="s">
        <v>2389</v>
      </c>
      <c r="V264" t="s">
        <v>2390</v>
      </c>
      <c r="Z264">
        <v>110.81719750000001</v>
      </c>
      <c r="AA264">
        <v>-6.7991368999999997</v>
      </c>
      <c r="AB264" t="s">
        <v>2391</v>
      </c>
      <c r="AC264" t="s">
        <v>235</v>
      </c>
      <c r="AL264" t="s">
        <v>217</v>
      </c>
      <c r="AM264" t="s">
        <v>2392</v>
      </c>
      <c r="AN264" t="s">
        <v>6</v>
      </c>
      <c r="AO264" s="57">
        <v>46063.559317129628</v>
      </c>
      <c r="AP264" s="57">
        <v>46298.458333333336</v>
      </c>
      <c r="AR264" t="s">
        <v>218</v>
      </c>
      <c r="AS264" t="s">
        <v>219</v>
      </c>
      <c r="AT264" t="s">
        <v>230</v>
      </c>
      <c r="AU264">
        <v>20261003</v>
      </c>
      <c r="AV264" t="s">
        <v>221</v>
      </c>
      <c r="AW264" t="s">
        <v>878</v>
      </c>
      <c r="AX264" t="s">
        <v>222</v>
      </c>
      <c r="BA264" s="57">
        <v>46298.458333333336</v>
      </c>
      <c r="BB264" t="s">
        <v>2392</v>
      </c>
      <c r="BC264">
        <v>2026</v>
      </c>
      <c r="BD264">
        <v>10</v>
      </c>
      <c r="BE264">
        <v>3</v>
      </c>
      <c r="BF264" s="6">
        <f t="shared" si="12"/>
        <v>46298</v>
      </c>
      <c r="BG264">
        <f t="shared" si="13"/>
        <v>-0.45833333333575865</v>
      </c>
      <c r="BH264" t="str">
        <f t="shared" si="14"/>
        <v>COMPLY</v>
      </c>
      <c r="BI264" t="e">
        <f>VLOOKUP(H264,Sheet2!$A$1:$B$270,2,FALSE)</f>
        <v>#N/A</v>
      </c>
    </row>
    <row r="265" spans="1:61">
      <c r="A265">
        <v>264</v>
      </c>
      <c r="B265">
        <v>1002617361</v>
      </c>
      <c r="C265">
        <v>3</v>
      </c>
      <c r="D265" t="s">
        <v>51</v>
      </c>
      <c r="E265">
        <v>4</v>
      </c>
      <c r="F265" t="s">
        <v>268</v>
      </c>
      <c r="G265" t="s">
        <v>268</v>
      </c>
      <c r="H265" t="s">
        <v>805</v>
      </c>
      <c r="I265" t="s">
        <v>212</v>
      </c>
      <c r="J265" t="s">
        <v>213</v>
      </c>
      <c r="K265" t="s">
        <v>149</v>
      </c>
      <c r="L265" t="s">
        <v>214</v>
      </c>
      <c r="M265" t="s">
        <v>238</v>
      </c>
      <c r="N265" t="s">
        <v>215</v>
      </c>
      <c r="O265" s="57">
        <v>46296.438645833332</v>
      </c>
      <c r="P265" s="57">
        <v>46296.440289351849</v>
      </c>
      <c r="Q265">
        <v>69402186</v>
      </c>
      <c r="S265">
        <v>142401146359</v>
      </c>
      <c r="T265" t="s">
        <v>1210</v>
      </c>
      <c r="U265" t="s">
        <v>1211</v>
      </c>
      <c r="V265" t="s">
        <v>1212</v>
      </c>
      <c r="Z265">
        <v>110.863041</v>
      </c>
      <c r="AA265">
        <v>-6.7838320000000003</v>
      </c>
      <c r="AB265" t="s">
        <v>1213</v>
      </c>
      <c r="AC265" t="s">
        <v>235</v>
      </c>
      <c r="AL265" t="s">
        <v>217</v>
      </c>
      <c r="AM265" t="s">
        <v>1214</v>
      </c>
      <c r="AN265" t="s">
        <v>6</v>
      </c>
      <c r="AO265" s="57">
        <v>46032.444687499999</v>
      </c>
      <c r="AP265" s="57">
        <v>46300.458333333336</v>
      </c>
      <c r="AR265" t="s">
        <v>239</v>
      </c>
      <c r="AS265" t="s">
        <v>219</v>
      </c>
      <c r="AT265" t="s">
        <v>230</v>
      </c>
      <c r="AV265" t="s">
        <v>238</v>
      </c>
      <c r="AW265" t="s">
        <v>878</v>
      </c>
      <c r="AX265" t="s">
        <v>222</v>
      </c>
      <c r="BA265" s="57">
        <v>46300.458333333336</v>
      </c>
      <c r="BB265" t="s">
        <v>1214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:61">
      <c r="A266">
        <v>265</v>
      </c>
      <c r="B266">
        <v>1002618429</v>
      </c>
      <c r="C266">
        <v>3</v>
      </c>
      <c r="D266" t="s">
        <v>51</v>
      </c>
      <c r="E266">
        <v>4</v>
      </c>
      <c r="F266" t="s">
        <v>268</v>
      </c>
      <c r="G266" t="s">
        <v>288</v>
      </c>
      <c r="H266" t="s">
        <v>797</v>
      </c>
      <c r="I266" t="s">
        <v>212</v>
      </c>
      <c r="J266" t="s">
        <v>213</v>
      </c>
      <c r="K266" t="s">
        <v>149</v>
      </c>
      <c r="M266" t="s">
        <v>76</v>
      </c>
      <c r="N266" t="s">
        <v>215</v>
      </c>
      <c r="O266" s="57">
        <v>46296.65761574074</v>
      </c>
      <c r="P266" s="57">
        <v>46297.707129629627</v>
      </c>
      <c r="Q266">
        <v>69402534</v>
      </c>
      <c r="S266">
        <v>142551119689</v>
      </c>
      <c r="T266" t="s">
        <v>918</v>
      </c>
      <c r="U266" t="s">
        <v>919</v>
      </c>
      <c r="V266" t="s">
        <v>1215</v>
      </c>
      <c r="Z266">
        <v>110.9564415</v>
      </c>
      <c r="AA266">
        <v>-6.9108118000000003</v>
      </c>
      <c r="AB266" t="s">
        <v>1216</v>
      </c>
      <c r="AC266" t="s">
        <v>283</v>
      </c>
      <c r="AL266" t="s">
        <v>217</v>
      </c>
      <c r="AM266" t="s">
        <v>1217</v>
      </c>
      <c r="AN266" t="s">
        <v>6</v>
      </c>
      <c r="AO266" s="57">
        <v>46032.694421296299</v>
      </c>
      <c r="AP266" s="57">
        <v>46298.333333333336</v>
      </c>
      <c r="AR266" t="s">
        <v>218</v>
      </c>
      <c r="AS266" t="s">
        <v>219</v>
      </c>
      <c r="AT266" t="s">
        <v>230</v>
      </c>
      <c r="AU266">
        <v>20261002</v>
      </c>
      <c r="AV266" t="s">
        <v>221</v>
      </c>
      <c r="AW266" t="s">
        <v>539</v>
      </c>
      <c r="AX266" t="s">
        <v>222</v>
      </c>
      <c r="BA266" s="57">
        <v>46298.333333333336</v>
      </c>
      <c r="BB266" t="s">
        <v>1217</v>
      </c>
      <c r="BC266">
        <v>2026</v>
      </c>
      <c r="BD266">
        <v>10</v>
      </c>
      <c r="BE266">
        <v>2</v>
      </c>
      <c r="BF266" s="6">
        <f t="shared" si="12"/>
        <v>46297</v>
      </c>
      <c r="BG266">
        <f t="shared" si="13"/>
        <v>-1.3333333333357587</v>
      </c>
      <c r="BH266" t="str">
        <f t="shared" si="14"/>
        <v>COMPLY</v>
      </c>
      <c r="BI266" t="e">
        <f>VLOOKUP(H266,Sheet2!$A$1:$B$270,2,FALSE)</f>
        <v>#N/A</v>
      </c>
    </row>
    <row r="267" spans="1:61">
      <c r="A267">
        <v>266</v>
      </c>
      <c r="B267">
        <v>1002620143</v>
      </c>
      <c r="C267">
        <v>3</v>
      </c>
      <c r="D267" t="s">
        <v>51</v>
      </c>
      <c r="E267">
        <v>4</v>
      </c>
      <c r="F267" t="s">
        <v>268</v>
      </c>
      <c r="G267" t="s">
        <v>288</v>
      </c>
      <c r="H267" t="s">
        <v>797</v>
      </c>
      <c r="I267" t="s">
        <v>1563</v>
      </c>
      <c r="J267" t="s">
        <v>213</v>
      </c>
      <c r="K267" t="s">
        <v>149</v>
      </c>
      <c r="M267" t="s">
        <v>76</v>
      </c>
      <c r="N267" t="s">
        <v>1975</v>
      </c>
      <c r="O267" s="57">
        <v>46297.626527777778</v>
      </c>
      <c r="P267" s="57">
        <v>46298.727083333331</v>
      </c>
      <c r="Q267">
        <v>69403193</v>
      </c>
      <c r="S267">
        <v>142551119694</v>
      </c>
      <c r="T267" t="s">
        <v>2393</v>
      </c>
      <c r="U267" t="s">
        <v>2394</v>
      </c>
      <c r="V267" t="s">
        <v>2395</v>
      </c>
      <c r="Z267">
        <v>111.00917031443601</v>
      </c>
      <c r="AA267">
        <v>-6.7534280440046901</v>
      </c>
      <c r="AB267" t="s">
        <v>2284</v>
      </c>
      <c r="AC267" t="s">
        <v>1980</v>
      </c>
      <c r="AL267" t="s">
        <v>217</v>
      </c>
      <c r="AM267" t="s">
        <v>2284</v>
      </c>
      <c r="AN267" t="s">
        <v>6</v>
      </c>
      <c r="AO267" s="57">
        <v>46063.652951388889</v>
      </c>
      <c r="AR267" t="s">
        <v>218</v>
      </c>
      <c r="AS267" t="s">
        <v>219</v>
      </c>
      <c r="AT267" t="s">
        <v>230</v>
      </c>
      <c r="AU267">
        <v>20261003</v>
      </c>
      <c r="AV267" t="s">
        <v>221</v>
      </c>
      <c r="AW267" t="s">
        <v>1451</v>
      </c>
      <c r="AX267" t="s">
        <v>222</v>
      </c>
      <c r="BA267" s="57">
        <v>46298.875</v>
      </c>
      <c r="BB267" t="s">
        <v>2284</v>
      </c>
      <c r="BC267">
        <v>2026</v>
      </c>
      <c r="BD267">
        <v>10</v>
      </c>
      <c r="BE267">
        <v>3</v>
      </c>
      <c r="BF267" s="6">
        <f t="shared" si="12"/>
        <v>46298</v>
      </c>
      <c r="BG267">
        <f t="shared" si="13"/>
        <v>-0.875</v>
      </c>
      <c r="BH267" t="str">
        <f t="shared" si="14"/>
        <v>COMPLY</v>
      </c>
      <c r="BI267" t="e">
        <f>VLOOKUP(H267,Sheet2!$A$1:$B$270,2,FALSE)</f>
        <v>#N/A</v>
      </c>
    </row>
    <row r="268" spans="1:61">
      <c r="A268">
        <v>267</v>
      </c>
      <c r="B268">
        <v>1002617076</v>
      </c>
      <c r="C268">
        <v>3</v>
      </c>
      <c r="D268" t="s">
        <v>49</v>
      </c>
      <c r="E268">
        <v>4</v>
      </c>
      <c r="F268" t="s">
        <v>244</v>
      </c>
      <c r="G268" t="s">
        <v>848</v>
      </c>
      <c r="H268" t="s">
        <v>857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46296.393449074072</v>
      </c>
      <c r="P268" s="57">
        <v>46296.612835648149</v>
      </c>
      <c r="Q268">
        <v>69402089</v>
      </c>
      <c r="S268">
        <v>146457106646</v>
      </c>
      <c r="T268" t="s">
        <v>837</v>
      </c>
      <c r="U268" t="s">
        <v>1218</v>
      </c>
      <c r="V268" t="s">
        <v>1219</v>
      </c>
      <c r="Z268">
        <v>110.1782671</v>
      </c>
      <c r="AA268">
        <v>-6.9232719999999999</v>
      </c>
      <c r="AB268" t="s">
        <v>1220</v>
      </c>
      <c r="AC268" t="s">
        <v>235</v>
      </c>
      <c r="AL268" t="s">
        <v>217</v>
      </c>
      <c r="AM268" t="s">
        <v>1148</v>
      </c>
      <c r="AN268" t="s">
        <v>6</v>
      </c>
      <c r="AO268" s="57">
        <v>46032.413738425923</v>
      </c>
      <c r="AP268" s="57">
        <v>46297.333333333336</v>
      </c>
      <c r="AR268" t="s">
        <v>218</v>
      </c>
      <c r="AS268" t="s">
        <v>219</v>
      </c>
      <c r="AT268" t="s">
        <v>230</v>
      </c>
      <c r="AU268">
        <v>20261001</v>
      </c>
      <c r="AV268" t="s">
        <v>221</v>
      </c>
      <c r="AW268" t="s">
        <v>882</v>
      </c>
      <c r="AX268" t="s">
        <v>222</v>
      </c>
      <c r="BA268" s="57">
        <v>46297.333333333336</v>
      </c>
      <c r="BB268" t="s">
        <v>1148</v>
      </c>
      <c r="BC268">
        <v>2026</v>
      </c>
      <c r="BD268">
        <v>10</v>
      </c>
      <c r="BE268">
        <v>1</v>
      </c>
      <c r="BF268" s="6">
        <f t="shared" si="12"/>
        <v>46296</v>
      </c>
      <c r="BG268">
        <f t="shared" si="13"/>
        <v>-1.3333333333357587</v>
      </c>
      <c r="BH268" t="str">
        <f t="shared" si="14"/>
        <v>COMPLY</v>
      </c>
      <c r="BI268" t="e">
        <f>VLOOKUP(H268,Sheet2!$A$1:$B$270,2,FALSE)</f>
        <v>#N/A</v>
      </c>
    </row>
    <row r="269" spans="1:61">
      <c r="A269">
        <v>268</v>
      </c>
      <c r="B269">
        <v>1002620154</v>
      </c>
      <c r="C269">
        <v>3</v>
      </c>
      <c r="D269" t="s">
        <v>49</v>
      </c>
      <c r="E269">
        <v>4</v>
      </c>
      <c r="F269" t="s">
        <v>244</v>
      </c>
      <c r="G269" t="s">
        <v>245</v>
      </c>
      <c r="H269" t="s">
        <v>2396</v>
      </c>
      <c r="I269" t="s">
        <v>212</v>
      </c>
      <c r="J269" t="s">
        <v>213</v>
      </c>
      <c r="K269" t="s">
        <v>149</v>
      </c>
      <c r="L269" t="s">
        <v>214</v>
      </c>
      <c r="M269" t="s">
        <v>76</v>
      </c>
      <c r="N269" t="s">
        <v>215</v>
      </c>
      <c r="O269" s="57">
        <v>46297.628182870372</v>
      </c>
      <c r="P269" s="57">
        <v>46298.605949074074</v>
      </c>
      <c r="Q269">
        <v>69403222</v>
      </c>
      <c r="S269">
        <v>142426805011</v>
      </c>
      <c r="T269" t="s">
        <v>2397</v>
      </c>
      <c r="U269" t="s">
        <v>2398</v>
      </c>
      <c r="V269" t="s">
        <v>2399</v>
      </c>
      <c r="Z269">
        <v>110.316096469759</v>
      </c>
      <c r="AA269">
        <v>-7.0380275179498204</v>
      </c>
      <c r="AB269" t="s">
        <v>2400</v>
      </c>
      <c r="AC269" t="s">
        <v>216</v>
      </c>
      <c r="AL269" t="s">
        <v>217</v>
      </c>
      <c r="AM269" t="s">
        <v>1742</v>
      </c>
      <c r="AN269" t="s">
        <v>6</v>
      </c>
      <c r="AO269" s="57">
        <v>46063.652951388889</v>
      </c>
      <c r="AP269" s="57">
        <v>46298.625</v>
      </c>
      <c r="AR269" t="s">
        <v>218</v>
      </c>
      <c r="AS269" t="s">
        <v>834</v>
      </c>
      <c r="AT269" t="s">
        <v>230</v>
      </c>
      <c r="AU269">
        <v>20261003</v>
      </c>
      <c r="AV269" t="s">
        <v>221</v>
      </c>
      <c r="AW269" t="s">
        <v>879</v>
      </c>
      <c r="AX269" t="s">
        <v>222</v>
      </c>
      <c r="BA269" s="57">
        <v>46298.625</v>
      </c>
      <c r="BB269" t="s">
        <v>1742</v>
      </c>
      <c r="BC269">
        <v>2026</v>
      </c>
      <c r="BD269">
        <v>10</v>
      </c>
      <c r="BE269">
        <v>3</v>
      </c>
      <c r="BF269" s="6">
        <f t="shared" si="12"/>
        <v>46298</v>
      </c>
      <c r="BG269">
        <f t="shared" si="13"/>
        <v>-0.625</v>
      </c>
      <c r="BH269" t="str">
        <f t="shared" si="14"/>
        <v>COMPLY</v>
      </c>
      <c r="BI269" t="e">
        <f>VLOOKUP(H269,Sheet2!$A$1:$B$270,2,FALSE)</f>
        <v>#N/A</v>
      </c>
    </row>
    <row r="270" spans="1:61">
      <c r="A270">
        <v>269</v>
      </c>
      <c r="B270">
        <v>1002620989</v>
      </c>
      <c r="C270">
        <v>3</v>
      </c>
      <c r="D270" t="s">
        <v>49</v>
      </c>
      <c r="E270">
        <v>4</v>
      </c>
      <c r="F270" t="s">
        <v>244</v>
      </c>
      <c r="G270" t="s">
        <v>245</v>
      </c>
      <c r="H270" t="s">
        <v>836</v>
      </c>
      <c r="I270" t="s">
        <v>212</v>
      </c>
      <c r="J270" t="s">
        <v>213</v>
      </c>
      <c r="K270" t="s">
        <v>149</v>
      </c>
      <c r="L270" t="s">
        <v>214</v>
      </c>
      <c r="M270" t="s">
        <v>224</v>
      </c>
      <c r="N270" t="s">
        <v>215</v>
      </c>
      <c r="O270" s="57">
        <v>46298.562210648146</v>
      </c>
      <c r="P270" s="57">
        <v>46300.338726851849</v>
      </c>
      <c r="Q270">
        <v>69403599</v>
      </c>
      <c r="S270">
        <v>141420160151</v>
      </c>
      <c r="T270" t="s">
        <v>2401</v>
      </c>
      <c r="U270" t="s">
        <v>2402</v>
      </c>
      <c r="V270" t="s">
        <v>2403</v>
      </c>
      <c r="Z270">
        <v>110.39111316204</v>
      </c>
      <c r="AA270">
        <v>-6.9744260278641397</v>
      </c>
      <c r="AB270" t="s">
        <v>2404</v>
      </c>
      <c r="AC270" t="s">
        <v>216</v>
      </c>
      <c r="AL270" t="s">
        <v>217</v>
      </c>
      <c r="AM270" t="s">
        <v>2405</v>
      </c>
      <c r="AN270" t="s">
        <v>6</v>
      </c>
      <c r="AO270" s="57">
        <v>46091.56958333333</v>
      </c>
      <c r="AP270" s="57">
        <v>46300.333333333336</v>
      </c>
      <c r="AR270" t="s">
        <v>18</v>
      </c>
      <c r="AS270" t="s">
        <v>834</v>
      </c>
      <c r="AT270" t="s">
        <v>230</v>
      </c>
      <c r="AV270" t="s">
        <v>226</v>
      </c>
      <c r="AW270" t="s">
        <v>879</v>
      </c>
      <c r="AX270" t="s">
        <v>222</v>
      </c>
      <c r="BA270" s="57">
        <v>46300.333333333336</v>
      </c>
      <c r="BB270" t="s">
        <v>2405</v>
      </c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:61">
      <c r="A271">
        <v>270</v>
      </c>
      <c r="B271">
        <v>1002617233</v>
      </c>
      <c r="C271">
        <v>3</v>
      </c>
      <c r="D271" t="s">
        <v>49</v>
      </c>
      <c r="E271">
        <v>4</v>
      </c>
      <c r="F271" t="s">
        <v>244</v>
      </c>
      <c r="G271" t="s">
        <v>245</v>
      </c>
      <c r="H271" t="s">
        <v>836</v>
      </c>
      <c r="I271" t="s">
        <v>212</v>
      </c>
      <c r="J271" t="s">
        <v>213</v>
      </c>
      <c r="K271" t="s">
        <v>149</v>
      </c>
      <c r="L271" t="s">
        <v>214</v>
      </c>
      <c r="M271" t="s">
        <v>76</v>
      </c>
      <c r="N271" t="s">
        <v>215</v>
      </c>
      <c r="O271" s="57">
        <v>46296.41783564815</v>
      </c>
      <c r="P271" s="57">
        <v>46297.586481481485</v>
      </c>
      <c r="Q271">
        <v>69402145</v>
      </c>
      <c r="S271">
        <v>141420160402</v>
      </c>
      <c r="T271" t="s">
        <v>1226</v>
      </c>
      <c r="U271" t="s">
        <v>1227</v>
      </c>
      <c r="V271" t="s">
        <v>1228</v>
      </c>
      <c r="Z271">
        <v>110.30420410000001</v>
      </c>
      <c r="AA271">
        <v>-7.0052196999999996</v>
      </c>
      <c r="AB271" t="s">
        <v>1229</v>
      </c>
      <c r="AC271" t="s">
        <v>216</v>
      </c>
      <c r="AL271" t="s">
        <v>217</v>
      </c>
      <c r="AM271" t="s">
        <v>1230</v>
      </c>
      <c r="AN271" t="s">
        <v>6</v>
      </c>
      <c r="AO271" s="57">
        <v>46032.434247685182</v>
      </c>
      <c r="AP271" s="57">
        <v>46297.333333333336</v>
      </c>
      <c r="AR271" t="s">
        <v>218</v>
      </c>
      <c r="AS271" t="s">
        <v>834</v>
      </c>
      <c r="AT271" t="s">
        <v>230</v>
      </c>
      <c r="AU271">
        <v>20261002</v>
      </c>
      <c r="AV271" t="s">
        <v>221</v>
      </c>
      <c r="AW271" t="s">
        <v>879</v>
      </c>
      <c r="AX271" t="s">
        <v>222</v>
      </c>
      <c r="BA271" s="57">
        <v>46297.333333333336</v>
      </c>
      <c r="BB271" t="s">
        <v>1230</v>
      </c>
      <c r="BC271">
        <v>2026</v>
      </c>
      <c r="BD271">
        <v>10</v>
      </c>
      <c r="BE271">
        <v>2</v>
      </c>
      <c r="BF271" s="6">
        <f t="shared" si="12"/>
        <v>46297</v>
      </c>
      <c r="BG271">
        <f t="shared" si="13"/>
        <v>-0.33333333333575865</v>
      </c>
      <c r="BH271" t="str">
        <f t="shared" si="14"/>
        <v>COMPLY</v>
      </c>
      <c r="BI271" t="e">
        <f>VLOOKUP(H271,Sheet2!$A$1:$B$270,2,FALSE)</f>
        <v>#N/A</v>
      </c>
    </row>
    <row r="272" spans="1:61">
      <c r="A272">
        <v>271</v>
      </c>
      <c r="B272">
        <v>1002618091</v>
      </c>
      <c r="C272">
        <v>3</v>
      </c>
      <c r="D272" t="s">
        <v>49</v>
      </c>
      <c r="E272">
        <v>4</v>
      </c>
      <c r="F272" t="s">
        <v>244</v>
      </c>
      <c r="G272" t="s">
        <v>245</v>
      </c>
      <c r="H272" t="s">
        <v>836</v>
      </c>
      <c r="I272" t="s">
        <v>212</v>
      </c>
      <c r="J272" t="s">
        <v>213</v>
      </c>
      <c r="K272" t="s">
        <v>149</v>
      </c>
      <c r="M272" t="s">
        <v>76</v>
      </c>
      <c r="N272" t="s">
        <v>215</v>
      </c>
      <c r="O272" s="57">
        <v>46296.600451388891</v>
      </c>
      <c r="P272" s="57">
        <v>46296.790960648148</v>
      </c>
      <c r="Q272">
        <v>69372639</v>
      </c>
      <c r="S272">
        <v>141420160408</v>
      </c>
      <c r="T272" t="s">
        <v>1221</v>
      </c>
      <c r="U272" t="s">
        <v>1222</v>
      </c>
      <c r="V272" t="s">
        <v>1223</v>
      </c>
      <c r="Z272">
        <v>110.341539457672</v>
      </c>
      <c r="AA272">
        <v>-7.0008219091711901</v>
      </c>
      <c r="AB272" t="s">
        <v>1224</v>
      </c>
      <c r="AC272" t="s">
        <v>225</v>
      </c>
      <c r="AL272" t="s">
        <v>217</v>
      </c>
      <c r="AM272" t="s">
        <v>1225</v>
      </c>
      <c r="AN272" t="s">
        <v>6</v>
      </c>
      <c r="AO272" s="57">
        <v>46032.611296296294</v>
      </c>
      <c r="AR272" t="s">
        <v>218</v>
      </c>
      <c r="AS272" t="s">
        <v>834</v>
      </c>
      <c r="AT272" t="s">
        <v>230</v>
      </c>
      <c r="AU272">
        <v>20261001</v>
      </c>
      <c r="AV272" t="s">
        <v>221</v>
      </c>
      <c r="AW272" t="s">
        <v>539</v>
      </c>
      <c r="AX272" t="s">
        <v>222</v>
      </c>
      <c r="BA272" s="57">
        <v>46296.291666666664</v>
      </c>
      <c r="BB272" t="s">
        <v>1225</v>
      </c>
      <c r="BC272">
        <v>2026</v>
      </c>
      <c r="BD272">
        <v>10</v>
      </c>
      <c r="BE272">
        <v>1</v>
      </c>
      <c r="BF272" s="6">
        <f t="shared" si="12"/>
        <v>46296</v>
      </c>
      <c r="BG272">
        <f t="shared" si="13"/>
        <v>-0.29166666666424135</v>
      </c>
      <c r="BH272" t="str">
        <f t="shared" si="14"/>
        <v>COMPLY</v>
      </c>
      <c r="BI272" t="e">
        <f>VLOOKUP(H272,Sheet2!$A$1:$B$270,2,FALSE)</f>
        <v>#N/A</v>
      </c>
    </row>
    <row r="273" spans="1:61">
      <c r="A273">
        <v>272</v>
      </c>
      <c r="B273">
        <v>1002619278</v>
      </c>
      <c r="C273">
        <v>3</v>
      </c>
      <c r="D273" t="s">
        <v>49</v>
      </c>
      <c r="E273">
        <v>4</v>
      </c>
      <c r="F273" t="s">
        <v>244</v>
      </c>
      <c r="G273" t="s">
        <v>245</v>
      </c>
      <c r="H273" t="s">
        <v>2406</v>
      </c>
      <c r="I273" t="s">
        <v>212</v>
      </c>
      <c r="J273" t="s">
        <v>213</v>
      </c>
      <c r="K273" t="s">
        <v>149</v>
      </c>
      <c r="L273" t="s">
        <v>214</v>
      </c>
      <c r="M273" t="s">
        <v>224</v>
      </c>
      <c r="N273" t="s">
        <v>215</v>
      </c>
      <c r="O273" s="57">
        <v>46297.426851851851</v>
      </c>
      <c r="P273" s="57">
        <v>46298.337881944448</v>
      </c>
      <c r="Q273">
        <v>69402849</v>
      </c>
      <c r="S273">
        <v>143424112885</v>
      </c>
      <c r="T273" t="s">
        <v>2407</v>
      </c>
      <c r="U273" t="s">
        <v>2408</v>
      </c>
      <c r="V273" t="s">
        <v>2409</v>
      </c>
      <c r="Z273">
        <v>110.45200198888701</v>
      </c>
      <c r="AA273">
        <v>-6.9622998110349101</v>
      </c>
      <c r="AB273" t="s">
        <v>2410</v>
      </c>
      <c r="AC273" t="s">
        <v>216</v>
      </c>
      <c r="AL273" t="s">
        <v>217</v>
      </c>
      <c r="AM273" t="s">
        <v>2411</v>
      </c>
      <c r="AN273" t="s">
        <v>6</v>
      </c>
      <c r="AO273" s="57">
        <v>46063.444386574076</v>
      </c>
      <c r="AP273" s="57">
        <v>46298.333333333336</v>
      </c>
      <c r="AR273" t="s">
        <v>18</v>
      </c>
      <c r="AS273" t="s">
        <v>811</v>
      </c>
      <c r="AT273" t="s">
        <v>230</v>
      </c>
      <c r="AV273" t="s">
        <v>226</v>
      </c>
      <c r="AW273" t="s">
        <v>877</v>
      </c>
      <c r="AX273" t="s">
        <v>222</v>
      </c>
      <c r="BA273" s="57">
        <v>46298.333333333336</v>
      </c>
      <c r="BB273" t="s">
        <v>2411</v>
      </c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e">
        <f>VLOOKUP(H273,Sheet2!$A$1:$B$270,2,FALSE)</f>
        <v>#N/A</v>
      </c>
    </row>
    <row r="274" spans="1:61">
      <c r="A274">
        <v>273</v>
      </c>
      <c r="B274">
        <v>1002620890</v>
      </c>
      <c r="C274">
        <v>3</v>
      </c>
      <c r="D274" t="s">
        <v>49</v>
      </c>
      <c r="E274">
        <v>4</v>
      </c>
      <c r="F274" t="s">
        <v>244</v>
      </c>
      <c r="G274" t="s">
        <v>245</v>
      </c>
      <c r="H274" t="s">
        <v>2406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46298.489351851851</v>
      </c>
      <c r="P274" s="57">
        <v>46298.653819444444</v>
      </c>
      <c r="Q274">
        <v>69403538</v>
      </c>
      <c r="S274">
        <v>143424113018</v>
      </c>
      <c r="T274" t="s">
        <v>2412</v>
      </c>
      <c r="U274" t="s">
        <v>2413</v>
      </c>
      <c r="V274" t="s">
        <v>2414</v>
      </c>
      <c r="Z274">
        <v>110.47651469707399</v>
      </c>
      <c r="AA274">
        <v>-6.9811816113941401</v>
      </c>
      <c r="AB274" t="s">
        <v>2415</v>
      </c>
      <c r="AC274" t="s">
        <v>235</v>
      </c>
      <c r="AL274" t="s">
        <v>217</v>
      </c>
      <c r="AM274" t="s">
        <v>2416</v>
      </c>
      <c r="AN274" t="s">
        <v>6</v>
      </c>
      <c r="AO274" s="57">
        <v>46091.496435185189</v>
      </c>
      <c r="AP274" s="57">
        <v>46300.333333333336</v>
      </c>
      <c r="AR274" t="s">
        <v>218</v>
      </c>
      <c r="AS274" t="s">
        <v>811</v>
      </c>
      <c r="AT274" t="s">
        <v>230</v>
      </c>
      <c r="AU274">
        <v>20261003</v>
      </c>
      <c r="AV274" t="s">
        <v>221</v>
      </c>
      <c r="AW274" t="s">
        <v>928</v>
      </c>
      <c r="AX274" t="s">
        <v>222</v>
      </c>
      <c r="BA274" s="57">
        <v>46300.333333333336</v>
      </c>
      <c r="BB274" t="s">
        <v>2416</v>
      </c>
      <c r="BC274">
        <v>2026</v>
      </c>
      <c r="BD274">
        <v>10</v>
      </c>
      <c r="BE274">
        <v>3</v>
      </c>
      <c r="BF274" s="6">
        <f t="shared" si="12"/>
        <v>46298</v>
      </c>
      <c r="BG274">
        <f t="shared" si="13"/>
        <v>-2.3333333333357587</v>
      </c>
      <c r="BH274" t="str">
        <f t="shared" si="14"/>
        <v>COMPLY</v>
      </c>
      <c r="BI274" t="e">
        <f>VLOOKUP(H274,Sheet2!$A$1:$B$270,2,FALSE)</f>
        <v>#N/A</v>
      </c>
    </row>
    <row r="275" spans="1:61">
      <c r="A275">
        <v>274</v>
      </c>
      <c r="B275">
        <v>1002619811</v>
      </c>
      <c r="C275">
        <v>3</v>
      </c>
      <c r="D275" t="s">
        <v>49</v>
      </c>
      <c r="E275">
        <v>4</v>
      </c>
      <c r="F275" t="s">
        <v>244</v>
      </c>
      <c r="G275" t="s">
        <v>245</v>
      </c>
      <c r="H275" t="s">
        <v>2406</v>
      </c>
      <c r="I275" t="s">
        <v>212</v>
      </c>
      <c r="J275" t="s">
        <v>213</v>
      </c>
      <c r="K275" t="s">
        <v>149</v>
      </c>
      <c r="M275" t="s">
        <v>819</v>
      </c>
      <c r="N275" t="s">
        <v>563</v>
      </c>
      <c r="O275" s="57">
        <v>46297.56758101852</v>
      </c>
      <c r="P275" s="57">
        <v>46297.569606481484</v>
      </c>
      <c r="Q275">
        <v>66525052</v>
      </c>
      <c r="S275">
        <v>143424112888</v>
      </c>
      <c r="T275" t="s">
        <v>1754</v>
      </c>
      <c r="U275" t="s">
        <v>2417</v>
      </c>
      <c r="Z275">
        <v>110.47842855576999</v>
      </c>
      <c r="AA275">
        <v>-6.9632283011959801</v>
      </c>
      <c r="AB275" t="s">
        <v>2418</v>
      </c>
      <c r="AC275" t="s">
        <v>225</v>
      </c>
      <c r="AO275" s="57">
        <v>46063.569363425922</v>
      </c>
      <c r="AR275" t="s">
        <v>325</v>
      </c>
      <c r="AS275" t="s">
        <v>811</v>
      </c>
      <c r="AT275" t="s">
        <v>230</v>
      </c>
      <c r="AV275" t="s">
        <v>820</v>
      </c>
      <c r="AW275" t="s">
        <v>1495</v>
      </c>
      <c r="AX275" t="s">
        <v>222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e">
        <f>VLOOKUP(H275,Sheet2!$A$1:$B$270,2,FALSE)</f>
        <v>#N/A</v>
      </c>
    </row>
    <row r="276" spans="1:61">
      <c r="A276">
        <v>275</v>
      </c>
      <c r="B276">
        <v>1002618755</v>
      </c>
      <c r="C276">
        <v>3</v>
      </c>
      <c r="D276" t="s">
        <v>49</v>
      </c>
      <c r="E276">
        <v>4</v>
      </c>
      <c r="F276" t="s">
        <v>244</v>
      </c>
      <c r="G276" t="s">
        <v>245</v>
      </c>
      <c r="H276" t="s">
        <v>803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46296.740671296298</v>
      </c>
      <c r="P276" s="57">
        <v>46297.74459490741</v>
      </c>
      <c r="Q276">
        <v>69402637</v>
      </c>
      <c r="S276">
        <v>142406123044</v>
      </c>
      <c r="T276" t="s">
        <v>937</v>
      </c>
      <c r="U276" t="s">
        <v>1231</v>
      </c>
      <c r="V276" t="s">
        <v>1232</v>
      </c>
      <c r="Z276">
        <v>110.442810058593</v>
      </c>
      <c r="AA276">
        <v>-6.9639205629502898</v>
      </c>
      <c r="AB276" t="s">
        <v>1233</v>
      </c>
      <c r="AC276" t="s">
        <v>235</v>
      </c>
      <c r="AL276" t="s">
        <v>217</v>
      </c>
      <c r="AM276" t="s">
        <v>1128</v>
      </c>
      <c r="AN276" t="s">
        <v>6</v>
      </c>
      <c r="AO276" s="57">
        <v>46032.746898148151</v>
      </c>
      <c r="AP276" s="57">
        <v>46297.625</v>
      </c>
      <c r="AR276" t="s">
        <v>218</v>
      </c>
      <c r="AS276" t="s">
        <v>811</v>
      </c>
      <c r="AT276" t="s">
        <v>230</v>
      </c>
      <c r="AU276">
        <v>20261002</v>
      </c>
      <c r="AV276" t="s">
        <v>221</v>
      </c>
      <c r="AW276" t="s">
        <v>879</v>
      </c>
      <c r="AX276" t="s">
        <v>222</v>
      </c>
      <c r="BA276" s="57">
        <v>46297.625</v>
      </c>
      <c r="BB276" t="s">
        <v>1128</v>
      </c>
      <c r="BC276">
        <v>2026</v>
      </c>
      <c r="BD276">
        <v>10</v>
      </c>
      <c r="BE276">
        <v>2</v>
      </c>
      <c r="BF276" s="6">
        <f t="shared" si="12"/>
        <v>46297</v>
      </c>
      <c r="BG276">
        <f t="shared" si="13"/>
        <v>-0.625</v>
      </c>
      <c r="BH276" t="str">
        <f t="shared" si="14"/>
        <v>COMPLY</v>
      </c>
      <c r="BI276" t="e">
        <f>VLOOKUP(H276,Sheet2!$A$1:$B$270,2,FALSE)</f>
        <v>#N/A</v>
      </c>
    </row>
    <row r="277" spans="1:61">
      <c r="A277">
        <v>276</v>
      </c>
      <c r="B277">
        <v>1002621435</v>
      </c>
      <c r="C277">
        <v>3</v>
      </c>
      <c r="D277" t="s">
        <v>49</v>
      </c>
      <c r="E277">
        <v>4</v>
      </c>
      <c r="F277" t="s">
        <v>244</v>
      </c>
      <c r="G277" t="s">
        <v>245</v>
      </c>
      <c r="H277" t="s">
        <v>803</v>
      </c>
      <c r="I277" t="s">
        <v>212</v>
      </c>
      <c r="J277" t="s">
        <v>213</v>
      </c>
      <c r="K277" t="s">
        <v>149</v>
      </c>
      <c r="L277" t="s">
        <v>214</v>
      </c>
      <c r="M277" t="s">
        <v>238</v>
      </c>
      <c r="N277" t="s">
        <v>215</v>
      </c>
      <c r="O277" s="57">
        <v>46299.607407407406</v>
      </c>
      <c r="P277" s="57">
        <v>46299.608402777776</v>
      </c>
      <c r="Q277">
        <v>69403935</v>
      </c>
      <c r="S277">
        <v>142406123064</v>
      </c>
      <c r="T277" t="s">
        <v>2419</v>
      </c>
      <c r="U277" t="s">
        <v>2420</v>
      </c>
      <c r="V277" t="s">
        <v>2421</v>
      </c>
      <c r="Z277">
        <v>110.431072419472</v>
      </c>
      <c r="AA277">
        <v>-6.9686406578249498</v>
      </c>
      <c r="AB277" t="s">
        <v>2422</v>
      </c>
      <c r="AC277" t="s">
        <v>235</v>
      </c>
      <c r="AL277" t="s">
        <v>217</v>
      </c>
      <c r="AM277" t="s">
        <v>2423</v>
      </c>
      <c r="AN277" t="s">
        <v>6</v>
      </c>
      <c r="AO277" s="57">
        <v>46122.610983796294</v>
      </c>
      <c r="AP277" s="57">
        <v>46300.458333333336</v>
      </c>
      <c r="AR277" t="s">
        <v>239</v>
      </c>
      <c r="AS277" t="s">
        <v>811</v>
      </c>
      <c r="AT277" t="s">
        <v>230</v>
      </c>
      <c r="AV277" t="s">
        <v>238</v>
      </c>
      <c r="AW277" t="s">
        <v>1426</v>
      </c>
      <c r="AX277" t="s">
        <v>222</v>
      </c>
      <c r="BA277" s="57">
        <v>46300.458333333336</v>
      </c>
      <c r="BB277" t="s">
        <v>2423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e">
        <f>VLOOKUP(H277,Sheet2!$A$1:$B$270,2,FALSE)</f>
        <v>#N/A</v>
      </c>
    </row>
    <row r="278" spans="1:61">
      <c r="A278">
        <v>277</v>
      </c>
      <c r="B278">
        <v>1002619079</v>
      </c>
      <c r="C278">
        <v>3</v>
      </c>
      <c r="D278" t="s">
        <v>49</v>
      </c>
      <c r="E278">
        <v>4</v>
      </c>
      <c r="F278" t="s">
        <v>244</v>
      </c>
      <c r="G278" t="s">
        <v>245</v>
      </c>
      <c r="H278" t="s">
        <v>2424</v>
      </c>
      <c r="I278" t="s">
        <v>1894</v>
      </c>
      <c r="J278" t="s">
        <v>213</v>
      </c>
      <c r="K278" t="s">
        <v>149</v>
      </c>
      <c r="M278" t="s">
        <v>224</v>
      </c>
      <c r="N278" t="s">
        <v>1895</v>
      </c>
      <c r="O278" s="57">
        <v>46297.38349537037</v>
      </c>
      <c r="P278" s="57">
        <v>46297.386354166665</v>
      </c>
      <c r="Q278">
        <v>69402751</v>
      </c>
      <c r="S278">
        <v>142410346879</v>
      </c>
      <c r="T278" t="s">
        <v>2425</v>
      </c>
      <c r="U278" t="s">
        <v>2426</v>
      </c>
      <c r="V278" t="s">
        <v>2427</v>
      </c>
      <c r="Z278">
        <v>110.48600869737101</v>
      </c>
      <c r="AA278">
        <v>-7.0169656294131002</v>
      </c>
      <c r="AB278" t="s">
        <v>2428</v>
      </c>
      <c r="AC278" t="s">
        <v>225</v>
      </c>
      <c r="AL278" t="s">
        <v>217</v>
      </c>
      <c r="AM278" t="s">
        <v>1936</v>
      </c>
      <c r="AN278" t="s">
        <v>6</v>
      </c>
      <c r="AO278" s="57">
        <v>46063.39334490741</v>
      </c>
      <c r="AR278" t="s">
        <v>18</v>
      </c>
      <c r="AS278" t="s">
        <v>2429</v>
      </c>
      <c r="AT278" t="s">
        <v>230</v>
      </c>
      <c r="AV278" t="s">
        <v>226</v>
      </c>
      <c r="AW278" t="s">
        <v>1446</v>
      </c>
      <c r="AX278" t="s">
        <v>222</v>
      </c>
      <c r="BA278" s="57">
        <v>46297.541666666664</v>
      </c>
      <c r="BB278" t="s">
        <v>1936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e">
        <f>VLOOKUP(H278,Sheet2!$A$1:$B$270,2,FALSE)</f>
        <v>#N/A</v>
      </c>
    </row>
    <row r="279" spans="1:61">
      <c r="A279">
        <v>278</v>
      </c>
      <c r="B279">
        <v>1002620382</v>
      </c>
      <c r="C279">
        <v>3</v>
      </c>
      <c r="D279" t="s">
        <v>59</v>
      </c>
      <c r="E279">
        <v>4</v>
      </c>
      <c r="F279" t="s">
        <v>223</v>
      </c>
      <c r="G279" t="s">
        <v>223</v>
      </c>
      <c r="H279" t="s">
        <v>2430</v>
      </c>
      <c r="I279" t="s">
        <v>1563</v>
      </c>
      <c r="J279" t="s">
        <v>213</v>
      </c>
      <c r="K279" t="s">
        <v>149</v>
      </c>
      <c r="M279" t="s">
        <v>76</v>
      </c>
      <c r="N279" t="s">
        <v>1931</v>
      </c>
      <c r="O279" s="57">
        <v>46297.669108796297</v>
      </c>
      <c r="P279" s="57">
        <v>46298.472395833334</v>
      </c>
      <c r="Q279">
        <v>69401616</v>
      </c>
      <c r="S279">
        <v>143387116577</v>
      </c>
      <c r="T279" t="s">
        <v>2431</v>
      </c>
      <c r="U279" t="s">
        <v>2432</v>
      </c>
      <c r="V279" t="s">
        <v>2433</v>
      </c>
      <c r="Z279">
        <v>109.0855741</v>
      </c>
      <c r="AA279">
        <v>-7.3865591999999998</v>
      </c>
      <c r="AB279" t="s">
        <v>2434</v>
      </c>
      <c r="AC279" t="s">
        <v>284</v>
      </c>
      <c r="AL279" t="s">
        <v>217</v>
      </c>
      <c r="AM279" t="s">
        <v>2435</v>
      </c>
      <c r="AN279" t="s">
        <v>6</v>
      </c>
      <c r="AO279" s="57">
        <v>46063.673761574071</v>
      </c>
      <c r="AR279" t="s">
        <v>218</v>
      </c>
      <c r="AS279" t="s">
        <v>2436</v>
      </c>
      <c r="AT279" t="s">
        <v>230</v>
      </c>
      <c r="AU279">
        <v>20261003</v>
      </c>
      <c r="AV279" t="s">
        <v>221</v>
      </c>
      <c r="AW279" t="s">
        <v>1534</v>
      </c>
      <c r="AX279" t="s">
        <v>222</v>
      </c>
      <c r="BA279" s="57">
        <v>25569.291666666668</v>
      </c>
      <c r="BB279" t="s">
        <v>2435</v>
      </c>
      <c r="BC279">
        <v>2026</v>
      </c>
      <c r="BD279">
        <v>10</v>
      </c>
      <c r="BE279">
        <v>3</v>
      </c>
      <c r="BF279" s="6">
        <f t="shared" si="12"/>
        <v>46298</v>
      </c>
      <c r="BG279">
        <f t="shared" si="13"/>
        <v>20728.708333333332</v>
      </c>
      <c r="BH279" t="str">
        <f t="shared" si="14"/>
        <v>NOT COMPLY</v>
      </c>
      <c r="BI279" t="e">
        <f>VLOOKUP(H279,Sheet2!$A$1:$B$270,2,FALSE)</f>
        <v>#N/A</v>
      </c>
    </row>
    <row r="280" spans="1:61">
      <c r="A280">
        <v>279</v>
      </c>
      <c r="B280">
        <v>1002621149</v>
      </c>
      <c r="C280">
        <v>3</v>
      </c>
      <c r="D280" t="s">
        <v>59</v>
      </c>
      <c r="E280">
        <v>4</v>
      </c>
      <c r="F280" t="s">
        <v>223</v>
      </c>
      <c r="G280" t="s">
        <v>223</v>
      </c>
      <c r="H280" t="s">
        <v>2437</v>
      </c>
      <c r="I280" t="s">
        <v>212</v>
      </c>
      <c r="J280" t="s">
        <v>213</v>
      </c>
      <c r="K280" t="s">
        <v>149</v>
      </c>
      <c r="L280" t="s">
        <v>214</v>
      </c>
      <c r="M280" t="s">
        <v>895</v>
      </c>
      <c r="N280" t="s">
        <v>215</v>
      </c>
      <c r="O280" s="57">
        <v>46298.709432870368</v>
      </c>
      <c r="P280" s="57">
        <v>46300.3434375</v>
      </c>
      <c r="Q280">
        <v>69403732</v>
      </c>
      <c r="S280">
        <v>146388101172</v>
      </c>
      <c r="T280" t="s">
        <v>2438</v>
      </c>
      <c r="U280" t="s">
        <v>2439</v>
      </c>
      <c r="V280" t="s">
        <v>2440</v>
      </c>
      <c r="Z280">
        <v>109.142276</v>
      </c>
      <c r="AA280">
        <v>-7.3840370000000002</v>
      </c>
      <c r="AB280" t="s">
        <v>2441</v>
      </c>
      <c r="AC280" t="s">
        <v>235</v>
      </c>
      <c r="AL280" t="s">
        <v>217</v>
      </c>
      <c r="AM280" t="s">
        <v>2442</v>
      </c>
      <c r="AN280" t="s">
        <v>6</v>
      </c>
      <c r="AO280" s="57">
        <v>46091.726053240738</v>
      </c>
      <c r="AP280" s="57">
        <v>46300.333333333336</v>
      </c>
      <c r="AR280" t="s">
        <v>886</v>
      </c>
      <c r="AS280" t="s">
        <v>2436</v>
      </c>
      <c r="AT280" t="s">
        <v>230</v>
      </c>
      <c r="AV280" t="s">
        <v>896</v>
      </c>
      <c r="AW280" t="s">
        <v>928</v>
      </c>
      <c r="AX280" t="s">
        <v>222</v>
      </c>
      <c r="BA280" s="57">
        <v>46300.333333333336</v>
      </c>
      <c r="BB280" t="s">
        <v>2442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e">
        <f>VLOOKUP(H280,Sheet2!$A$1:$B$270,2,FALSE)</f>
        <v>#N/A</v>
      </c>
    </row>
    <row r="281" spans="1:61">
      <c r="A281">
        <v>280</v>
      </c>
      <c r="B281">
        <v>1002619536</v>
      </c>
      <c r="C281">
        <v>3</v>
      </c>
      <c r="D281" t="s">
        <v>59</v>
      </c>
      <c r="E281">
        <v>4</v>
      </c>
      <c r="F281" t="s">
        <v>223</v>
      </c>
      <c r="G281" t="s">
        <v>223</v>
      </c>
      <c r="H281" t="s">
        <v>800</v>
      </c>
      <c r="I281" t="s">
        <v>1563</v>
      </c>
      <c r="J281" t="s">
        <v>213</v>
      </c>
      <c r="K281" t="s">
        <v>149</v>
      </c>
      <c r="M281" t="s">
        <v>841</v>
      </c>
      <c r="N281" t="s">
        <v>2443</v>
      </c>
      <c r="O281" s="57">
        <v>46297.474641203706</v>
      </c>
      <c r="P281" s="57">
        <v>46297.607708333337</v>
      </c>
      <c r="Q281">
        <v>61866186</v>
      </c>
      <c r="S281">
        <v>146303629362</v>
      </c>
      <c r="T281" t="s">
        <v>2444</v>
      </c>
      <c r="U281" t="s">
        <v>2445</v>
      </c>
      <c r="V281" t="s">
        <v>2446</v>
      </c>
      <c r="Z281">
        <v>109.24125256008099</v>
      </c>
      <c r="AA281">
        <v>-7.4476682686611904</v>
      </c>
      <c r="AB281" t="s">
        <v>2447</v>
      </c>
      <c r="AC281" t="s">
        <v>225</v>
      </c>
      <c r="AL281" t="s">
        <v>217</v>
      </c>
      <c r="AM281" t="s">
        <v>2448</v>
      </c>
      <c r="AN281" t="s">
        <v>6</v>
      </c>
      <c r="AO281" s="57">
        <v>46063.475972222222</v>
      </c>
      <c r="AQ281" t="s">
        <v>840</v>
      </c>
      <c r="AR281" t="s">
        <v>842</v>
      </c>
      <c r="AS281" t="s">
        <v>219</v>
      </c>
      <c r="AT281" t="s">
        <v>230</v>
      </c>
      <c r="AV281" t="s">
        <v>2449</v>
      </c>
      <c r="AW281" t="s">
        <v>1446</v>
      </c>
      <c r="AX281" t="s">
        <v>222</v>
      </c>
      <c r="BA281" s="57">
        <v>46297.541666666664</v>
      </c>
      <c r="BB281" t="s">
        <v>2448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e">
        <f>VLOOKUP(H281,Sheet2!$A$1:$B$270,2,FALSE)</f>
        <v>#N/A</v>
      </c>
    </row>
    <row r="282" spans="1:61">
      <c r="A282">
        <v>281</v>
      </c>
      <c r="B282">
        <v>1002617282</v>
      </c>
      <c r="C282">
        <v>3</v>
      </c>
      <c r="D282" t="s">
        <v>59</v>
      </c>
      <c r="E282">
        <v>4</v>
      </c>
      <c r="F282" t="s">
        <v>223</v>
      </c>
      <c r="G282" t="s">
        <v>223</v>
      </c>
      <c r="H282" t="s">
        <v>800</v>
      </c>
      <c r="I282" t="s">
        <v>212</v>
      </c>
      <c r="J282" t="s">
        <v>213</v>
      </c>
      <c r="K282" t="s">
        <v>149</v>
      </c>
      <c r="M282" t="s">
        <v>1406</v>
      </c>
      <c r="N282" t="s">
        <v>215</v>
      </c>
      <c r="O282" s="57">
        <v>46296.429259259261</v>
      </c>
      <c r="P282" s="57">
        <v>46298.556331018517</v>
      </c>
      <c r="Q282">
        <v>69402155</v>
      </c>
      <c r="S282">
        <v>146303629342</v>
      </c>
      <c r="T282" t="s">
        <v>1238</v>
      </c>
      <c r="U282" t="s">
        <v>1239</v>
      </c>
      <c r="V282" t="s">
        <v>1240</v>
      </c>
      <c r="Z282">
        <v>109.226715564496</v>
      </c>
      <c r="AA282">
        <v>-7.3960277174201998</v>
      </c>
      <c r="AB282" t="s">
        <v>1241</v>
      </c>
      <c r="AC282" t="s">
        <v>225</v>
      </c>
      <c r="AL282" t="s">
        <v>217</v>
      </c>
      <c r="AM282" t="s">
        <v>1242</v>
      </c>
      <c r="AN282" t="s">
        <v>6</v>
      </c>
      <c r="AO282" s="57">
        <v>46032.434247685182</v>
      </c>
      <c r="AP282" s="57">
        <v>46298.333333333336</v>
      </c>
      <c r="AQ282" t="s">
        <v>1529</v>
      </c>
      <c r="AR282" t="s">
        <v>14</v>
      </c>
      <c r="AS282" t="s">
        <v>219</v>
      </c>
      <c r="AT282" t="s">
        <v>230</v>
      </c>
      <c r="AV282" t="s">
        <v>2450</v>
      </c>
      <c r="AW282" t="s">
        <v>541</v>
      </c>
      <c r="AX282" t="s">
        <v>222</v>
      </c>
      <c r="BA282" s="57">
        <v>46298.333333333336</v>
      </c>
      <c r="BB282" t="s">
        <v>1242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e">
        <f>VLOOKUP(H282,Sheet2!$A$1:$B$270,2,FALSE)</f>
        <v>#N/A</v>
      </c>
    </row>
    <row r="283" spans="1:61">
      <c r="A283">
        <v>282</v>
      </c>
      <c r="B283">
        <v>1002618750</v>
      </c>
      <c r="C283">
        <v>3</v>
      </c>
      <c r="D283" t="s">
        <v>59</v>
      </c>
      <c r="E283">
        <v>4</v>
      </c>
      <c r="F283" t="s">
        <v>223</v>
      </c>
      <c r="G283" t="s">
        <v>223</v>
      </c>
      <c r="H283" t="s">
        <v>800</v>
      </c>
      <c r="I283" t="s">
        <v>212</v>
      </c>
      <c r="J283" t="s">
        <v>213</v>
      </c>
      <c r="K283" t="s">
        <v>149</v>
      </c>
      <c r="L283" t="s">
        <v>214</v>
      </c>
      <c r="M283" t="s">
        <v>224</v>
      </c>
      <c r="N283" t="s">
        <v>215</v>
      </c>
      <c r="O283" s="57">
        <v>46296.736574074072</v>
      </c>
      <c r="P283" s="57">
        <v>46297.634583333333</v>
      </c>
      <c r="Q283">
        <v>69402655</v>
      </c>
      <c r="S283">
        <v>146303629359</v>
      </c>
      <c r="T283" t="s">
        <v>1114</v>
      </c>
      <c r="U283" t="s">
        <v>1234</v>
      </c>
      <c r="V283" t="s">
        <v>1235</v>
      </c>
      <c r="Z283">
        <v>109.21708700000001</v>
      </c>
      <c r="AA283">
        <v>-7.4436650000000002</v>
      </c>
      <c r="AB283" t="s">
        <v>1236</v>
      </c>
      <c r="AC283" t="s">
        <v>235</v>
      </c>
      <c r="AL283" t="s">
        <v>217</v>
      </c>
      <c r="AM283" t="s">
        <v>1237</v>
      </c>
      <c r="AN283" t="s">
        <v>6</v>
      </c>
      <c r="AO283" s="57">
        <v>46032.746898148151</v>
      </c>
      <c r="AP283" s="57">
        <v>46297.625</v>
      </c>
      <c r="AR283" t="s">
        <v>18</v>
      </c>
      <c r="AS283" t="s">
        <v>219</v>
      </c>
      <c r="AT283" t="s">
        <v>230</v>
      </c>
      <c r="AV283" t="s">
        <v>226</v>
      </c>
      <c r="AW283" t="s">
        <v>879</v>
      </c>
      <c r="AX283" t="s">
        <v>222</v>
      </c>
      <c r="BA283" s="57">
        <v>46297.625</v>
      </c>
      <c r="BB283" t="s">
        <v>1237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e">
        <f>VLOOKUP(H283,Sheet2!$A$1:$B$270,2,FALSE)</f>
        <v>#N/A</v>
      </c>
    </row>
    <row r="284" spans="1:61">
      <c r="A284">
        <v>283</v>
      </c>
      <c r="B284">
        <v>1002620985</v>
      </c>
      <c r="C284">
        <v>3</v>
      </c>
      <c r="D284" t="s">
        <v>59</v>
      </c>
      <c r="E284">
        <v>4</v>
      </c>
      <c r="F284" t="s">
        <v>223</v>
      </c>
      <c r="G284" t="s">
        <v>223</v>
      </c>
      <c r="H284" t="s">
        <v>800</v>
      </c>
      <c r="I284" t="s">
        <v>212</v>
      </c>
      <c r="J284" t="s">
        <v>213</v>
      </c>
      <c r="K284" t="s">
        <v>149</v>
      </c>
      <c r="M284" t="s">
        <v>224</v>
      </c>
      <c r="N284" t="s">
        <v>215</v>
      </c>
      <c r="O284" s="57">
        <v>46298.556342592594</v>
      </c>
      <c r="P284" s="57">
        <v>46298.582916666666</v>
      </c>
      <c r="Q284">
        <v>69402155</v>
      </c>
      <c r="S284">
        <v>146303629384</v>
      </c>
      <c r="T284" t="s">
        <v>1238</v>
      </c>
      <c r="U284" t="s">
        <v>2451</v>
      </c>
      <c r="V284" t="s">
        <v>1240</v>
      </c>
      <c r="Z284">
        <v>109.226627362581</v>
      </c>
      <c r="AA284">
        <v>-7.3957168671627</v>
      </c>
      <c r="AB284" t="s">
        <v>1241</v>
      </c>
      <c r="AC284" t="s">
        <v>225</v>
      </c>
      <c r="AM284" t="s">
        <v>2452</v>
      </c>
      <c r="AO284" s="57">
        <v>46091.559224537035</v>
      </c>
      <c r="AR284" t="s">
        <v>18</v>
      </c>
      <c r="AS284" t="s">
        <v>219</v>
      </c>
      <c r="AT284" t="s">
        <v>230</v>
      </c>
      <c r="AV284" t="s">
        <v>226</v>
      </c>
      <c r="AW284" t="s">
        <v>539</v>
      </c>
      <c r="AX284" t="s">
        <v>222</v>
      </c>
      <c r="BB284" t="s">
        <v>2452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:61">
      <c r="A285">
        <v>284</v>
      </c>
      <c r="B285">
        <v>1002620248</v>
      </c>
      <c r="C285">
        <v>3</v>
      </c>
      <c r="D285" t="s">
        <v>59</v>
      </c>
      <c r="E285">
        <v>4</v>
      </c>
      <c r="F285" t="s">
        <v>223</v>
      </c>
      <c r="G285" t="s">
        <v>223</v>
      </c>
      <c r="H285" t="s">
        <v>800</v>
      </c>
      <c r="I285" t="s">
        <v>1563</v>
      </c>
      <c r="J285" t="s">
        <v>213</v>
      </c>
      <c r="K285" t="s">
        <v>149</v>
      </c>
      <c r="M285" t="s">
        <v>76</v>
      </c>
      <c r="N285" t="s">
        <v>2443</v>
      </c>
      <c r="O285" s="57">
        <v>46297.642013888886</v>
      </c>
      <c r="P285" s="57">
        <v>46297.752835648149</v>
      </c>
      <c r="Q285">
        <v>61866186</v>
      </c>
      <c r="S285">
        <v>146303629373</v>
      </c>
      <c r="T285" t="s">
        <v>2444</v>
      </c>
      <c r="U285" t="s">
        <v>2453</v>
      </c>
      <c r="V285" t="s">
        <v>2454</v>
      </c>
      <c r="Z285">
        <v>109.241611090218</v>
      </c>
      <c r="AA285">
        <v>-7.4478042956110899</v>
      </c>
      <c r="AB285" t="s">
        <v>2447</v>
      </c>
      <c r="AC285" t="s">
        <v>225</v>
      </c>
      <c r="AL285" t="s">
        <v>217</v>
      </c>
      <c r="AM285" t="s">
        <v>2447</v>
      </c>
      <c r="AN285" t="s">
        <v>6</v>
      </c>
      <c r="AO285" s="57">
        <v>46063.652951388889</v>
      </c>
      <c r="AR285" t="s">
        <v>218</v>
      </c>
      <c r="AS285" t="s">
        <v>219</v>
      </c>
      <c r="AT285" t="s">
        <v>230</v>
      </c>
      <c r="AU285">
        <v>20261002</v>
      </c>
      <c r="AV285" t="s">
        <v>221</v>
      </c>
      <c r="AW285" t="s">
        <v>1534</v>
      </c>
      <c r="AX285" t="s">
        <v>222</v>
      </c>
      <c r="BA285" s="57">
        <v>46297.5</v>
      </c>
      <c r="BB285" t="s">
        <v>2447</v>
      </c>
      <c r="BC285">
        <v>2026</v>
      </c>
      <c r="BD285">
        <v>10</v>
      </c>
      <c r="BE285">
        <v>2</v>
      </c>
      <c r="BF285" s="6">
        <f t="shared" si="12"/>
        <v>46297</v>
      </c>
      <c r="BG285">
        <f t="shared" si="13"/>
        <v>-0.5</v>
      </c>
      <c r="BH285" t="str">
        <f t="shared" si="14"/>
        <v>COMPLY</v>
      </c>
      <c r="BI285" t="e">
        <f>VLOOKUP(H285,Sheet2!$A$1:$B$270,2,FALSE)</f>
        <v>#N/A</v>
      </c>
    </row>
    <row r="286" spans="1:61">
      <c r="A286">
        <v>285</v>
      </c>
      <c r="B286">
        <v>1002621493</v>
      </c>
      <c r="C286">
        <v>3</v>
      </c>
      <c r="D286" t="s">
        <v>59</v>
      </c>
      <c r="E286">
        <v>4</v>
      </c>
      <c r="F286" t="s">
        <v>223</v>
      </c>
      <c r="G286" t="s">
        <v>223</v>
      </c>
      <c r="H286" t="s">
        <v>800</v>
      </c>
      <c r="I286" t="s">
        <v>212</v>
      </c>
      <c r="J286" t="s">
        <v>213</v>
      </c>
      <c r="K286" t="s">
        <v>149</v>
      </c>
      <c r="L286" t="s">
        <v>214</v>
      </c>
      <c r="M286" t="s">
        <v>238</v>
      </c>
      <c r="N286" t="s">
        <v>215</v>
      </c>
      <c r="O286" s="57">
        <v>46299.7031712963</v>
      </c>
      <c r="P286" s="57">
        <v>46299.704502314817</v>
      </c>
      <c r="Q286">
        <v>69403976</v>
      </c>
      <c r="S286">
        <v>146303629038</v>
      </c>
      <c r="T286" t="s">
        <v>2455</v>
      </c>
      <c r="U286" t="s">
        <v>2456</v>
      </c>
      <c r="V286" t="s">
        <v>2457</v>
      </c>
      <c r="Z286">
        <v>109.251953</v>
      </c>
      <c r="AA286">
        <v>-7.4038040000000001</v>
      </c>
      <c r="AB286" t="s">
        <v>2458</v>
      </c>
      <c r="AC286" t="s">
        <v>235</v>
      </c>
      <c r="AL286" t="s">
        <v>217</v>
      </c>
      <c r="AM286" t="s">
        <v>2459</v>
      </c>
      <c r="AN286" t="s">
        <v>6</v>
      </c>
      <c r="AO286" s="57">
        <v>46122.705324074072</v>
      </c>
      <c r="AP286" s="57">
        <v>46300.625</v>
      </c>
      <c r="AR286" t="s">
        <v>239</v>
      </c>
      <c r="AS286" t="s">
        <v>219</v>
      </c>
      <c r="AT286" t="s">
        <v>230</v>
      </c>
      <c r="AV286" t="s">
        <v>238</v>
      </c>
      <c r="AW286" t="s">
        <v>882</v>
      </c>
      <c r="AX286" t="s">
        <v>222</v>
      </c>
      <c r="BA286" s="57">
        <v>46300.625</v>
      </c>
      <c r="BB286" t="s">
        <v>2459</v>
      </c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e">
        <f>VLOOKUP(H286,Sheet2!$A$1:$B$270,2,FALSE)</f>
        <v>#N/A</v>
      </c>
    </row>
    <row r="287" spans="1:61">
      <c r="A287">
        <v>286</v>
      </c>
      <c r="B287">
        <v>1002619514</v>
      </c>
      <c r="C287">
        <v>3</v>
      </c>
      <c r="D287" t="s">
        <v>59</v>
      </c>
      <c r="E287">
        <v>4</v>
      </c>
      <c r="F287" t="s">
        <v>223</v>
      </c>
      <c r="G287" t="s">
        <v>2460</v>
      </c>
      <c r="H287" t="s">
        <v>2461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46297.469907407409</v>
      </c>
      <c r="P287" s="57">
        <v>46298.702210648145</v>
      </c>
      <c r="Q287">
        <v>69402939</v>
      </c>
      <c r="S287">
        <v>141362104675</v>
      </c>
      <c r="T287" t="s">
        <v>2462</v>
      </c>
      <c r="U287" t="s">
        <v>2463</v>
      </c>
      <c r="V287" t="s">
        <v>2464</v>
      </c>
      <c r="Z287">
        <v>109.00412919999999</v>
      </c>
      <c r="AA287">
        <v>-7.6928010999999996</v>
      </c>
      <c r="AB287" t="s">
        <v>2465</v>
      </c>
      <c r="AC287" t="s">
        <v>235</v>
      </c>
      <c r="AL287" t="s">
        <v>217</v>
      </c>
      <c r="AM287" t="s">
        <v>2466</v>
      </c>
      <c r="AN287" t="s">
        <v>6</v>
      </c>
      <c r="AO287" s="57">
        <v>46063.475972222222</v>
      </c>
      <c r="AP287" s="57">
        <v>46300.458333333336</v>
      </c>
      <c r="AR287" t="s">
        <v>218</v>
      </c>
      <c r="AS287" t="s">
        <v>219</v>
      </c>
      <c r="AT287" t="s">
        <v>230</v>
      </c>
      <c r="AU287">
        <v>20261003</v>
      </c>
      <c r="AV287" t="s">
        <v>221</v>
      </c>
      <c r="AW287" t="s">
        <v>882</v>
      </c>
      <c r="AX287" t="s">
        <v>222</v>
      </c>
      <c r="BA287" s="57">
        <v>46300.458333333336</v>
      </c>
      <c r="BB287" t="s">
        <v>2466</v>
      </c>
      <c r="BC287">
        <v>2026</v>
      </c>
      <c r="BD287">
        <v>10</v>
      </c>
      <c r="BE287">
        <v>3</v>
      </c>
      <c r="BF287" s="6">
        <f t="shared" si="12"/>
        <v>46298</v>
      </c>
      <c r="BG287">
        <f t="shared" si="13"/>
        <v>-2.4583333333357587</v>
      </c>
      <c r="BH287" t="str">
        <f t="shared" si="14"/>
        <v>COMPLY</v>
      </c>
      <c r="BI287" t="e">
        <f>VLOOKUP(H287,Sheet2!$A$1:$B$270,2,FALSE)</f>
        <v>#N/A</v>
      </c>
    </row>
    <row r="288" spans="1:61">
      <c r="A288">
        <v>287</v>
      </c>
      <c r="B288">
        <v>1002619762</v>
      </c>
      <c r="C288">
        <v>3</v>
      </c>
      <c r="D288" t="s">
        <v>59</v>
      </c>
      <c r="E288">
        <v>4</v>
      </c>
      <c r="F288" t="s">
        <v>223</v>
      </c>
      <c r="G288" t="s">
        <v>2460</v>
      </c>
      <c r="H288" t="s">
        <v>2467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46297.556018518517</v>
      </c>
      <c r="P288" s="57">
        <v>46297.735324074078</v>
      </c>
      <c r="Q288">
        <v>69403038</v>
      </c>
      <c r="S288">
        <v>146391106859</v>
      </c>
      <c r="T288" t="s">
        <v>2468</v>
      </c>
      <c r="U288" t="s">
        <v>2469</v>
      </c>
      <c r="V288" t="s">
        <v>2470</v>
      </c>
      <c r="Z288">
        <v>108.787814</v>
      </c>
      <c r="AA288">
        <v>-7.388255</v>
      </c>
      <c r="AB288" t="s">
        <v>2471</v>
      </c>
      <c r="AC288" t="s">
        <v>235</v>
      </c>
      <c r="AL288" t="s">
        <v>217</v>
      </c>
      <c r="AM288" t="s">
        <v>2472</v>
      </c>
      <c r="AN288" t="s">
        <v>6</v>
      </c>
      <c r="AO288" s="57">
        <v>46063.559317129628</v>
      </c>
      <c r="AP288" s="57">
        <v>46301.625</v>
      </c>
      <c r="AR288" t="s">
        <v>218</v>
      </c>
      <c r="AS288" t="s">
        <v>2473</v>
      </c>
      <c r="AT288" t="s">
        <v>230</v>
      </c>
      <c r="AU288">
        <v>20261002</v>
      </c>
      <c r="AV288" t="s">
        <v>221</v>
      </c>
      <c r="AW288" t="s">
        <v>882</v>
      </c>
      <c r="AX288" t="s">
        <v>222</v>
      </c>
      <c r="BA288" s="57">
        <v>46301.625</v>
      </c>
      <c r="BB288" t="s">
        <v>2472</v>
      </c>
      <c r="BC288">
        <v>2026</v>
      </c>
      <c r="BD288">
        <v>10</v>
      </c>
      <c r="BE288">
        <v>2</v>
      </c>
      <c r="BF288" s="6">
        <f t="shared" si="12"/>
        <v>46297</v>
      </c>
      <c r="BG288">
        <f t="shared" si="13"/>
        <v>-4.625</v>
      </c>
      <c r="BH288" t="str">
        <f t="shared" si="14"/>
        <v>COMPLY</v>
      </c>
      <c r="BI288" t="e">
        <f>VLOOKUP(H288,Sheet2!$A$1:$B$270,2,FALSE)</f>
        <v>#N/A</v>
      </c>
    </row>
    <row r="289" spans="1:61">
      <c r="A289">
        <v>288</v>
      </c>
      <c r="B289">
        <v>1002620365</v>
      </c>
      <c r="C289">
        <v>3</v>
      </c>
      <c r="D289" t="s">
        <v>59</v>
      </c>
      <c r="E289">
        <v>4</v>
      </c>
      <c r="F289" t="s">
        <v>223</v>
      </c>
      <c r="G289" t="s">
        <v>2460</v>
      </c>
      <c r="H289" t="s">
        <v>2467</v>
      </c>
      <c r="I289" t="s">
        <v>212</v>
      </c>
      <c r="J289" t="s">
        <v>213</v>
      </c>
      <c r="K289" t="s">
        <v>149</v>
      </c>
      <c r="M289" t="s">
        <v>238</v>
      </c>
      <c r="N289" t="s">
        <v>215</v>
      </c>
      <c r="O289" s="57">
        <v>46297.666145833333</v>
      </c>
      <c r="P289" s="57">
        <v>46298.3903125</v>
      </c>
      <c r="Q289">
        <v>69403278</v>
      </c>
      <c r="S289">
        <v>146391108656</v>
      </c>
      <c r="T289" t="s">
        <v>2474</v>
      </c>
      <c r="U289" t="s">
        <v>2475</v>
      </c>
      <c r="V289" t="s">
        <v>2476</v>
      </c>
      <c r="Z289">
        <v>108.9001507</v>
      </c>
      <c r="AA289">
        <v>-7.4173742999999996</v>
      </c>
      <c r="AB289" t="s">
        <v>2477</v>
      </c>
      <c r="AC289" t="s">
        <v>283</v>
      </c>
      <c r="AL289" t="s">
        <v>217</v>
      </c>
      <c r="AM289" t="s">
        <v>2478</v>
      </c>
      <c r="AN289" t="s">
        <v>6</v>
      </c>
      <c r="AO289" s="57">
        <v>46063.673761574071</v>
      </c>
      <c r="AP289" s="57">
        <v>46301.458333333336</v>
      </c>
      <c r="AR289" t="s">
        <v>239</v>
      </c>
      <c r="AS289" t="s">
        <v>2473</v>
      </c>
      <c r="AT289" t="s">
        <v>230</v>
      </c>
      <c r="AV289" t="s">
        <v>238</v>
      </c>
      <c r="AW289" t="s">
        <v>541</v>
      </c>
      <c r="AX289" t="s">
        <v>222</v>
      </c>
      <c r="BA289" s="57">
        <v>46301.458333333336</v>
      </c>
      <c r="BB289" t="s">
        <v>2478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e">
        <f>VLOOKUP(H289,Sheet2!$A$1:$B$270,2,FALSE)</f>
        <v>#N/A</v>
      </c>
    </row>
    <row r="290" spans="1:61">
      <c r="A290">
        <v>289</v>
      </c>
      <c r="B290">
        <v>1002619769</v>
      </c>
      <c r="C290">
        <v>3</v>
      </c>
      <c r="D290" t="s">
        <v>59</v>
      </c>
      <c r="E290">
        <v>4</v>
      </c>
      <c r="F290" t="s">
        <v>223</v>
      </c>
      <c r="G290" t="s">
        <v>312</v>
      </c>
      <c r="H290" t="s">
        <v>313</v>
      </c>
      <c r="I290" t="s">
        <v>212</v>
      </c>
      <c r="J290" t="s">
        <v>213</v>
      </c>
      <c r="K290" t="s">
        <v>149</v>
      </c>
      <c r="L290" t="s">
        <v>214</v>
      </c>
      <c r="M290" t="s">
        <v>224</v>
      </c>
      <c r="N290" t="s">
        <v>215</v>
      </c>
      <c r="O290" s="57">
        <v>46297.55741898148</v>
      </c>
      <c r="P290" s="57">
        <v>46299.337106481478</v>
      </c>
      <c r="Q290">
        <v>69403086</v>
      </c>
      <c r="S290">
        <v>146372103472</v>
      </c>
      <c r="T290" t="s">
        <v>2479</v>
      </c>
      <c r="U290" t="s">
        <v>2480</v>
      </c>
      <c r="V290" t="s">
        <v>2481</v>
      </c>
      <c r="Z290">
        <v>109.826308</v>
      </c>
      <c r="AA290">
        <v>-7.2068159999999999</v>
      </c>
      <c r="AB290" t="s">
        <v>2482</v>
      </c>
      <c r="AC290" t="s">
        <v>235</v>
      </c>
      <c r="AL290" t="s">
        <v>217</v>
      </c>
      <c r="AM290" t="s">
        <v>2483</v>
      </c>
      <c r="AN290" t="s">
        <v>6</v>
      </c>
      <c r="AO290" s="57">
        <v>46063.559317129628</v>
      </c>
      <c r="AP290" s="57">
        <v>46299.333333333336</v>
      </c>
      <c r="AR290" t="s">
        <v>18</v>
      </c>
      <c r="AS290" t="s">
        <v>219</v>
      </c>
      <c r="AT290" t="s">
        <v>230</v>
      </c>
      <c r="AV290" t="s">
        <v>226</v>
      </c>
      <c r="AW290" t="s">
        <v>881</v>
      </c>
      <c r="AX290" t="s">
        <v>222</v>
      </c>
      <c r="BA290" s="57">
        <v>46299.333333333336</v>
      </c>
      <c r="BB290" t="s">
        <v>2483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e">
        <f>VLOOKUP(H290,Sheet2!$A$1:$B$270,2,FALSE)</f>
        <v>#N/A</v>
      </c>
    </row>
    <row r="291" spans="1:61">
      <c r="A291">
        <v>290</v>
      </c>
      <c r="B291">
        <v>1002620594</v>
      </c>
      <c r="C291">
        <v>3</v>
      </c>
      <c r="D291" t="s">
        <v>59</v>
      </c>
      <c r="E291">
        <v>4</v>
      </c>
      <c r="F291" t="s">
        <v>223</v>
      </c>
      <c r="G291" t="s">
        <v>312</v>
      </c>
      <c r="H291" t="s">
        <v>313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46297.737199074072</v>
      </c>
      <c r="P291" s="57">
        <v>46298.520266203705</v>
      </c>
      <c r="Q291">
        <v>69403360</v>
      </c>
      <c r="S291">
        <v>146372103614</v>
      </c>
      <c r="T291" t="s">
        <v>2484</v>
      </c>
      <c r="U291" t="s">
        <v>2485</v>
      </c>
      <c r="V291" t="s">
        <v>2486</v>
      </c>
      <c r="Z291">
        <v>109.69005300000001</v>
      </c>
      <c r="AA291">
        <v>-7.3946990000000001</v>
      </c>
      <c r="AB291" t="s">
        <v>2487</v>
      </c>
      <c r="AC291" t="s">
        <v>235</v>
      </c>
      <c r="AL291" t="s">
        <v>217</v>
      </c>
      <c r="AM291" t="s">
        <v>2488</v>
      </c>
      <c r="AN291" t="s">
        <v>6</v>
      </c>
      <c r="AO291" s="57">
        <v>46063.746817129628</v>
      </c>
      <c r="AP291" s="57">
        <v>46299.333333333336</v>
      </c>
      <c r="AR291" t="s">
        <v>218</v>
      </c>
      <c r="AS291" t="s">
        <v>219</v>
      </c>
      <c r="AT291" t="s">
        <v>230</v>
      </c>
      <c r="AU291">
        <v>20261003</v>
      </c>
      <c r="AV291" t="s">
        <v>221</v>
      </c>
      <c r="AW291" t="s">
        <v>878</v>
      </c>
      <c r="AX291" t="s">
        <v>222</v>
      </c>
      <c r="BA291" s="57">
        <v>46299.333333333336</v>
      </c>
      <c r="BB291" t="s">
        <v>2488</v>
      </c>
      <c r="BC291">
        <v>2026</v>
      </c>
      <c r="BD291">
        <v>10</v>
      </c>
      <c r="BE291">
        <v>3</v>
      </c>
      <c r="BF291" s="6">
        <f t="shared" si="12"/>
        <v>46298</v>
      </c>
      <c r="BG291">
        <f t="shared" si="13"/>
        <v>-1.3333333333357587</v>
      </c>
      <c r="BH291" t="str">
        <f t="shared" si="14"/>
        <v>COMPLY</v>
      </c>
      <c r="BI291" t="e">
        <f>VLOOKUP(H291,Sheet2!$A$1:$B$270,2,FALSE)</f>
        <v>#N/A</v>
      </c>
    </row>
    <row r="292" spans="1:61">
      <c r="A292">
        <v>291</v>
      </c>
      <c r="B292">
        <v>1002621300</v>
      </c>
      <c r="C292">
        <v>3</v>
      </c>
      <c r="D292" t="s">
        <v>59</v>
      </c>
      <c r="E292">
        <v>4</v>
      </c>
      <c r="F292" t="s">
        <v>223</v>
      </c>
      <c r="G292" t="s">
        <v>312</v>
      </c>
      <c r="H292" t="s">
        <v>313</v>
      </c>
      <c r="I292" t="s">
        <v>212</v>
      </c>
      <c r="J292" t="s">
        <v>213</v>
      </c>
      <c r="K292" t="s">
        <v>149</v>
      </c>
      <c r="L292" t="s">
        <v>214</v>
      </c>
      <c r="M292" t="s">
        <v>238</v>
      </c>
      <c r="N292" t="s">
        <v>215</v>
      </c>
      <c r="O292" s="57">
        <v>46299.437893518516</v>
      </c>
      <c r="P292" s="57">
        <v>46299.438900462963</v>
      </c>
      <c r="Q292">
        <v>69403803</v>
      </c>
      <c r="S292">
        <v>146372103619</v>
      </c>
      <c r="T292" t="s">
        <v>2489</v>
      </c>
      <c r="U292" t="s">
        <v>2490</v>
      </c>
      <c r="V292" t="s">
        <v>2491</v>
      </c>
      <c r="Z292">
        <v>109.675855</v>
      </c>
      <c r="AA292">
        <v>-7.4377750000000002</v>
      </c>
      <c r="AB292" t="s">
        <v>2492</v>
      </c>
      <c r="AC292" t="s">
        <v>235</v>
      </c>
      <c r="AL292" t="s">
        <v>217</v>
      </c>
      <c r="AM292" t="s">
        <v>2493</v>
      </c>
      <c r="AN292" t="s">
        <v>6</v>
      </c>
      <c r="AO292" s="57">
        <v>46122.444444444445</v>
      </c>
      <c r="AP292" s="57">
        <v>46300.458333333336</v>
      </c>
      <c r="AR292" t="s">
        <v>239</v>
      </c>
      <c r="AS292" t="s">
        <v>219</v>
      </c>
      <c r="AT292" t="s">
        <v>230</v>
      </c>
      <c r="AV292" t="s">
        <v>238</v>
      </c>
      <c r="AW292" t="s">
        <v>879</v>
      </c>
      <c r="AX292" t="s">
        <v>222</v>
      </c>
      <c r="BA292" s="57">
        <v>46300.458333333336</v>
      </c>
      <c r="BB292" t="s">
        <v>2493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:61">
      <c r="A293">
        <v>292</v>
      </c>
      <c r="B293">
        <v>1002621299</v>
      </c>
      <c r="C293">
        <v>3</v>
      </c>
      <c r="D293" t="s">
        <v>59</v>
      </c>
      <c r="E293">
        <v>4</v>
      </c>
      <c r="F293" t="s">
        <v>223</v>
      </c>
      <c r="G293" t="s">
        <v>312</v>
      </c>
      <c r="H293" t="s">
        <v>313</v>
      </c>
      <c r="I293" t="s">
        <v>212</v>
      </c>
      <c r="J293" t="s">
        <v>213</v>
      </c>
      <c r="K293" t="s">
        <v>149</v>
      </c>
      <c r="L293" t="s">
        <v>214</v>
      </c>
      <c r="M293" t="s">
        <v>238</v>
      </c>
      <c r="N293" t="s">
        <v>215</v>
      </c>
      <c r="O293" s="57">
        <v>46299.437395833331</v>
      </c>
      <c r="P293" s="57">
        <v>46299.438958333332</v>
      </c>
      <c r="Q293">
        <v>69403803</v>
      </c>
      <c r="S293">
        <v>146372103619</v>
      </c>
      <c r="T293" t="s">
        <v>2489</v>
      </c>
      <c r="U293" t="s">
        <v>2490</v>
      </c>
      <c r="V293" t="s">
        <v>2491</v>
      </c>
      <c r="Z293">
        <v>109.675855</v>
      </c>
      <c r="AA293">
        <v>-7.4377750000000002</v>
      </c>
      <c r="AB293" t="s">
        <v>2492</v>
      </c>
      <c r="AC293" t="s">
        <v>235</v>
      </c>
      <c r="AL293" t="s">
        <v>217</v>
      </c>
      <c r="AM293" t="s">
        <v>2493</v>
      </c>
      <c r="AN293" t="s">
        <v>6</v>
      </c>
      <c r="AO293" s="57">
        <v>46122.444444444445</v>
      </c>
      <c r="AP293" s="57">
        <v>46300.458333333336</v>
      </c>
      <c r="AR293" t="s">
        <v>239</v>
      </c>
      <c r="AS293" t="s">
        <v>219</v>
      </c>
      <c r="AT293" t="s">
        <v>230</v>
      </c>
      <c r="AV293" t="s">
        <v>238</v>
      </c>
      <c r="AW293" t="s">
        <v>879</v>
      </c>
      <c r="AX293" t="s">
        <v>222</v>
      </c>
      <c r="BA293" s="57">
        <v>46300.458333333336</v>
      </c>
      <c r="BB293" t="s">
        <v>2493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e">
        <f>VLOOKUP(H293,Sheet2!$A$1:$B$270,2,FALSE)</f>
        <v>#N/A</v>
      </c>
    </row>
    <row r="294" spans="1:61">
      <c r="A294">
        <v>293</v>
      </c>
      <c r="B294">
        <v>1002616994</v>
      </c>
      <c r="C294">
        <v>3</v>
      </c>
      <c r="D294" t="s">
        <v>59</v>
      </c>
      <c r="E294">
        <v>4</v>
      </c>
      <c r="F294" t="s">
        <v>223</v>
      </c>
      <c r="G294" t="s">
        <v>312</v>
      </c>
      <c r="H294" t="s">
        <v>313</v>
      </c>
      <c r="I294" t="s">
        <v>212</v>
      </c>
      <c r="J294" t="s">
        <v>213</v>
      </c>
      <c r="K294" t="s">
        <v>149</v>
      </c>
      <c r="M294" t="s">
        <v>538</v>
      </c>
      <c r="N294" t="s">
        <v>215</v>
      </c>
      <c r="O294" s="57">
        <v>46296.380231481482</v>
      </c>
      <c r="P294" s="57">
        <v>46299.801863425928</v>
      </c>
      <c r="Q294">
        <v>69402039</v>
      </c>
      <c r="S294">
        <v>146372102975</v>
      </c>
      <c r="T294" t="s">
        <v>1243</v>
      </c>
      <c r="U294" t="s">
        <v>1244</v>
      </c>
      <c r="Z294">
        <v>109.814038</v>
      </c>
      <c r="AA294">
        <v>-7.2282590000000004</v>
      </c>
      <c r="AB294" t="s">
        <v>1245</v>
      </c>
      <c r="AC294" t="s">
        <v>283</v>
      </c>
      <c r="AO294" s="57">
        <v>46032.392847222225</v>
      </c>
      <c r="AR294" t="s">
        <v>6</v>
      </c>
      <c r="AS294" t="s">
        <v>219</v>
      </c>
      <c r="AT294" t="s">
        <v>230</v>
      </c>
      <c r="AV294" t="s">
        <v>2494</v>
      </c>
      <c r="AW294" t="s">
        <v>861</v>
      </c>
      <c r="AX294" t="s">
        <v>222</v>
      </c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e">
        <f>VLOOKUP(H294,Sheet2!$A$1:$B$270,2,FALSE)</f>
        <v>#N/A</v>
      </c>
    </row>
    <row r="295" spans="1:61">
      <c r="A295">
        <v>294</v>
      </c>
      <c r="B295">
        <v>1002618109</v>
      </c>
      <c r="C295">
        <v>3</v>
      </c>
      <c r="D295" t="s">
        <v>59</v>
      </c>
      <c r="E295">
        <v>4</v>
      </c>
      <c r="F295" t="s">
        <v>223</v>
      </c>
      <c r="G295" t="s">
        <v>312</v>
      </c>
      <c r="H295" t="s">
        <v>810</v>
      </c>
      <c r="I295" t="s">
        <v>212</v>
      </c>
      <c r="J295" t="s">
        <v>213</v>
      </c>
      <c r="K295" t="s">
        <v>149</v>
      </c>
      <c r="L295" t="s">
        <v>214</v>
      </c>
      <c r="M295" t="s">
        <v>1406</v>
      </c>
      <c r="N295" t="s">
        <v>215</v>
      </c>
      <c r="O295" s="57">
        <v>46296.603182870371</v>
      </c>
      <c r="P295" s="57">
        <v>46298.39167824074</v>
      </c>
      <c r="Q295">
        <v>69402437</v>
      </c>
      <c r="S295">
        <v>143395109400</v>
      </c>
      <c r="T295" t="s">
        <v>1246</v>
      </c>
      <c r="U295" t="s">
        <v>1247</v>
      </c>
      <c r="V295" t="s">
        <v>1248</v>
      </c>
      <c r="Z295">
        <v>109.429236</v>
      </c>
      <c r="AA295">
        <v>-7.4728000000000003</v>
      </c>
      <c r="AB295" t="s">
        <v>1249</v>
      </c>
      <c r="AC295" t="s">
        <v>235</v>
      </c>
      <c r="AL295" t="s">
        <v>217</v>
      </c>
      <c r="AM295" t="s">
        <v>1250</v>
      </c>
      <c r="AN295" t="s">
        <v>6</v>
      </c>
      <c r="AO295" s="57">
        <v>46032.611296296294</v>
      </c>
      <c r="AP295" s="57">
        <v>46297.458333333336</v>
      </c>
      <c r="AR295" t="s">
        <v>14</v>
      </c>
      <c r="AS295" t="s">
        <v>817</v>
      </c>
      <c r="AT295" t="s">
        <v>230</v>
      </c>
      <c r="AV295" t="s">
        <v>2495</v>
      </c>
      <c r="AW295" t="s">
        <v>236</v>
      </c>
      <c r="AX295" t="s">
        <v>222</v>
      </c>
      <c r="BA295" s="57">
        <v>46297.458333333336</v>
      </c>
      <c r="BB295" t="s">
        <v>1250</v>
      </c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e">
        <f>VLOOKUP(H295,Sheet2!$A$1:$B$270,2,FALSE)</f>
        <v>#N/A</v>
      </c>
    </row>
    <row r="296" spans="1:61">
      <c r="A296">
        <v>295</v>
      </c>
      <c r="B296">
        <v>1002620767</v>
      </c>
      <c r="C296">
        <v>3</v>
      </c>
      <c r="D296" t="s">
        <v>59</v>
      </c>
      <c r="E296">
        <v>4</v>
      </c>
      <c r="F296" t="s">
        <v>223</v>
      </c>
      <c r="G296" t="s">
        <v>312</v>
      </c>
      <c r="H296" t="s">
        <v>810</v>
      </c>
      <c r="I296" t="s">
        <v>212</v>
      </c>
      <c r="J296" t="s">
        <v>213</v>
      </c>
      <c r="K296" t="s">
        <v>149</v>
      </c>
      <c r="M296" t="s">
        <v>76</v>
      </c>
      <c r="N296" t="s">
        <v>215</v>
      </c>
      <c r="O296" s="57">
        <v>46298.391689814816</v>
      </c>
      <c r="P296" s="57">
        <v>46298.520254629628</v>
      </c>
      <c r="Q296">
        <v>69402437</v>
      </c>
      <c r="S296">
        <v>143395109097</v>
      </c>
      <c r="T296" t="s">
        <v>1246</v>
      </c>
      <c r="U296" t="s">
        <v>2496</v>
      </c>
      <c r="V296" t="s">
        <v>2497</v>
      </c>
      <c r="Z296">
        <v>109.42910000000001</v>
      </c>
      <c r="AA296">
        <v>-7.4748000000000001</v>
      </c>
      <c r="AB296" t="s">
        <v>1249</v>
      </c>
      <c r="AC296" t="s">
        <v>283</v>
      </c>
      <c r="AL296" t="s">
        <v>217</v>
      </c>
      <c r="AM296" t="s">
        <v>2498</v>
      </c>
      <c r="AN296" t="s">
        <v>6</v>
      </c>
      <c r="AO296" s="57">
        <v>46091.392974537041</v>
      </c>
      <c r="AR296" t="s">
        <v>218</v>
      </c>
      <c r="AS296" t="s">
        <v>817</v>
      </c>
      <c r="AT296" t="s">
        <v>230</v>
      </c>
      <c r="AU296">
        <v>20261003</v>
      </c>
      <c r="AV296" t="s">
        <v>221</v>
      </c>
      <c r="AW296" t="s">
        <v>540</v>
      </c>
      <c r="AX296" t="s">
        <v>222</v>
      </c>
      <c r="BA296" s="57">
        <v>46298.291666666664</v>
      </c>
      <c r="BB296" t="s">
        <v>2498</v>
      </c>
      <c r="BC296">
        <v>2026</v>
      </c>
      <c r="BD296">
        <v>10</v>
      </c>
      <c r="BE296">
        <v>3</v>
      </c>
      <c r="BF296" s="6">
        <f t="shared" si="12"/>
        <v>46298</v>
      </c>
      <c r="BG296">
        <f t="shared" si="13"/>
        <v>-0.29166666666424135</v>
      </c>
      <c r="BH296" t="str">
        <f t="shared" si="14"/>
        <v>COMPLY</v>
      </c>
      <c r="BI296" t="e">
        <f>VLOOKUP(H296,Sheet2!$A$1:$B$270,2,FALSE)</f>
        <v>#N/A</v>
      </c>
    </row>
    <row r="297" spans="1:61">
      <c r="A297">
        <v>296</v>
      </c>
      <c r="B297">
        <v>1002620719</v>
      </c>
      <c r="C297">
        <v>3</v>
      </c>
      <c r="D297" t="s">
        <v>59</v>
      </c>
      <c r="E297">
        <v>4</v>
      </c>
      <c r="F297" t="s">
        <v>223</v>
      </c>
      <c r="G297" t="s">
        <v>312</v>
      </c>
      <c r="H297" t="s">
        <v>810</v>
      </c>
      <c r="I297" t="s">
        <v>212</v>
      </c>
      <c r="J297" t="s">
        <v>213</v>
      </c>
      <c r="K297" t="s">
        <v>149</v>
      </c>
      <c r="M297" t="s">
        <v>238</v>
      </c>
      <c r="N297" t="s">
        <v>563</v>
      </c>
      <c r="O297" s="57">
        <v>46298.458067129628</v>
      </c>
      <c r="P297" s="57">
        <v>46298.61650462963</v>
      </c>
      <c r="Q297">
        <v>69383033</v>
      </c>
      <c r="S297">
        <v>143395109096</v>
      </c>
      <c r="T297" t="s">
        <v>1816</v>
      </c>
      <c r="U297" t="s">
        <v>2499</v>
      </c>
      <c r="V297" t="s">
        <v>2500</v>
      </c>
      <c r="Z297">
        <v>109.4292489</v>
      </c>
      <c r="AA297">
        <v>-7.4727779999999999</v>
      </c>
      <c r="AB297" t="s">
        <v>1819</v>
      </c>
      <c r="AC297" t="s">
        <v>284</v>
      </c>
      <c r="AL297" t="s">
        <v>217</v>
      </c>
      <c r="AM297" t="s">
        <v>2501</v>
      </c>
      <c r="AN297" t="s">
        <v>6</v>
      </c>
      <c r="AO297" s="57">
        <v>46091.465949074074</v>
      </c>
      <c r="AP297" s="57">
        <v>46300.625</v>
      </c>
      <c r="AR297" t="s">
        <v>239</v>
      </c>
      <c r="AS297" t="s">
        <v>817</v>
      </c>
      <c r="AT297" t="s">
        <v>230</v>
      </c>
      <c r="AV297" t="s">
        <v>238</v>
      </c>
      <c r="AW297" t="s">
        <v>2502</v>
      </c>
      <c r="AX297" t="s">
        <v>222</v>
      </c>
      <c r="BA297" s="57">
        <v>46300.625</v>
      </c>
      <c r="BB297" t="s">
        <v>2501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e">
        <f>VLOOKUP(H297,Sheet2!$A$1:$B$270,2,FALSE)</f>
        <v>#N/A</v>
      </c>
    </row>
    <row r="298" spans="1:61">
      <c r="A298">
        <v>297</v>
      </c>
      <c r="B298">
        <v>1002617796</v>
      </c>
      <c r="C298">
        <v>3</v>
      </c>
      <c r="D298" t="s">
        <v>59</v>
      </c>
      <c r="E298">
        <v>4</v>
      </c>
      <c r="F298" t="s">
        <v>241</v>
      </c>
      <c r="G298" t="s">
        <v>821</v>
      </c>
      <c r="H298" t="s">
        <v>822</v>
      </c>
      <c r="I298" t="s">
        <v>212</v>
      </c>
      <c r="J298" t="s">
        <v>213</v>
      </c>
      <c r="K298" t="s">
        <v>149</v>
      </c>
      <c r="L298" t="s">
        <v>214</v>
      </c>
      <c r="M298" t="s">
        <v>76</v>
      </c>
      <c r="N298" t="s">
        <v>215</v>
      </c>
      <c r="O298" s="57">
        <v>46296.5469212963</v>
      </c>
      <c r="P298" s="57">
        <v>46298.422037037039</v>
      </c>
      <c r="Q298">
        <v>69402334</v>
      </c>
      <c r="S298">
        <v>141373127777</v>
      </c>
      <c r="T298" t="s">
        <v>1251</v>
      </c>
      <c r="U298" t="s">
        <v>1252</v>
      </c>
      <c r="V298" t="s">
        <v>1253</v>
      </c>
      <c r="Z298">
        <v>109.89601554506299</v>
      </c>
      <c r="AA298">
        <v>-7.3708467491672396</v>
      </c>
      <c r="AB298" t="s">
        <v>1254</v>
      </c>
      <c r="AC298" t="s">
        <v>235</v>
      </c>
      <c r="AL298" t="s">
        <v>217</v>
      </c>
      <c r="AM298" t="s">
        <v>1255</v>
      </c>
      <c r="AN298" t="s">
        <v>6</v>
      </c>
      <c r="AO298" s="57">
        <v>46032.559305555558</v>
      </c>
      <c r="AP298" s="57">
        <v>46297.458333333336</v>
      </c>
      <c r="AR298" t="s">
        <v>218</v>
      </c>
      <c r="AS298" t="s">
        <v>219</v>
      </c>
      <c r="AT298" t="s">
        <v>342</v>
      </c>
      <c r="AU298">
        <v>20261003</v>
      </c>
      <c r="AV298" t="s">
        <v>221</v>
      </c>
      <c r="AW298" t="s">
        <v>856</v>
      </c>
      <c r="AX298" t="s">
        <v>222</v>
      </c>
      <c r="BA298" s="57">
        <v>46297.458333333336</v>
      </c>
      <c r="BB298" t="s">
        <v>1255</v>
      </c>
      <c r="BC298">
        <v>2026</v>
      </c>
      <c r="BD298">
        <v>10</v>
      </c>
      <c r="BE298">
        <v>3</v>
      </c>
      <c r="BF298" s="6">
        <f t="shared" si="12"/>
        <v>46298</v>
      </c>
      <c r="BG298">
        <f t="shared" si="13"/>
        <v>0.54166666666424135</v>
      </c>
      <c r="BH298" t="str">
        <f t="shared" si="14"/>
        <v>COMPLY</v>
      </c>
      <c r="BI298" t="e">
        <f>VLOOKUP(H298,Sheet2!$A$1:$B$270,2,FALSE)</f>
        <v>#N/A</v>
      </c>
    </row>
    <row r="299" spans="1:61">
      <c r="A299">
        <v>298</v>
      </c>
      <c r="B299">
        <v>1002619644</v>
      </c>
      <c r="C299">
        <v>3</v>
      </c>
      <c r="D299" t="s">
        <v>49</v>
      </c>
      <c r="E299">
        <v>4</v>
      </c>
      <c r="F299" t="s">
        <v>249</v>
      </c>
      <c r="G299" t="s">
        <v>2503</v>
      </c>
      <c r="H299" t="s">
        <v>2504</v>
      </c>
      <c r="I299" t="s">
        <v>1563</v>
      </c>
      <c r="J299" t="s">
        <v>213</v>
      </c>
      <c r="K299" t="s">
        <v>149</v>
      </c>
      <c r="M299" t="s">
        <v>224</v>
      </c>
      <c r="N299" t="s">
        <v>1975</v>
      </c>
      <c r="O299" s="57">
        <v>46297.509780092594</v>
      </c>
      <c r="P299" s="57">
        <v>46297.703125</v>
      </c>
      <c r="Q299">
        <v>69402999</v>
      </c>
      <c r="S299">
        <v>146279106157</v>
      </c>
      <c r="T299" t="s">
        <v>2505</v>
      </c>
      <c r="U299" t="s">
        <v>2506</v>
      </c>
      <c r="V299" t="s">
        <v>2507</v>
      </c>
      <c r="Z299">
        <v>109.74981699999999</v>
      </c>
      <c r="AA299">
        <v>-6.9168570000000003</v>
      </c>
      <c r="AB299" t="s">
        <v>2021</v>
      </c>
      <c r="AC299" t="s">
        <v>1980</v>
      </c>
      <c r="AL299" t="s">
        <v>217</v>
      </c>
      <c r="AM299" t="s">
        <v>2021</v>
      </c>
      <c r="AN299" t="s">
        <v>6</v>
      </c>
      <c r="AO299" s="57">
        <v>46063.517928240741</v>
      </c>
      <c r="AR299" t="s">
        <v>18</v>
      </c>
      <c r="AS299" t="s">
        <v>219</v>
      </c>
      <c r="AT299" t="s">
        <v>230</v>
      </c>
      <c r="AV299" t="s">
        <v>226</v>
      </c>
      <c r="AW299" t="s">
        <v>1451</v>
      </c>
      <c r="AX299" t="s">
        <v>222</v>
      </c>
      <c r="BA299" s="57">
        <v>46297.583333333336</v>
      </c>
      <c r="BB299" t="s">
        <v>2021</v>
      </c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e">
        <f>VLOOKUP(H299,Sheet2!$A$1:$B$270,2,FALSE)</f>
        <v>#N/A</v>
      </c>
    </row>
    <row r="300" spans="1:61">
      <c r="A300">
        <v>299</v>
      </c>
      <c r="B300">
        <v>1002619427</v>
      </c>
      <c r="C300">
        <v>3</v>
      </c>
      <c r="D300" t="s">
        <v>49</v>
      </c>
      <c r="E300">
        <v>4</v>
      </c>
      <c r="F300" t="s">
        <v>249</v>
      </c>
      <c r="G300" t="s">
        <v>2503</v>
      </c>
      <c r="H300" t="s">
        <v>2504</v>
      </c>
      <c r="I300" t="s">
        <v>212</v>
      </c>
      <c r="J300" t="s">
        <v>213</v>
      </c>
      <c r="K300" t="s">
        <v>149</v>
      </c>
      <c r="M300" t="s">
        <v>76</v>
      </c>
      <c r="N300" t="s">
        <v>215</v>
      </c>
      <c r="O300" s="57">
        <v>46297.453460648147</v>
      </c>
      <c r="P300" s="57">
        <v>46297.533946759257</v>
      </c>
      <c r="Q300">
        <v>69401596</v>
      </c>
      <c r="S300">
        <v>146279106155</v>
      </c>
      <c r="T300" t="s">
        <v>2508</v>
      </c>
      <c r="U300" t="s">
        <v>2509</v>
      </c>
      <c r="V300" t="s">
        <v>2510</v>
      </c>
      <c r="Z300">
        <v>109.699314</v>
      </c>
      <c r="AA300">
        <v>-6.922612</v>
      </c>
      <c r="AB300" t="s">
        <v>2511</v>
      </c>
      <c r="AC300" t="s">
        <v>283</v>
      </c>
      <c r="AL300" t="s">
        <v>217</v>
      </c>
      <c r="AM300" t="s">
        <v>2512</v>
      </c>
      <c r="AN300" t="s">
        <v>6</v>
      </c>
      <c r="AO300" s="57">
        <v>46063.455081018517</v>
      </c>
      <c r="AR300" t="s">
        <v>218</v>
      </c>
      <c r="AS300" t="s">
        <v>219</v>
      </c>
      <c r="AT300" t="s">
        <v>230</v>
      </c>
      <c r="AU300">
        <v>20261002</v>
      </c>
      <c r="AV300" t="s">
        <v>221</v>
      </c>
      <c r="AW300" t="s">
        <v>1562</v>
      </c>
      <c r="AX300" t="s">
        <v>222</v>
      </c>
      <c r="BA300" s="57">
        <v>46297.291666666664</v>
      </c>
      <c r="BB300" t="s">
        <v>2512</v>
      </c>
      <c r="BC300">
        <v>2026</v>
      </c>
      <c r="BD300">
        <v>10</v>
      </c>
      <c r="BE300">
        <v>2</v>
      </c>
      <c r="BF300" s="6">
        <f t="shared" si="12"/>
        <v>46297</v>
      </c>
      <c r="BG300">
        <f t="shared" si="13"/>
        <v>-0.29166666666424135</v>
      </c>
      <c r="BH300" t="str">
        <f t="shared" si="14"/>
        <v>COMPLY</v>
      </c>
      <c r="BI300" t="e">
        <f>VLOOKUP(H300,Sheet2!$A$1:$B$270,2,FALSE)</f>
        <v>#N/A</v>
      </c>
    </row>
    <row r="301" spans="1:61">
      <c r="A301">
        <v>300</v>
      </c>
      <c r="B301">
        <v>1002621460</v>
      </c>
      <c r="C301">
        <v>3</v>
      </c>
      <c r="D301" t="s">
        <v>49</v>
      </c>
      <c r="E301">
        <v>4</v>
      </c>
      <c r="F301" t="s">
        <v>249</v>
      </c>
      <c r="G301" t="s">
        <v>2503</v>
      </c>
      <c r="H301" t="s">
        <v>2504</v>
      </c>
      <c r="I301" t="s">
        <v>212</v>
      </c>
      <c r="J301" t="s">
        <v>213</v>
      </c>
      <c r="K301" t="s">
        <v>149</v>
      </c>
      <c r="L301" t="s">
        <v>214</v>
      </c>
      <c r="M301" t="s">
        <v>238</v>
      </c>
      <c r="N301" t="s">
        <v>215</v>
      </c>
      <c r="O301" s="57">
        <v>46299.644895833335</v>
      </c>
      <c r="P301" s="57">
        <v>46299.645844907405</v>
      </c>
      <c r="Q301">
        <v>69403943</v>
      </c>
      <c r="S301">
        <v>146279106175</v>
      </c>
      <c r="T301" t="s">
        <v>2513</v>
      </c>
      <c r="U301" t="s">
        <v>2514</v>
      </c>
      <c r="V301" t="s">
        <v>2515</v>
      </c>
      <c r="Z301">
        <v>109.7709814</v>
      </c>
      <c r="AA301">
        <v>-6.9033647</v>
      </c>
      <c r="AB301" t="s">
        <v>2516</v>
      </c>
      <c r="AC301" t="s">
        <v>235</v>
      </c>
      <c r="AL301" t="s">
        <v>217</v>
      </c>
      <c r="AM301" t="s">
        <v>2517</v>
      </c>
      <c r="AN301" t="s">
        <v>6</v>
      </c>
      <c r="AO301" s="57">
        <v>46122.65283564815</v>
      </c>
      <c r="AP301" s="57">
        <v>46300.625</v>
      </c>
      <c r="AR301" t="s">
        <v>239</v>
      </c>
      <c r="AS301" t="s">
        <v>219</v>
      </c>
      <c r="AT301" t="s">
        <v>230</v>
      </c>
      <c r="AV301" t="s">
        <v>238</v>
      </c>
      <c r="AW301" t="s">
        <v>2518</v>
      </c>
      <c r="AX301" t="s">
        <v>222</v>
      </c>
      <c r="BA301" s="57">
        <v>46300.625</v>
      </c>
      <c r="BB301" t="s">
        <v>2517</v>
      </c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e">
        <f>VLOOKUP(H301,Sheet2!$A$1:$B$270,2,FALSE)</f>
        <v>#N/A</v>
      </c>
    </row>
    <row r="302" spans="1:61">
      <c r="A302">
        <v>301</v>
      </c>
      <c r="B302">
        <v>1002620906</v>
      </c>
      <c r="C302">
        <v>3</v>
      </c>
      <c r="D302" t="s">
        <v>49</v>
      </c>
      <c r="E302">
        <v>4</v>
      </c>
      <c r="F302" t="s">
        <v>249</v>
      </c>
      <c r="G302" t="s">
        <v>249</v>
      </c>
      <c r="H302" t="s">
        <v>2519</v>
      </c>
      <c r="I302" t="s">
        <v>212</v>
      </c>
      <c r="J302" t="s">
        <v>213</v>
      </c>
      <c r="K302" t="s">
        <v>149</v>
      </c>
      <c r="L302" t="s">
        <v>214</v>
      </c>
      <c r="M302" t="s">
        <v>224</v>
      </c>
      <c r="N302" t="s">
        <v>215</v>
      </c>
      <c r="O302" s="57">
        <v>46298.499085648145</v>
      </c>
      <c r="P302" s="57">
        <v>46299.337777777779</v>
      </c>
      <c r="Q302">
        <v>69403556</v>
      </c>
      <c r="S302">
        <v>142202155134</v>
      </c>
      <c r="T302" t="s">
        <v>2520</v>
      </c>
      <c r="U302" t="s">
        <v>2521</v>
      </c>
      <c r="V302" t="s">
        <v>2522</v>
      </c>
      <c r="Z302">
        <v>109.664941</v>
      </c>
      <c r="AA302">
        <v>-6.9018560000000004</v>
      </c>
      <c r="AB302" t="s">
        <v>2523</v>
      </c>
      <c r="AC302" t="s">
        <v>235</v>
      </c>
      <c r="AL302" t="s">
        <v>217</v>
      </c>
      <c r="AM302" t="s">
        <v>2353</v>
      </c>
      <c r="AN302" t="s">
        <v>6</v>
      </c>
      <c r="AO302" s="57">
        <v>46091.517858796295</v>
      </c>
      <c r="AP302" s="57">
        <v>46299.333333333336</v>
      </c>
      <c r="AR302" t="s">
        <v>18</v>
      </c>
      <c r="AS302" t="s">
        <v>219</v>
      </c>
      <c r="AT302" t="s">
        <v>230</v>
      </c>
      <c r="AV302" t="s">
        <v>226</v>
      </c>
      <c r="AW302" t="s">
        <v>885</v>
      </c>
      <c r="AX302" t="s">
        <v>222</v>
      </c>
      <c r="BA302" s="57">
        <v>46299.333333333336</v>
      </c>
      <c r="BB302" t="s">
        <v>2353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e">
        <f>VLOOKUP(H302,Sheet2!$A$1:$B$270,2,FALSE)</f>
        <v>#N/A</v>
      </c>
    </row>
    <row r="303" spans="1:61">
      <c r="A303">
        <v>302</v>
      </c>
      <c r="B303">
        <v>1002619770</v>
      </c>
      <c r="C303">
        <v>3</v>
      </c>
      <c r="D303" t="s">
        <v>49</v>
      </c>
      <c r="E303">
        <v>4</v>
      </c>
      <c r="F303" t="s">
        <v>249</v>
      </c>
      <c r="G303" t="s">
        <v>537</v>
      </c>
      <c r="H303" t="s">
        <v>2524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46297.55741898148</v>
      </c>
      <c r="P303" s="57">
        <v>46298.607372685183</v>
      </c>
      <c r="Q303">
        <v>69403042</v>
      </c>
      <c r="S303">
        <v>142211111694</v>
      </c>
      <c r="T303" t="s">
        <v>2525</v>
      </c>
      <c r="U303" t="s">
        <v>2526</v>
      </c>
      <c r="V303" t="s">
        <v>2527</v>
      </c>
      <c r="Z303">
        <v>109.53072899999999</v>
      </c>
      <c r="AA303">
        <v>-6.9079259999999998</v>
      </c>
      <c r="AB303" t="s">
        <v>2528</v>
      </c>
      <c r="AC303" t="s">
        <v>235</v>
      </c>
      <c r="AL303" t="s">
        <v>217</v>
      </c>
      <c r="AM303" t="s">
        <v>1557</v>
      </c>
      <c r="AN303" t="s">
        <v>6</v>
      </c>
      <c r="AO303" s="57">
        <v>46063.559317129628</v>
      </c>
      <c r="AP303" s="57">
        <v>46298.458333333336</v>
      </c>
      <c r="AR303" t="s">
        <v>218</v>
      </c>
      <c r="AS303" t="s">
        <v>219</v>
      </c>
      <c r="AT303" t="s">
        <v>230</v>
      </c>
      <c r="AU303">
        <v>20261003</v>
      </c>
      <c r="AV303" t="s">
        <v>221</v>
      </c>
      <c r="AW303" t="s">
        <v>881</v>
      </c>
      <c r="AX303" t="s">
        <v>222</v>
      </c>
      <c r="BA303" s="57">
        <v>46298.458333333336</v>
      </c>
      <c r="BB303" t="s">
        <v>1557</v>
      </c>
      <c r="BC303">
        <v>2026</v>
      </c>
      <c r="BD303">
        <v>10</v>
      </c>
      <c r="BE303">
        <v>3</v>
      </c>
      <c r="BF303" s="6">
        <f t="shared" si="12"/>
        <v>46298</v>
      </c>
      <c r="BG303">
        <f t="shared" si="13"/>
        <v>-0.45833333333575865</v>
      </c>
      <c r="BH303" t="str">
        <f t="shared" si="14"/>
        <v>COMPLY</v>
      </c>
      <c r="BI303" t="e">
        <f>VLOOKUP(H303,Sheet2!$A$1:$B$270,2,FALSE)</f>
        <v>#N/A</v>
      </c>
    </row>
    <row r="304" spans="1:61">
      <c r="A304">
        <v>303</v>
      </c>
      <c r="B304">
        <v>1002619655</v>
      </c>
      <c r="C304">
        <v>3</v>
      </c>
      <c r="D304" t="s">
        <v>49</v>
      </c>
      <c r="E304">
        <v>4</v>
      </c>
      <c r="F304" t="s">
        <v>249</v>
      </c>
      <c r="G304" t="s">
        <v>537</v>
      </c>
      <c r="H304" t="s">
        <v>2529</v>
      </c>
      <c r="I304" t="s">
        <v>1563</v>
      </c>
      <c r="J304" t="s">
        <v>213</v>
      </c>
      <c r="K304" t="s">
        <v>149</v>
      </c>
      <c r="M304" t="s">
        <v>895</v>
      </c>
      <c r="N304" t="s">
        <v>1975</v>
      </c>
      <c r="O304" s="57">
        <v>46297.518935185188</v>
      </c>
      <c r="P304" s="57">
        <v>46297.704710648148</v>
      </c>
      <c r="Q304">
        <v>69403004</v>
      </c>
      <c r="S304">
        <v>142278112917</v>
      </c>
      <c r="T304" t="s">
        <v>2530</v>
      </c>
      <c r="U304" t="s">
        <v>2531</v>
      </c>
      <c r="V304" t="s">
        <v>2532</v>
      </c>
      <c r="Z304">
        <v>109.45214526688299</v>
      </c>
      <c r="AA304">
        <v>-6.8934250161883703</v>
      </c>
      <c r="AB304" t="s">
        <v>2021</v>
      </c>
      <c r="AC304" t="s">
        <v>1980</v>
      </c>
      <c r="AL304" t="s">
        <v>217</v>
      </c>
      <c r="AM304" t="s">
        <v>2021</v>
      </c>
      <c r="AN304" t="s">
        <v>6</v>
      </c>
      <c r="AO304" s="57">
        <v>46063.538553240738</v>
      </c>
      <c r="AR304" t="s">
        <v>886</v>
      </c>
      <c r="AS304" t="s">
        <v>219</v>
      </c>
      <c r="AT304" t="s">
        <v>230</v>
      </c>
      <c r="AV304" t="s">
        <v>896</v>
      </c>
      <c r="AW304" t="s">
        <v>1451</v>
      </c>
      <c r="AX304" t="s">
        <v>222</v>
      </c>
      <c r="BA304" s="57">
        <v>46297.875</v>
      </c>
      <c r="BB304" t="s">
        <v>2021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e">
        <f>VLOOKUP(H304,Sheet2!$A$1:$B$270,2,FALSE)</f>
        <v>#N/A</v>
      </c>
    </row>
    <row r="305" spans="1:61">
      <c r="A305">
        <v>304</v>
      </c>
      <c r="B305">
        <v>1002618034</v>
      </c>
      <c r="C305">
        <v>3</v>
      </c>
      <c r="D305" t="s">
        <v>49</v>
      </c>
      <c r="E305">
        <v>4</v>
      </c>
      <c r="F305" t="s">
        <v>249</v>
      </c>
      <c r="G305" t="s">
        <v>537</v>
      </c>
      <c r="H305" t="s">
        <v>2529</v>
      </c>
      <c r="I305" t="s">
        <v>1440</v>
      </c>
      <c r="J305" t="s">
        <v>213</v>
      </c>
      <c r="K305" t="s">
        <v>149</v>
      </c>
      <c r="M305" t="s">
        <v>1406</v>
      </c>
      <c r="N305" t="s">
        <v>1507</v>
      </c>
      <c r="O305" s="57">
        <v>46296.590138888889</v>
      </c>
      <c r="P305" s="57">
        <v>46297.484537037039</v>
      </c>
      <c r="Q305">
        <v>69402418</v>
      </c>
      <c r="R305">
        <v>2846130008</v>
      </c>
      <c r="S305">
        <v>142278112913</v>
      </c>
      <c r="T305" t="s">
        <v>2533</v>
      </c>
      <c r="U305" t="s">
        <v>2534</v>
      </c>
      <c r="V305" t="s">
        <v>2535</v>
      </c>
      <c r="Z305">
        <v>109.390857</v>
      </c>
      <c r="AA305">
        <v>-6.9057709000000003</v>
      </c>
      <c r="AB305" t="s">
        <v>2536</v>
      </c>
      <c r="AC305" t="s">
        <v>225</v>
      </c>
      <c r="AL305" t="s">
        <v>217</v>
      </c>
      <c r="AM305" t="s">
        <v>2537</v>
      </c>
      <c r="AN305" t="s">
        <v>6</v>
      </c>
      <c r="AO305" s="57">
        <v>46032.611296296294</v>
      </c>
      <c r="AR305" t="s">
        <v>14</v>
      </c>
      <c r="AS305" t="s">
        <v>219</v>
      </c>
      <c r="AT305" t="s">
        <v>230</v>
      </c>
      <c r="AV305" t="s">
        <v>2538</v>
      </c>
      <c r="AW305" t="s">
        <v>2539</v>
      </c>
      <c r="AX305" t="s">
        <v>222</v>
      </c>
      <c r="BA305" s="57">
        <v>46296.5</v>
      </c>
      <c r="BB305" t="s">
        <v>2537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e">
        <f>VLOOKUP(H305,Sheet2!$A$1:$B$270,2,FALSE)</f>
        <v>#N/A</v>
      </c>
    </row>
    <row r="306" spans="1:61">
      <c r="A306">
        <v>305</v>
      </c>
      <c r="B306">
        <v>1002619340</v>
      </c>
      <c r="C306">
        <v>3</v>
      </c>
      <c r="D306" t="s">
        <v>49</v>
      </c>
      <c r="E306">
        <v>4</v>
      </c>
      <c r="F306" t="s">
        <v>249</v>
      </c>
      <c r="G306" t="s">
        <v>537</v>
      </c>
      <c r="H306" t="s">
        <v>2529</v>
      </c>
      <c r="I306" t="s">
        <v>1440</v>
      </c>
      <c r="J306" t="s">
        <v>213</v>
      </c>
      <c r="K306" t="s">
        <v>149</v>
      </c>
      <c r="M306" t="s">
        <v>838</v>
      </c>
      <c r="N306" t="s">
        <v>1507</v>
      </c>
      <c r="O306" s="57">
        <v>46297.437847222223</v>
      </c>
      <c r="P306" s="57">
        <v>46297.47934027778</v>
      </c>
      <c r="Q306">
        <v>69402418</v>
      </c>
      <c r="R306">
        <v>2846130008</v>
      </c>
      <c r="S306">
        <v>142278112915</v>
      </c>
      <c r="T306" t="s">
        <v>2533</v>
      </c>
      <c r="U306" t="s">
        <v>2540</v>
      </c>
      <c r="V306" t="s">
        <v>2541</v>
      </c>
      <c r="Z306">
        <v>109.393399</v>
      </c>
      <c r="AA306">
        <v>-6.9057659999999998</v>
      </c>
      <c r="AB306" t="s">
        <v>2536</v>
      </c>
      <c r="AC306" t="s">
        <v>225</v>
      </c>
      <c r="AL306" t="s">
        <v>217</v>
      </c>
      <c r="AM306" t="s">
        <v>2542</v>
      </c>
      <c r="AN306" t="s">
        <v>6</v>
      </c>
      <c r="AO306" s="57">
        <v>46063.444386574076</v>
      </c>
      <c r="AR306" t="s">
        <v>14</v>
      </c>
      <c r="AS306" t="s">
        <v>219</v>
      </c>
      <c r="AT306" t="s">
        <v>230</v>
      </c>
      <c r="AV306" t="s">
        <v>839</v>
      </c>
      <c r="AW306" t="s">
        <v>2543</v>
      </c>
      <c r="AX306" t="s">
        <v>222</v>
      </c>
      <c r="BA306" s="57">
        <v>25569.291666666668</v>
      </c>
      <c r="BB306" t="s">
        <v>2542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e">
        <f>VLOOKUP(H306,Sheet2!$A$1:$B$270,2,FALSE)</f>
        <v>#N/A</v>
      </c>
    </row>
    <row r="307" spans="1:61">
      <c r="A307">
        <v>306</v>
      </c>
      <c r="B307">
        <v>1002619586</v>
      </c>
      <c r="C307">
        <v>3</v>
      </c>
      <c r="D307" t="s">
        <v>49</v>
      </c>
      <c r="E307">
        <v>4</v>
      </c>
      <c r="F307" t="s">
        <v>249</v>
      </c>
      <c r="G307" t="s">
        <v>537</v>
      </c>
      <c r="H307" t="s">
        <v>2529</v>
      </c>
      <c r="I307" t="s">
        <v>1440</v>
      </c>
      <c r="J307" t="s">
        <v>213</v>
      </c>
      <c r="K307" t="s">
        <v>149</v>
      </c>
      <c r="M307" t="s">
        <v>76</v>
      </c>
      <c r="N307" t="s">
        <v>1507</v>
      </c>
      <c r="O307" s="57">
        <v>46297.484548611108</v>
      </c>
      <c r="P307" s="57">
        <v>46297.57953703704</v>
      </c>
      <c r="Q307">
        <v>69402418</v>
      </c>
      <c r="R307">
        <v>2846130008</v>
      </c>
      <c r="S307">
        <v>142278112755</v>
      </c>
      <c r="T307" t="s">
        <v>2533</v>
      </c>
      <c r="U307" t="s">
        <v>2540</v>
      </c>
      <c r="V307" t="s">
        <v>2544</v>
      </c>
      <c r="Z307">
        <v>109.393399</v>
      </c>
      <c r="AA307">
        <v>-6.9057659999999998</v>
      </c>
      <c r="AB307" t="s">
        <v>2536</v>
      </c>
      <c r="AC307" t="s">
        <v>225</v>
      </c>
      <c r="AL307" t="s">
        <v>217</v>
      </c>
      <c r="AM307" t="s">
        <v>2542</v>
      </c>
      <c r="AN307" t="s">
        <v>6</v>
      </c>
      <c r="AO307" s="57">
        <v>46063.486087962963</v>
      </c>
      <c r="AR307" t="s">
        <v>218</v>
      </c>
      <c r="AS307" t="s">
        <v>219</v>
      </c>
      <c r="AT307" t="s">
        <v>230</v>
      </c>
      <c r="AU307">
        <v>20261002</v>
      </c>
      <c r="AV307" t="s">
        <v>221</v>
      </c>
      <c r="AW307" t="s">
        <v>2539</v>
      </c>
      <c r="AX307" t="s">
        <v>222</v>
      </c>
      <c r="BA307" s="57">
        <v>25569.291666666668</v>
      </c>
      <c r="BB307" t="s">
        <v>2542</v>
      </c>
      <c r="BC307">
        <v>2026</v>
      </c>
      <c r="BD307">
        <v>10</v>
      </c>
      <c r="BE307">
        <v>2</v>
      </c>
      <c r="BF307" s="6">
        <f t="shared" si="12"/>
        <v>46297</v>
      </c>
      <c r="BG307">
        <f t="shared" si="13"/>
        <v>20727.708333333332</v>
      </c>
      <c r="BH307" t="str">
        <f t="shared" si="14"/>
        <v>NOT COMPLY</v>
      </c>
      <c r="BI307" t="e">
        <f>VLOOKUP(H307,Sheet2!$A$1:$B$270,2,FALSE)</f>
        <v>#N/A</v>
      </c>
    </row>
    <row r="308" spans="1:61">
      <c r="A308">
        <v>307</v>
      </c>
      <c r="B308">
        <v>1002618398</v>
      </c>
      <c r="C308">
        <v>3</v>
      </c>
      <c r="D308" t="s">
        <v>49</v>
      </c>
      <c r="E308">
        <v>4</v>
      </c>
      <c r="F308" t="s">
        <v>249</v>
      </c>
      <c r="G308" t="s">
        <v>537</v>
      </c>
      <c r="H308" t="s">
        <v>866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46296.651782407411</v>
      </c>
      <c r="P308" s="57">
        <v>46297.735312500001</v>
      </c>
      <c r="Q308">
        <v>69402551</v>
      </c>
      <c r="S308">
        <v>142213107480</v>
      </c>
      <c r="T308" t="s">
        <v>1256</v>
      </c>
      <c r="U308" t="s">
        <v>1257</v>
      </c>
      <c r="V308" t="s">
        <v>1258</v>
      </c>
      <c r="Z308">
        <v>109.260865</v>
      </c>
      <c r="AA308">
        <v>-7.074757</v>
      </c>
      <c r="AB308" t="s">
        <v>1259</v>
      </c>
      <c r="AC308" t="s">
        <v>235</v>
      </c>
      <c r="AL308" t="s">
        <v>217</v>
      </c>
      <c r="AM308" t="s">
        <v>1260</v>
      </c>
      <c r="AN308" t="s">
        <v>6</v>
      </c>
      <c r="AO308" s="57">
        <v>46032.653252314813</v>
      </c>
      <c r="AP308" s="57">
        <v>46297.625</v>
      </c>
      <c r="AR308" t="s">
        <v>218</v>
      </c>
      <c r="AS308" t="s">
        <v>867</v>
      </c>
      <c r="AT308" t="s">
        <v>230</v>
      </c>
      <c r="AU308">
        <v>20261002</v>
      </c>
      <c r="AV308" t="s">
        <v>221</v>
      </c>
      <c r="AW308" t="s">
        <v>882</v>
      </c>
      <c r="AX308" t="s">
        <v>222</v>
      </c>
      <c r="BA308" s="57">
        <v>46297.625</v>
      </c>
      <c r="BB308" t="s">
        <v>1260</v>
      </c>
      <c r="BC308">
        <v>2026</v>
      </c>
      <c r="BD308">
        <v>10</v>
      </c>
      <c r="BE308">
        <v>2</v>
      </c>
      <c r="BF308" s="6">
        <f t="shared" si="12"/>
        <v>46297</v>
      </c>
      <c r="BG308">
        <f t="shared" si="13"/>
        <v>-0.625</v>
      </c>
      <c r="BH308" t="str">
        <f t="shared" si="14"/>
        <v>COMPLY</v>
      </c>
      <c r="BI308" t="e">
        <f>VLOOKUP(H308,Sheet2!$A$1:$B$270,2,FALSE)</f>
        <v>#N/A</v>
      </c>
    </row>
    <row r="309" spans="1:61">
      <c r="A309">
        <v>308</v>
      </c>
      <c r="B309">
        <v>1002617123</v>
      </c>
      <c r="C309">
        <v>3</v>
      </c>
      <c r="D309" t="s">
        <v>59</v>
      </c>
      <c r="E309">
        <v>4</v>
      </c>
      <c r="F309" t="s">
        <v>223</v>
      </c>
      <c r="G309" t="s">
        <v>844</v>
      </c>
      <c r="H309" t="s">
        <v>868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46296.401087962964</v>
      </c>
      <c r="P309" s="57">
        <v>46296.659687500003</v>
      </c>
      <c r="Q309">
        <v>69402096</v>
      </c>
      <c r="S309">
        <v>146394105462</v>
      </c>
      <c r="T309" t="s">
        <v>1261</v>
      </c>
      <c r="U309" t="s">
        <v>1262</v>
      </c>
      <c r="V309" t="s">
        <v>1263</v>
      </c>
      <c r="Z309">
        <v>109.36051447203801</v>
      </c>
      <c r="AA309">
        <v>-7.3363168771240703</v>
      </c>
      <c r="AB309" t="s">
        <v>1264</v>
      </c>
      <c r="AC309" t="s">
        <v>235</v>
      </c>
      <c r="AL309" t="s">
        <v>217</v>
      </c>
      <c r="AM309" t="s">
        <v>1265</v>
      </c>
      <c r="AN309" t="s">
        <v>6</v>
      </c>
      <c r="AO309" s="57">
        <v>46032.413738425923</v>
      </c>
      <c r="AP309" s="57">
        <v>46297.333333333336</v>
      </c>
      <c r="AR309" t="s">
        <v>218</v>
      </c>
      <c r="AS309" t="s">
        <v>869</v>
      </c>
      <c r="AT309" t="s">
        <v>230</v>
      </c>
      <c r="AU309">
        <v>20261001</v>
      </c>
      <c r="AV309" t="s">
        <v>221</v>
      </c>
      <c r="AW309" t="s">
        <v>880</v>
      </c>
      <c r="AX309" t="s">
        <v>222</v>
      </c>
      <c r="BA309" s="57">
        <v>46297.333333333336</v>
      </c>
      <c r="BB309" t="s">
        <v>1265</v>
      </c>
      <c r="BC309">
        <v>2026</v>
      </c>
      <c r="BD309">
        <v>10</v>
      </c>
      <c r="BE309">
        <v>1</v>
      </c>
      <c r="BF309" s="6">
        <f t="shared" si="12"/>
        <v>46296</v>
      </c>
      <c r="BG309">
        <f t="shared" si="13"/>
        <v>-1.3333333333357587</v>
      </c>
      <c r="BH309" t="str">
        <f t="shared" si="14"/>
        <v>COMPLY</v>
      </c>
      <c r="BI309" t="e">
        <f>VLOOKUP(H309,Sheet2!$A$1:$B$270,2,FALSE)</f>
        <v>#N/A</v>
      </c>
    </row>
    <row r="310" spans="1:61">
      <c r="A310">
        <v>309</v>
      </c>
      <c r="B310">
        <v>1002619139</v>
      </c>
      <c r="C310">
        <v>3</v>
      </c>
      <c r="D310" t="s">
        <v>59</v>
      </c>
      <c r="E310">
        <v>4</v>
      </c>
      <c r="F310" t="s">
        <v>223</v>
      </c>
      <c r="G310" t="s">
        <v>844</v>
      </c>
      <c r="H310" t="s">
        <v>2545</v>
      </c>
      <c r="I310" t="s">
        <v>1440</v>
      </c>
      <c r="J310" t="s">
        <v>213</v>
      </c>
      <c r="K310" t="s">
        <v>149</v>
      </c>
      <c r="M310" t="s">
        <v>1406</v>
      </c>
      <c r="N310" t="s">
        <v>1507</v>
      </c>
      <c r="O310" s="57">
        <v>46297.396319444444</v>
      </c>
      <c r="P310" s="57">
        <v>46297.605312500003</v>
      </c>
      <c r="Q310">
        <v>69402761</v>
      </c>
      <c r="S310">
        <v>143363107190</v>
      </c>
      <c r="T310" t="s">
        <v>2546</v>
      </c>
      <c r="U310" t="s">
        <v>2547</v>
      </c>
      <c r="V310" t="s">
        <v>2548</v>
      </c>
      <c r="Z310">
        <v>109.36990533141601</v>
      </c>
      <c r="AA310">
        <v>-7.3902613457029398</v>
      </c>
      <c r="AB310" t="s">
        <v>2549</v>
      </c>
      <c r="AC310" t="s">
        <v>284</v>
      </c>
      <c r="AL310" t="s">
        <v>217</v>
      </c>
      <c r="AM310" t="s">
        <v>2550</v>
      </c>
      <c r="AN310" t="s">
        <v>6</v>
      </c>
      <c r="AO310" s="57">
        <v>46063.403113425928</v>
      </c>
      <c r="AR310" t="s">
        <v>14</v>
      </c>
      <c r="AS310" t="s">
        <v>219</v>
      </c>
      <c r="AT310" t="s">
        <v>230</v>
      </c>
      <c r="AV310" t="s">
        <v>2551</v>
      </c>
      <c r="AW310" t="s">
        <v>2552</v>
      </c>
      <c r="AX310" t="s">
        <v>222</v>
      </c>
      <c r="BA310" s="57">
        <v>46297.895833333336</v>
      </c>
      <c r="BB310" t="s">
        <v>2550</v>
      </c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e">
        <f>VLOOKUP(H310,Sheet2!$A$1:$B$270,2,FALSE)</f>
        <v>#N/A</v>
      </c>
    </row>
    <row r="311" spans="1:61">
      <c r="A311">
        <v>310</v>
      </c>
      <c r="B311">
        <v>1002620022</v>
      </c>
      <c r="C311">
        <v>3</v>
      </c>
      <c r="D311" t="s">
        <v>59</v>
      </c>
      <c r="E311">
        <v>4</v>
      </c>
      <c r="F311" t="s">
        <v>223</v>
      </c>
      <c r="G311" t="s">
        <v>844</v>
      </c>
      <c r="H311" t="s">
        <v>2545</v>
      </c>
      <c r="I311" t="s">
        <v>1440</v>
      </c>
      <c r="J311" t="s">
        <v>213</v>
      </c>
      <c r="K311" t="s">
        <v>149</v>
      </c>
      <c r="M311" t="s">
        <v>76</v>
      </c>
      <c r="N311" t="s">
        <v>1507</v>
      </c>
      <c r="O311" s="57">
        <v>46297.605324074073</v>
      </c>
      <c r="P311" s="57">
        <v>46298.367719907408</v>
      </c>
      <c r="Q311">
        <v>69402761</v>
      </c>
      <c r="S311">
        <v>143363107462</v>
      </c>
      <c r="T311" t="s">
        <v>2546</v>
      </c>
      <c r="U311" t="s">
        <v>2553</v>
      </c>
      <c r="V311" t="s">
        <v>2554</v>
      </c>
      <c r="Z311">
        <v>109.38176900000001</v>
      </c>
      <c r="AA311">
        <v>-7.3945970000000001</v>
      </c>
      <c r="AB311" t="s">
        <v>2549</v>
      </c>
      <c r="AC311" t="s">
        <v>284</v>
      </c>
      <c r="AL311" t="s">
        <v>217</v>
      </c>
      <c r="AM311" t="s">
        <v>2555</v>
      </c>
      <c r="AN311" t="s">
        <v>6</v>
      </c>
      <c r="AO311" s="57">
        <v>46063.61105324074</v>
      </c>
      <c r="AR311" t="s">
        <v>218</v>
      </c>
      <c r="AS311" t="s">
        <v>219</v>
      </c>
      <c r="AT311" t="s">
        <v>230</v>
      </c>
      <c r="AU311">
        <v>20261003</v>
      </c>
      <c r="AV311" t="s">
        <v>221</v>
      </c>
      <c r="AW311" t="s">
        <v>2252</v>
      </c>
      <c r="AX311" t="s">
        <v>222</v>
      </c>
      <c r="BA311" s="57">
        <v>25569.291666666668</v>
      </c>
      <c r="BB311" t="s">
        <v>2555</v>
      </c>
      <c r="BC311">
        <v>2026</v>
      </c>
      <c r="BD311">
        <v>10</v>
      </c>
      <c r="BE311">
        <v>3</v>
      </c>
      <c r="BF311" s="6">
        <f t="shared" si="12"/>
        <v>46298</v>
      </c>
      <c r="BG311">
        <f t="shared" si="13"/>
        <v>20728.708333333332</v>
      </c>
      <c r="BH311" t="str">
        <f t="shared" si="14"/>
        <v>NOT COMPLY</v>
      </c>
      <c r="BI311" t="e">
        <f>VLOOKUP(H311,Sheet2!$A$1:$B$270,2,FALSE)</f>
        <v>#N/A</v>
      </c>
    </row>
    <row r="312" spans="1:61">
      <c r="A312">
        <v>311</v>
      </c>
      <c r="B312">
        <v>1002620790</v>
      </c>
      <c r="C312">
        <v>3</v>
      </c>
      <c r="D312" t="s">
        <v>59</v>
      </c>
      <c r="E312">
        <v>4</v>
      </c>
      <c r="F312" t="s">
        <v>223</v>
      </c>
      <c r="G312" t="s">
        <v>844</v>
      </c>
      <c r="H312" t="s">
        <v>2545</v>
      </c>
      <c r="I312" t="s">
        <v>212</v>
      </c>
      <c r="J312" t="s">
        <v>213</v>
      </c>
      <c r="K312" t="s">
        <v>149</v>
      </c>
      <c r="L312" t="s">
        <v>214</v>
      </c>
      <c r="M312" t="s">
        <v>76</v>
      </c>
      <c r="N312" t="s">
        <v>215</v>
      </c>
      <c r="O312" s="57">
        <v>46298.407372685186</v>
      </c>
      <c r="P312" s="57">
        <v>46298.631886574076</v>
      </c>
      <c r="Q312">
        <v>69403497</v>
      </c>
      <c r="S312">
        <v>143363107600</v>
      </c>
      <c r="T312" t="s">
        <v>2556</v>
      </c>
      <c r="U312" t="s">
        <v>2557</v>
      </c>
      <c r="V312" t="s">
        <v>2558</v>
      </c>
      <c r="Z312">
        <v>109.350436981461</v>
      </c>
      <c r="AA312">
        <v>-7.3811161566138397</v>
      </c>
      <c r="AB312" t="s">
        <v>2559</v>
      </c>
      <c r="AC312" t="s">
        <v>235</v>
      </c>
      <c r="AL312" t="s">
        <v>217</v>
      </c>
      <c r="AM312" t="s">
        <v>2560</v>
      </c>
      <c r="AN312" t="s">
        <v>6</v>
      </c>
      <c r="AO312" s="57">
        <v>46091.413935185185</v>
      </c>
      <c r="AP312" s="57">
        <v>46299.458333333336</v>
      </c>
      <c r="AR312" t="s">
        <v>218</v>
      </c>
      <c r="AS312" t="s">
        <v>219</v>
      </c>
      <c r="AT312" t="s">
        <v>230</v>
      </c>
      <c r="AU312">
        <v>20261003</v>
      </c>
      <c r="AV312" t="s">
        <v>221</v>
      </c>
      <c r="AW312" t="s">
        <v>928</v>
      </c>
      <c r="AX312" t="s">
        <v>222</v>
      </c>
      <c r="BA312" s="57">
        <v>46299.458333333336</v>
      </c>
      <c r="BB312" t="s">
        <v>2560</v>
      </c>
      <c r="BC312">
        <v>2026</v>
      </c>
      <c r="BD312">
        <v>10</v>
      </c>
      <c r="BE312">
        <v>3</v>
      </c>
      <c r="BF312" s="6">
        <f t="shared" si="12"/>
        <v>46298</v>
      </c>
      <c r="BG312">
        <f t="shared" si="13"/>
        <v>-1.4583333333357587</v>
      </c>
      <c r="BH312" t="str">
        <f t="shared" si="14"/>
        <v>COMPLY</v>
      </c>
      <c r="BI312" t="e">
        <f>VLOOKUP(H312,Sheet2!$A$1:$B$270,2,FALSE)</f>
        <v>#N/A</v>
      </c>
    </row>
    <row r="313" spans="1:61">
      <c r="A313">
        <v>312</v>
      </c>
      <c r="B313">
        <v>1002621485</v>
      </c>
      <c r="C313">
        <v>3</v>
      </c>
      <c r="D313" t="s">
        <v>59</v>
      </c>
      <c r="E313">
        <v>4</v>
      </c>
      <c r="F313" t="s">
        <v>223</v>
      </c>
      <c r="G313" t="s">
        <v>844</v>
      </c>
      <c r="H313" t="s">
        <v>2545</v>
      </c>
      <c r="I313" t="s">
        <v>212</v>
      </c>
      <c r="J313" t="s">
        <v>213</v>
      </c>
      <c r="K313" t="s">
        <v>149</v>
      </c>
      <c r="L313" t="s">
        <v>214</v>
      </c>
      <c r="M313" t="s">
        <v>238</v>
      </c>
      <c r="N313" t="s">
        <v>215</v>
      </c>
      <c r="O313" s="57">
        <v>46299.681655092594</v>
      </c>
      <c r="P313" s="57">
        <v>46299.683344907404</v>
      </c>
      <c r="Q313">
        <v>69403964</v>
      </c>
      <c r="S313">
        <v>143363107711</v>
      </c>
      <c r="T313" t="s">
        <v>2561</v>
      </c>
      <c r="U313" t="s">
        <v>2562</v>
      </c>
      <c r="V313" t="s">
        <v>2563</v>
      </c>
      <c r="Z313">
        <v>109.333882</v>
      </c>
      <c r="AA313">
        <v>-7.3542860000000001</v>
      </c>
      <c r="AB313" t="s">
        <v>2564</v>
      </c>
      <c r="AC313" t="s">
        <v>235</v>
      </c>
      <c r="AL313" t="s">
        <v>217</v>
      </c>
      <c r="AM313" t="s">
        <v>2565</v>
      </c>
      <c r="AN313" t="s">
        <v>6</v>
      </c>
      <c r="AO313" s="57">
        <v>46122.684537037036</v>
      </c>
      <c r="AP313" s="57">
        <v>46302.458333333336</v>
      </c>
      <c r="AR313" t="s">
        <v>239</v>
      </c>
      <c r="AS313" t="s">
        <v>219</v>
      </c>
      <c r="AT313" t="s">
        <v>230</v>
      </c>
      <c r="AV313" t="s">
        <v>238</v>
      </c>
      <c r="AW313" t="s">
        <v>885</v>
      </c>
      <c r="AX313" t="s">
        <v>222</v>
      </c>
      <c r="BA313" s="57">
        <v>46302.458333333336</v>
      </c>
      <c r="BB313" t="s">
        <v>2565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e">
        <f>VLOOKUP(H313,Sheet2!$A$1:$B$270,2,FALSE)</f>
        <v>#N/A</v>
      </c>
    </row>
    <row r="314" spans="1:61">
      <c r="A314">
        <v>313</v>
      </c>
      <c r="B314">
        <v>1002621483</v>
      </c>
      <c r="C314">
        <v>3</v>
      </c>
      <c r="D314" t="s">
        <v>59</v>
      </c>
      <c r="E314">
        <v>4</v>
      </c>
      <c r="F314" t="s">
        <v>223</v>
      </c>
      <c r="G314" t="s">
        <v>844</v>
      </c>
      <c r="H314" t="s">
        <v>2545</v>
      </c>
      <c r="I314" t="s">
        <v>212</v>
      </c>
      <c r="J314" t="s">
        <v>213</v>
      </c>
      <c r="K314" t="s">
        <v>149</v>
      </c>
      <c r="L314" t="s">
        <v>214</v>
      </c>
      <c r="M314" t="s">
        <v>238</v>
      </c>
      <c r="N314" t="s">
        <v>215</v>
      </c>
      <c r="O314" s="57">
        <v>46299.682060185187</v>
      </c>
      <c r="P314" s="57">
        <v>46299.683425925927</v>
      </c>
      <c r="Q314">
        <v>69403964</v>
      </c>
      <c r="S314">
        <v>143363107711</v>
      </c>
      <c r="T314" t="s">
        <v>2561</v>
      </c>
      <c r="U314" t="s">
        <v>2562</v>
      </c>
      <c r="V314" t="s">
        <v>2563</v>
      </c>
      <c r="Z314">
        <v>109.333882</v>
      </c>
      <c r="AA314">
        <v>-7.3542860000000001</v>
      </c>
      <c r="AB314" t="s">
        <v>2564</v>
      </c>
      <c r="AC314" t="s">
        <v>235</v>
      </c>
      <c r="AL314" t="s">
        <v>217</v>
      </c>
      <c r="AM314" t="s">
        <v>2565</v>
      </c>
      <c r="AN314" t="s">
        <v>6</v>
      </c>
      <c r="AO314" s="57">
        <v>46122.684537037036</v>
      </c>
      <c r="AP314" s="57">
        <v>46302.458333333336</v>
      </c>
      <c r="AR314" t="s">
        <v>239</v>
      </c>
      <c r="AS314" t="s">
        <v>219</v>
      </c>
      <c r="AT314" t="s">
        <v>230</v>
      </c>
      <c r="AV314" t="s">
        <v>238</v>
      </c>
      <c r="AW314" t="s">
        <v>885</v>
      </c>
      <c r="AX314" t="s">
        <v>222</v>
      </c>
      <c r="BA314" s="57">
        <v>46302.458333333336</v>
      </c>
      <c r="BB314" t="s">
        <v>2565</v>
      </c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e">
        <f>VLOOKUP(H314,Sheet2!$A$1:$B$270,2,FALSE)</f>
        <v>#N/A</v>
      </c>
    </row>
    <row r="315" spans="1:61">
      <c r="A315">
        <v>314</v>
      </c>
      <c r="B315">
        <v>1002618704</v>
      </c>
      <c r="C315">
        <v>3</v>
      </c>
      <c r="D315" t="s">
        <v>49</v>
      </c>
      <c r="E315">
        <v>4</v>
      </c>
      <c r="F315" t="s">
        <v>249</v>
      </c>
      <c r="G315" t="s">
        <v>536</v>
      </c>
      <c r="H315" t="s">
        <v>855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46296.718518518515</v>
      </c>
      <c r="P315" s="57">
        <v>46298.510393518518</v>
      </c>
      <c r="Q315">
        <v>69402619</v>
      </c>
      <c r="S315">
        <v>146284107775</v>
      </c>
      <c r="T315" t="s">
        <v>1266</v>
      </c>
      <c r="U315" t="s">
        <v>1267</v>
      </c>
      <c r="V315" t="s">
        <v>1268</v>
      </c>
      <c r="Z315">
        <v>109.067885</v>
      </c>
      <c r="AA315">
        <v>-6.8762809999999996</v>
      </c>
      <c r="AB315" t="s">
        <v>1269</v>
      </c>
      <c r="AC315" t="s">
        <v>235</v>
      </c>
      <c r="AL315" t="s">
        <v>217</v>
      </c>
      <c r="AM315" t="s">
        <v>1270</v>
      </c>
      <c r="AN315" t="s">
        <v>6</v>
      </c>
      <c r="AO315" s="57">
        <v>46032.726099537038</v>
      </c>
      <c r="AP315" s="57">
        <v>46298.333333333336</v>
      </c>
      <c r="AR315" t="s">
        <v>218</v>
      </c>
      <c r="AS315" t="s">
        <v>219</v>
      </c>
      <c r="AT315" t="s">
        <v>230</v>
      </c>
      <c r="AU315">
        <v>20261003</v>
      </c>
      <c r="AV315" t="s">
        <v>221</v>
      </c>
      <c r="AW315" t="s">
        <v>879</v>
      </c>
      <c r="AX315" t="s">
        <v>222</v>
      </c>
      <c r="BA315" s="57">
        <v>46298.333333333336</v>
      </c>
      <c r="BB315" t="s">
        <v>1270</v>
      </c>
      <c r="BC315">
        <v>2026</v>
      </c>
      <c r="BD315">
        <v>10</v>
      </c>
      <c r="BE315">
        <v>3</v>
      </c>
      <c r="BF315" s="6">
        <f t="shared" si="12"/>
        <v>46298</v>
      </c>
      <c r="BG315">
        <f t="shared" si="13"/>
        <v>-0.33333333333575865</v>
      </c>
      <c r="BH315" t="str">
        <f t="shared" si="14"/>
        <v>COMPLY</v>
      </c>
      <c r="BI315" t="e">
        <f>VLOOKUP(H315,Sheet2!$A$1:$B$270,2,FALSE)</f>
        <v>#N/A</v>
      </c>
    </row>
    <row r="316" spans="1:61">
      <c r="A316">
        <v>315</v>
      </c>
      <c r="B316">
        <v>1002618417</v>
      </c>
      <c r="C316">
        <v>3</v>
      </c>
      <c r="D316" t="s">
        <v>49</v>
      </c>
      <c r="E316">
        <v>4</v>
      </c>
      <c r="F316" t="s">
        <v>249</v>
      </c>
      <c r="G316" t="s">
        <v>536</v>
      </c>
      <c r="H316" t="s">
        <v>858</v>
      </c>
      <c r="I316" t="s">
        <v>212</v>
      </c>
      <c r="J316" t="s">
        <v>213</v>
      </c>
      <c r="K316" t="s">
        <v>149</v>
      </c>
      <c r="M316" t="s">
        <v>279</v>
      </c>
      <c r="N316" t="s">
        <v>215</v>
      </c>
      <c r="O316" s="57">
        <v>46296.655844907407</v>
      </c>
      <c r="P316" s="57">
        <v>46298.614872685182</v>
      </c>
      <c r="Q316">
        <v>69402558</v>
      </c>
      <c r="S316">
        <v>146281108645</v>
      </c>
      <c r="T316" t="s">
        <v>1271</v>
      </c>
      <c r="U316" t="s">
        <v>1272</v>
      </c>
      <c r="V316" t="s">
        <v>2566</v>
      </c>
      <c r="Z316">
        <v>109.0351962</v>
      </c>
      <c r="AA316">
        <v>-7.2957374000000002</v>
      </c>
      <c r="AB316" t="s">
        <v>1273</v>
      </c>
      <c r="AC316" t="s">
        <v>225</v>
      </c>
      <c r="AL316" t="s">
        <v>217</v>
      </c>
      <c r="AM316" t="s">
        <v>2567</v>
      </c>
      <c r="AN316" t="s">
        <v>6</v>
      </c>
      <c r="AO316" s="57">
        <v>46032.694421296299</v>
      </c>
      <c r="AP316" s="57">
        <v>46298.625</v>
      </c>
      <c r="AR316" t="s">
        <v>239</v>
      </c>
      <c r="AS316" t="s">
        <v>859</v>
      </c>
      <c r="AT316" t="s">
        <v>230</v>
      </c>
      <c r="AV316" t="s">
        <v>2568</v>
      </c>
      <c r="AW316" t="s">
        <v>540</v>
      </c>
      <c r="AX316" t="s">
        <v>222</v>
      </c>
      <c r="BA316" s="57">
        <v>46298.625</v>
      </c>
      <c r="BB316" t="s">
        <v>2567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e">
        <f>VLOOKUP(H316,Sheet2!$A$1:$B$270,2,FALSE)</f>
        <v>#N/A</v>
      </c>
    </row>
    <row r="317" spans="1:61">
      <c r="A317">
        <v>316</v>
      </c>
      <c r="B317">
        <v>1002618251</v>
      </c>
      <c r="C317">
        <v>3</v>
      </c>
      <c r="D317" t="s">
        <v>49</v>
      </c>
      <c r="E317">
        <v>4</v>
      </c>
      <c r="F317" t="s">
        <v>249</v>
      </c>
      <c r="G317" t="s">
        <v>536</v>
      </c>
      <c r="H317" t="s">
        <v>858</v>
      </c>
      <c r="I317" t="s">
        <v>212</v>
      </c>
      <c r="J317" t="s">
        <v>213</v>
      </c>
      <c r="K317" t="s">
        <v>149</v>
      </c>
      <c r="M317" t="s">
        <v>279</v>
      </c>
      <c r="N317" t="s">
        <v>215</v>
      </c>
      <c r="O317" s="57">
        <v>46296.630312499998</v>
      </c>
      <c r="P317" s="57">
        <v>46298.616377314815</v>
      </c>
      <c r="Q317">
        <v>69402491</v>
      </c>
      <c r="S317">
        <v>146281108643</v>
      </c>
      <c r="T317" t="s">
        <v>1271</v>
      </c>
      <c r="U317" t="s">
        <v>1272</v>
      </c>
      <c r="V317" t="s">
        <v>2569</v>
      </c>
      <c r="Z317">
        <v>109.0351962</v>
      </c>
      <c r="AA317">
        <v>-7.2957374000000002</v>
      </c>
      <c r="AB317" t="s">
        <v>1273</v>
      </c>
      <c r="AC317" t="s">
        <v>225</v>
      </c>
      <c r="AL317" t="s">
        <v>217</v>
      </c>
      <c r="AM317" t="s">
        <v>2570</v>
      </c>
      <c r="AN317" t="s">
        <v>6</v>
      </c>
      <c r="AO317" s="57">
        <v>46032.632627314815</v>
      </c>
      <c r="AP317" s="57">
        <v>46298.625</v>
      </c>
      <c r="AR317" t="s">
        <v>239</v>
      </c>
      <c r="AS317" t="s">
        <v>859</v>
      </c>
      <c r="AT317" t="s">
        <v>230</v>
      </c>
      <c r="AV317" t="s">
        <v>2568</v>
      </c>
      <c r="AW317" t="s">
        <v>540</v>
      </c>
      <c r="AX317" t="s">
        <v>222</v>
      </c>
      <c r="BA317" s="57">
        <v>46298.625</v>
      </c>
      <c r="BB317" t="s">
        <v>2570</v>
      </c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e">
        <f>VLOOKUP(H317,Sheet2!$A$1:$B$270,2,FALSE)</f>
        <v>#N/A</v>
      </c>
    </row>
    <row r="318" spans="1:61">
      <c r="A318">
        <v>317</v>
      </c>
      <c r="B318">
        <v>1002618002</v>
      </c>
      <c r="C318">
        <v>3</v>
      </c>
      <c r="D318" t="s">
        <v>49</v>
      </c>
      <c r="E318">
        <v>4</v>
      </c>
      <c r="F318" t="s">
        <v>249</v>
      </c>
      <c r="G318" t="s">
        <v>872</v>
      </c>
      <c r="H318" t="s">
        <v>898</v>
      </c>
      <c r="I318" t="s">
        <v>212</v>
      </c>
      <c r="J318" t="s">
        <v>213</v>
      </c>
      <c r="K318" t="s">
        <v>149</v>
      </c>
      <c r="M318" t="s">
        <v>841</v>
      </c>
      <c r="N318" t="s">
        <v>900</v>
      </c>
      <c r="O318" s="57">
        <v>46296.586423611108</v>
      </c>
      <c r="P318" s="57">
        <v>46298.650590277779</v>
      </c>
      <c r="Q318">
        <v>69396047</v>
      </c>
      <c r="S318">
        <v>142203104994</v>
      </c>
      <c r="T318" t="s">
        <v>899</v>
      </c>
      <c r="U318" t="s">
        <v>1274</v>
      </c>
      <c r="V318" t="s">
        <v>1275</v>
      </c>
      <c r="Z318">
        <v>109.1015592</v>
      </c>
      <c r="AA318">
        <v>-6.8686486999999996</v>
      </c>
      <c r="AB318" t="s">
        <v>1276</v>
      </c>
      <c r="AC318" t="s">
        <v>225</v>
      </c>
      <c r="AL318" t="s">
        <v>217</v>
      </c>
      <c r="AM318" t="s">
        <v>1277</v>
      </c>
      <c r="AN318" t="s">
        <v>6</v>
      </c>
      <c r="AO318" s="57">
        <v>46032.590474537035</v>
      </c>
      <c r="AP318" s="57">
        <v>46298.333333333336</v>
      </c>
      <c r="AQ318" t="s">
        <v>840</v>
      </c>
      <c r="AR318" t="s">
        <v>842</v>
      </c>
      <c r="AS318" t="s">
        <v>219</v>
      </c>
      <c r="AT318" t="s">
        <v>230</v>
      </c>
      <c r="AV318" t="s">
        <v>2571</v>
      </c>
      <c r="AW318" t="s">
        <v>540</v>
      </c>
      <c r="AX318" t="s">
        <v>222</v>
      </c>
      <c r="BA318" s="57">
        <v>46298.333333333336</v>
      </c>
      <c r="BB318" t="s">
        <v>1277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e">
        <f>VLOOKUP(H318,Sheet2!$A$1:$B$270,2,FALSE)</f>
        <v>#N/A</v>
      </c>
    </row>
    <row r="319" spans="1:61">
      <c r="A319">
        <v>318</v>
      </c>
      <c r="B319">
        <v>1002617834</v>
      </c>
      <c r="C319">
        <v>3</v>
      </c>
      <c r="D319" t="s">
        <v>49</v>
      </c>
      <c r="E319">
        <v>4</v>
      </c>
      <c r="F319" t="s">
        <v>249</v>
      </c>
      <c r="G319" t="s">
        <v>872</v>
      </c>
      <c r="H319" t="s">
        <v>898</v>
      </c>
      <c r="I319" t="s">
        <v>212</v>
      </c>
      <c r="J319" t="s">
        <v>213</v>
      </c>
      <c r="K319" t="s">
        <v>149</v>
      </c>
      <c r="M319" t="s">
        <v>841</v>
      </c>
      <c r="N319" t="s">
        <v>900</v>
      </c>
      <c r="O319" s="57">
        <v>46296.557685185187</v>
      </c>
      <c r="P319" s="57">
        <v>46298.650057870371</v>
      </c>
      <c r="Q319">
        <v>69396047</v>
      </c>
      <c r="S319">
        <v>142203104993</v>
      </c>
      <c r="T319" t="s">
        <v>899</v>
      </c>
      <c r="U319" t="s">
        <v>901</v>
      </c>
      <c r="V319" t="s">
        <v>1278</v>
      </c>
      <c r="Z319">
        <v>109.1015592</v>
      </c>
      <c r="AA319">
        <v>-6.8686486999999996</v>
      </c>
      <c r="AB319" t="s">
        <v>1279</v>
      </c>
      <c r="AC319" t="s">
        <v>225</v>
      </c>
      <c r="AL319" t="s">
        <v>217</v>
      </c>
      <c r="AM319" t="s">
        <v>1277</v>
      </c>
      <c r="AN319" t="s">
        <v>6</v>
      </c>
      <c r="AO319" s="57">
        <v>46032.559305555558</v>
      </c>
      <c r="AP319" s="57">
        <v>46298.333333333336</v>
      </c>
      <c r="AQ319" t="s">
        <v>840</v>
      </c>
      <c r="AR319" t="s">
        <v>842</v>
      </c>
      <c r="AS319" t="s">
        <v>219</v>
      </c>
      <c r="AT319" t="s">
        <v>230</v>
      </c>
      <c r="AV319" t="s">
        <v>2572</v>
      </c>
      <c r="AW319" t="s">
        <v>540</v>
      </c>
      <c r="AX319" t="s">
        <v>222</v>
      </c>
      <c r="BA319" s="57">
        <v>46298.333333333336</v>
      </c>
      <c r="BB319" t="s">
        <v>1277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e">
        <f>VLOOKUP(H319,Sheet2!$A$1:$B$270,2,FALSE)</f>
        <v>#N/A</v>
      </c>
    </row>
    <row r="320" spans="1:61">
      <c r="A320">
        <v>319</v>
      </c>
      <c r="B320">
        <v>1002619976</v>
      </c>
      <c r="C320">
        <v>3</v>
      </c>
      <c r="D320" t="s">
        <v>49</v>
      </c>
      <c r="E320">
        <v>4</v>
      </c>
      <c r="F320" t="s">
        <v>249</v>
      </c>
      <c r="G320" t="s">
        <v>872</v>
      </c>
      <c r="H320" t="s">
        <v>2573</v>
      </c>
      <c r="I320" t="s">
        <v>212</v>
      </c>
      <c r="J320" t="s">
        <v>213</v>
      </c>
      <c r="K320" t="s">
        <v>149</v>
      </c>
      <c r="M320" t="s">
        <v>895</v>
      </c>
      <c r="N320" t="s">
        <v>215</v>
      </c>
      <c r="O320" s="57">
        <v>46297.59915509259</v>
      </c>
      <c r="P320" s="57">
        <v>46300.337094907409</v>
      </c>
      <c r="Q320">
        <v>69403140</v>
      </c>
      <c r="S320">
        <v>142212128257</v>
      </c>
      <c r="T320" t="s">
        <v>2574</v>
      </c>
      <c r="U320" t="s">
        <v>2575</v>
      </c>
      <c r="V320" t="s">
        <v>2576</v>
      </c>
      <c r="Z320">
        <v>109.1858625</v>
      </c>
      <c r="AA320">
        <v>-6.8979358</v>
      </c>
      <c r="AB320" t="s">
        <v>2577</v>
      </c>
      <c r="AC320" t="s">
        <v>225</v>
      </c>
      <c r="AL320" t="s">
        <v>217</v>
      </c>
      <c r="AM320" t="s">
        <v>2578</v>
      </c>
      <c r="AN320" t="s">
        <v>6</v>
      </c>
      <c r="AO320" s="57">
        <v>46063.61105324074</v>
      </c>
      <c r="AP320" s="57">
        <v>46300.333333333336</v>
      </c>
      <c r="AR320" t="s">
        <v>886</v>
      </c>
      <c r="AS320" t="s">
        <v>219</v>
      </c>
      <c r="AT320" t="s">
        <v>230</v>
      </c>
      <c r="AV320" t="s">
        <v>896</v>
      </c>
      <c r="AW320" t="s">
        <v>541</v>
      </c>
      <c r="AX320" t="s">
        <v>222</v>
      </c>
      <c r="BA320" s="57">
        <v>46300.333333333336</v>
      </c>
      <c r="BB320" t="s">
        <v>2578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:61">
      <c r="A321">
        <v>320</v>
      </c>
      <c r="B321">
        <v>1002617002</v>
      </c>
      <c r="C321">
        <v>3</v>
      </c>
      <c r="D321" t="s">
        <v>49</v>
      </c>
      <c r="E321">
        <v>4</v>
      </c>
      <c r="F321" t="s">
        <v>249</v>
      </c>
      <c r="G321" t="s">
        <v>872</v>
      </c>
      <c r="H321" t="s">
        <v>2573</v>
      </c>
      <c r="I321" t="s">
        <v>1440</v>
      </c>
      <c r="J321" t="s">
        <v>213</v>
      </c>
      <c r="K321" t="s">
        <v>149</v>
      </c>
      <c r="M321" t="s">
        <v>76</v>
      </c>
      <c r="N321" t="s">
        <v>1507</v>
      </c>
      <c r="O321" s="57">
        <v>46296.379699074074</v>
      </c>
      <c r="P321" s="57">
        <v>46296.623043981483</v>
      </c>
      <c r="Q321">
        <v>69402061</v>
      </c>
      <c r="S321">
        <v>142212128226</v>
      </c>
      <c r="T321" t="s">
        <v>2579</v>
      </c>
      <c r="U321" t="s">
        <v>2580</v>
      </c>
      <c r="V321" t="s">
        <v>2581</v>
      </c>
      <c r="Z321">
        <v>109.28596899999999</v>
      </c>
      <c r="AA321">
        <v>-6.957611</v>
      </c>
      <c r="AB321" t="s">
        <v>2582</v>
      </c>
      <c r="AC321" t="s">
        <v>225</v>
      </c>
      <c r="AL321" t="s">
        <v>217</v>
      </c>
      <c r="AM321" t="s">
        <v>2583</v>
      </c>
      <c r="AN321" t="s">
        <v>6</v>
      </c>
      <c r="AO321" s="57">
        <v>46032.392847222225</v>
      </c>
      <c r="AR321" t="s">
        <v>218</v>
      </c>
      <c r="AS321" t="s">
        <v>219</v>
      </c>
      <c r="AT321" t="s">
        <v>230</v>
      </c>
      <c r="AU321">
        <v>20261001</v>
      </c>
      <c r="AV321" t="s">
        <v>221</v>
      </c>
      <c r="AW321" t="s">
        <v>1451</v>
      </c>
      <c r="AX321" t="s">
        <v>222</v>
      </c>
      <c r="BA321" s="57">
        <v>46296.5</v>
      </c>
      <c r="BB321" t="s">
        <v>2583</v>
      </c>
      <c r="BC321">
        <v>2026</v>
      </c>
      <c r="BD321">
        <v>10</v>
      </c>
      <c r="BE321">
        <v>1</v>
      </c>
      <c r="BF321" s="6">
        <f t="shared" si="12"/>
        <v>46296</v>
      </c>
      <c r="BG321">
        <f t="shared" si="13"/>
        <v>-0.5</v>
      </c>
      <c r="BH321" t="str">
        <f t="shared" si="14"/>
        <v>COMPLY</v>
      </c>
      <c r="BI321" t="e">
        <f>VLOOKUP(H321,Sheet2!$A$1:$B$270,2,FALSE)</f>
        <v>#N/A</v>
      </c>
    </row>
    <row r="322" spans="1:61">
      <c r="A322">
        <v>321</v>
      </c>
      <c r="B322">
        <v>1002620302</v>
      </c>
      <c r="C322">
        <v>3</v>
      </c>
      <c r="D322" t="s">
        <v>49</v>
      </c>
      <c r="E322">
        <v>4</v>
      </c>
      <c r="F322" t="s">
        <v>249</v>
      </c>
      <c r="G322" t="s">
        <v>252</v>
      </c>
      <c r="H322" t="s">
        <v>2584</v>
      </c>
      <c r="I322" t="s">
        <v>1563</v>
      </c>
      <c r="J322" t="s">
        <v>213</v>
      </c>
      <c r="K322" t="s">
        <v>149</v>
      </c>
      <c r="M322" t="s">
        <v>895</v>
      </c>
      <c r="N322" t="s">
        <v>1975</v>
      </c>
      <c r="O322" s="57">
        <v>46297.653773148151</v>
      </c>
      <c r="P322" s="57">
        <v>46297.70884259259</v>
      </c>
      <c r="Q322">
        <v>69403265</v>
      </c>
      <c r="S322">
        <v>146282105638</v>
      </c>
      <c r="T322" t="s">
        <v>2585</v>
      </c>
      <c r="U322" t="s">
        <v>2586</v>
      </c>
      <c r="V322" t="s">
        <v>2587</v>
      </c>
      <c r="Z322">
        <v>109.18415782327099</v>
      </c>
      <c r="AA322">
        <v>-6.9465744428049101</v>
      </c>
      <c r="AB322" t="s">
        <v>2284</v>
      </c>
      <c r="AC322" t="s">
        <v>1980</v>
      </c>
      <c r="AL322" t="s">
        <v>217</v>
      </c>
      <c r="AM322" t="s">
        <v>2284</v>
      </c>
      <c r="AN322" t="s">
        <v>6</v>
      </c>
      <c r="AO322" s="57">
        <v>46063.663495370369</v>
      </c>
      <c r="AR322" t="s">
        <v>886</v>
      </c>
      <c r="AS322" t="s">
        <v>2588</v>
      </c>
      <c r="AT322" t="s">
        <v>230</v>
      </c>
      <c r="AV322" t="s">
        <v>896</v>
      </c>
      <c r="AW322" t="s">
        <v>1451</v>
      </c>
      <c r="AX322" t="s">
        <v>222</v>
      </c>
      <c r="BA322" s="57">
        <v>46298.895833333336</v>
      </c>
      <c r="BB322" t="s">
        <v>2284</v>
      </c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e">
        <f>VLOOKUP(H322,Sheet2!$A$1:$B$270,2,FALSE)</f>
        <v>#N/A</v>
      </c>
    </row>
    <row r="323" spans="1:61">
      <c r="A323">
        <v>322</v>
      </c>
      <c r="B323">
        <v>1002618011</v>
      </c>
      <c r="C323">
        <v>3</v>
      </c>
      <c r="D323" t="s">
        <v>49</v>
      </c>
      <c r="E323">
        <v>4</v>
      </c>
      <c r="F323" t="s">
        <v>249</v>
      </c>
      <c r="G323" t="s">
        <v>252</v>
      </c>
      <c r="H323" t="s">
        <v>795</v>
      </c>
      <c r="I323" t="s">
        <v>212</v>
      </c>
      <c r="J323" t="s">
        <v>213</v>
      </c>
      <c r="K323" t="s">
        <v>149</v>
      </c>
      <c r="L323" t="s">
        <v>214</v>
      </c>
      <c r="M323" t="s">
        <v>224</v>
      </c>
      <c r="N323" t="s">
        <v>215</v>
      </c>
      <c r="O323" s="57">
        <v>46296.586504629631</v>
      </c>
      <c r="P323" s="57">
        <v>46297.467604166668</v>
      </c>
      <c r="Q323">
        <v>69402401</v>
      </c>
      <c r="S323">
        <v>142206131448</v>
      </c>
      <c r="T323" t="s">
        <v>1280</v>
      </c>
      <c r="U323" t="s">
        <v>1281</v>
      </c>
      <c r="V323" t="s">
        <v>1282</v>
      </c>
      <c r="Z323">
        <v>109.150515</v>
      </c>
      <c r="AA323">
        <v>-7.1563602999999896</v>
      </c>
      <c r="AB323" t="s">
        <v>1283</v>
      </c>
      <c r="AC323" t="s">
        <v>235</v>
      </c>
      <c r="AL323" t="s">
        <v>217</v>
      </c>
      <c r="AM323" t="s">
        <v>1284</v>
      </c>
      <c r="AN323" t="s">
        <v>6</v>
      </c>
      <c r="AO323" s="57">
        <v>46032.590474537035</v>
      </c>
      <c r="AP323" s="57">
        <v>46297.458333333336</v>
      </c>
      <c r="AR323" t="s">
        <v>18</v>
      </c>
      <c r="AS323" t="s">
        <v>219</v>
      </c>
      <c r="AT323" t="s">
        <v>230</v>
      </c>
      <c r="AV323" t="s">
        <v>226</v>
      </c>
      <c r="AW323" t="s">
        <v>882</v>
      </c>
      <c r="AX323" t="s">
        <v>222</v>
      </c>
      <c r="BA323" s="57">
        <v>46297.458333333336</v>
      </c>
      <c r="BB323" t="s">
        <v>1284</v>
      </c>
      <c r="BF323" s="6" t="e">
        <f t="shared" si="15"/>
        <v>#NUM!</v>
      </c>
      <c r="BG323" t="e">
        <f t="shared" si="16"/>
        <v>#NUM!</v>
      </c>
      <c r="BH323" t="e">
        <f t="shared" si="17"/>
        <v>#NUM!</v>
      </c>
      <c r="BI323" t="e">
        <f>VLOOKUP(H323,Sheet2!$A$1:$B$270,2,FALSE)</f>
        <v>#N/A</v>
      </c>
    </row>
    <row r="324" spans="1:61">
      <c r="A324">
        <v>323</v>
      </c>
      <c r="B324">
        <v>1002619152</v>
      </c>
      <c r="C324">
        <v>3</v>
      </c>
      <c r="D324" t="s">
        <v>49</v>
      </c>
      <c r="E324">
        <v>4</v>
      </c>
      <c r="F324" t="s">
        <v>249</v>
      </c>
      <c r="G324" t="s">
        <v>252</v>
      </c>
      <c r="H324" t="s">
        <v>795</v>
      </c>
      <c r="I324" t="s">
        <v>212</v>
      </c>
      <c r="J324" t="s">
        <v>213</v>
      </c>
      <c r="K324" t="s">
        <v>149</v>
      </c>
      <c r="L324" t="s">
        <v>214</v>
      </c>
      <c r="M324" t="s">
        <v>224</v>
      </c>
      <c r="N324" t="s">
        <v>215</v>
      </c>
      <c r="O324" s="57">
        <v>46297.399710648147</v>
      </c>
      <c r="P324" s="57">
        <v>46298.337743055556</v>
      </c>
      <c r="Q324">
        <v>69402809</v>
      </c>
      <c r="S324">
        <v>142206131450</v>
      </c>
      <c r="T324" t="s">
        <v>2589</v>
      </c>
      <c r="U324" t="s">
        <v>2590</v>
      </c>
      <c r="V324" t="s">
        <v>2591</v>
      </c>
      <c r="Z324">
        <v>109.114648886024</v>
      </c>
      <c r="AA324">
        <v>-7.0479969286918296</v>
      </c>
      <c r="AB324" t="s">
        <v>2592</v>
      </c>
      <c r="AC324" t="s">
        <v>216</v>
      </c>
      <c r="AL324" t="s">
        <v>217</v>
      </c>
      <c r="AM324" t="s">
        <v>2593</v>
      </c>
      <c r="AN324" t="s">
        <v>6</v>
      </c>
      <c r="AO324" s="57">
        <v>46063.403113425928</v>
      </c>
      <c r="AP324" s="57">
        <v>46298.333333333336</v>
      </c>
      <c r="AR324" t="s">
        <v>18</v>
      </c>
      <c r="AS324" t="s">
        <v>219</v>
      </c>
      <c r="AT324" t="s">
        <v>230</v>
      </c>
      <c r="AV324" t="s">
        <v>226</v>
      </c>
      <c r="AW324" t="s">
        <v>878</v>
      </c>
      <c r="AX324" t="s">
        <v>222</v>
      </c>
      <c r="BA324" s="57">
        <v>46298.333333333336</v>
      </c>
      <c r="BB324" t="s">
        <v>2593</v>
      </c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e">
        <f>VLOOKUP(H324,Sheet2!$A$1:$B$270,2,FALSE)</f>
        <v>#N/A</v>
      </c>
    </row>
    <row r="325" spans="1:61">
      <c r="A325">
        <v>324</v>
      </c>
      <c r="B325">
        <v>1002621459</v>
      </c>
      <c r="C325">
        <v>3</v>
      </c>
      <c r="D325" t="s">
        <v>49</v>
      </c>
      <c r="E325">
        <v>4</v>
      </c>
      <c r="F325" t="s">
        <v>249</v>
      </c>
      <c r="G325" t="s">
        <v>252</v>
      </c>
      <c r="H325" t="s">
        <v>795</v>
      </c>
      <c r="I325" t="s">
        <v>212</v>
      </c>
      <c r="J325" t="s">
        <v>213</v>
      </c>
      <c r="K325" t="s">
        <v>149</v>
      </c>
      <c r="L325" t="s">
        <v>214</v>
      </c>
      <c r="M325" t="s">
        <v>238</v>
      </c>
      <c r="N325" t="s">
        <v>215</v>
      </c>
      <c r="O325" s="57">
        <v>46299.644837962966</v>
      </c>
      <c r="P325" s="57">
        <v>46299.646168981482</v>
      </c>
      <c r="Q325">
        <v>69403954</v>
      </c>
      <c r="S325">
        <v>142206131458</v>
      </c>
      <c r="T325" t="s">
        <v>2594</v>
      </c>
      <c r="U325" t="s">
        <v>2595</v>
      </c>
      <c r="V325" t="s">
        <v>2596</v>
      </c>
      <c r="Z325">
        <v>109.025111</v>
      </c>
      <c r="AA325">
        <v>-7.0946629999999997</v>
      </c>
      <c r="AB325" t="s">
        <v>2597</v>
      </c>
      <c r="AC325" t="s">
        <v>235</v>
      </c>
      <c r="AL325" t="s">
        <v>217</v>
      </c>
      <c r="AM325" t="s">
        <v>2598</v>
      </c>
      <c r="AN325" t="s">
        <v>6</v>
      </c>
      <c r="AO325" s="57">
        <v>46122.65283564815</v>
      </c>
      <c r="AP325" s="57">
        <v>46300.625</v>
      </c>
      <c r="AR325" t="s">
        <v>239</v>
      </c>
      <c r="AS325" t="s">
        <v>219</v>
      </c>
      <c r="AT325" t="s">
        <v>230</v>
      </c>
      <c r="AV325" t="s">
        <v>238</v>
      </c>
      <c r="AW325" t="s">
        <v>889</v>
      </c>
      <c r="AX325" t="s">
        <v>222</v>
      </c>
      <c r="BA325" s="57">
        <v>46300.625</v>
      </c>
      <c r="BB325" t="s">
        <v>2598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e">
        <f>VLOOKUP(H325,Sheet2!$A$1:$B$270,2,FALSE)</f>
        <v>#N/A</v>
      </c>
    </row>
    <row r="326" spans="1:61">
      <c r="A326">
        <v>325</v>
      </c>
      <c r="B326">
        <v>1002617816</v>
      </c>
      <c r="C326">
        <v>3</v>
      </c>
      <c r="D326" t="s">
        <v>55</v>
      </c>
      <c r="E326">
        <v>5</v>
      </c>
      <c r="F326" t="s">
        <v>260</v>
      </c>
      <c r="G326" t="s">
        <v>122</v>
      </c>
      <c r="H326" t="s">
        <v>290</v>
      </c>
      <c r="I326" t="s">
        <v>212</v>
      </c>
      <c r="J326" t="s">
        <v>213</v>
      </c>
      <c r="K326" t="s">
        <v>149</v>
      </c>
      <c r="M326" t="s">
        <v>76</v>
      </c>
      <c r="N326" t="s">
        <v>215</v>
      </c>
      <c r="O326" s="57">
        <v>46296.552708333336</v>
      </c>
      <c r="P326" s="57">
        <v>46296.767199074071</v>
      </c>
      <c r="Q326">
        <v>69395522</v>
      </c>
      <c r="S326">
        <v>152446246558</v>
      </c>
      <c r="T326" t="s">
        <v>902</v>
      </c>
      <c r="U326" t="s">
        <v>1285</v>
      </c>
      <c r="V326" t="s">
        <v>1286</v>
      </c>
      <c r="Z326">
        <v>112.56014380000001</v>
      </c>
      <c r="AA326">
        <v>-7.2764436999999997</v>
      </c>
      <c r="AB326" t="s">
        <v>903</v>
      </c>
      <c r="AC326" t="s">
        <v>216</v>
      </c>
      <c r="AL326" t="s">
        <v>217</v>
      </c>
      <c r="AM326" t="s">
        <v>1287</v>
      </c>
      <c r="AN326" t="s">
        <v>6</v>
      </c>
      <c r="AO326" s="57">
        <v>46032.559305555558</v>
      </c>
      <c r="AR326" t="s">
        <v>218</v>
      </c>
      <c r="AS326" t="s">
        <v>829</v>
      </c>
      <c r="AT326" t="s">
        <v>230</v>
      </c>
      <c r="AU326">
        <v>20261001</v>
      </c>
      <c r="AV326" t="s">
        <v>221</v>
      </c>
      <c r="AW326" t="s">
        <v>577</v>
      </c>
      <c r="AX326" t="s">
        <v>222</v>
      </c>
      <c r="BA326" s="57">
        <v>46296.291666666664</v>
      </c>
      <c r="BB326" t="s">
        <v>1287</v>
      </c>
      <c r="BC326">
        <v>2026</v>
      </c>
      <c r="BD326">
        <v>10</v>
      </c>
      <c r="BE326">
        <v>1</v>
      </c>
      <c r="BF326" s="6">
        <f t="shared" si="15"/>
        <v>46296</v>
      </c>
      <c r="BG326">
        <f t="shared" si="16"/>
        <v>-0.29166666666424135</v>
      </c>
      <c r="BH326" t="str">
        <f t="shared" si="17"/>
        <v>COMPLY</v>
      </c>
      <c r="BI326" t="str">
        <f>VLOOKUP(H326,Sheet2!$A$1:$B$270,2,FALSE)</f>
        <v>GRESIK</v>
      </c>
    </row>
    <row r="327" spans="1:61">
      <c r="A327">
        <v>326</v>
      </c>
      <c r="B327">
        <v>1002620964</v>
      </c>
      <c r="C327">
        <v>3</v>
      </c>
      <c r="D327" t="s">
        <v>55</v>
      </c>
      <c r="E327">
        <v>5</v>
      </c>
      <c r="F327" t="s">
        <v>260</v>
      </c>
      <c r="G327" t="s">
        <v>122</v>
      </c>
      <c r="H327" t="s">
        <v>345</v>
      </c>
      <c r="I327" t="s">
        <v>212</v>
      </c>
      <c r="J327" t="s">
        <v>213</v>
      </c>
      <c r="K327" t="s">
        <v>149</v>
      </c>
      <c r="L327" t="s">
        <v>214</v>
      </c>
      <c r="M327" t="s">
        <v>841</v>
      </c>
      <c r="N327" t="s">
        <v>215</v>
      </c>
      <c r="O327" s="57">
        <v>46298.544907407406</v>
      </c>
      <c r="P327" s="57">
        <v>46299.717523148145</v>
      </c>
      <c r="Q327">
        <v>69403582</v>
      </c>
      <c r="S327">
        <v>152421262601</v>
      </c>
      <c r="T327" t="s">
        <v>2599</v>
      </c>
      <c r="U327" t="s">
        <v>2600</v>
      </c>
      <c r="V327" t="s">
        <v>2601</v>
      </c>
      <c r="Z327">
        <v>112.6158289</v>
      </c>
      <c r="AA327">
        <v>-7.1516697000000002</v>
      </c>
      <c r="AB327" t="s">
        <v>2602</v>
      </c>
      <c r="AC327" t="s">
        <v>216</v>
      </c>
      <c r="AL327" t="s">
        <v>217</v>
      </c>
      <c r="AM327" t="s">
        <v>1489</v>
      </c>
      <c r="AN327" t="s">
        <v>6</v>
      </c>
      <c r="AO327" s="57">
        <v>46091.549074074072</v>
      </c>
      <c r="AP327" s="57">
        <v>46299.458333333336</v>
      </c>
      <c r="AQ327" t="s">
        <v>843</v>
      </c>
      <c r="AR327" t="s">
        <v>842</v>
      </c>
      <c r="AS327" t="s">
        <v>122</v>
      </c>
      <c r="AT327" t="s">
        <v>230</v>
      </c>
      <c r="AV327" t="s">
        <v>2603</v>
      </c>
      <c r="AW327" t="s">
        <v>928</v>
      </c>
      <c r="AX327" t="s">
        <v>222</v>
      </c>
      <c r="BA327" s="57">
        <v>46299.458333333336</v>
      </c>
      <c r="BB327" t="s">
        <v>1489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str">
        <f>VLOOKUP(H327,Sheet2!$A$1:$B$270,2,FALSE)</f>
        <v>GRESIK</v>
      </c>
    </row>
    <row r="328" spans="1:61">
      <c r="A328">
        <v>327</v>
      </c>
      <c r="B328">
        <v>1002619756</v>
      </c>
      <c r="C328">
        <v>3</v>
      </c>
      <c r="D328" t="s">
        <v>55</v>
      </c>
      <c r="E328">
        <v>5</v>
      </c>
      <c r="F328" t="s">
        <v>260</v>
      </c>
      <c r="G328" t="s">
        <v>122</v>
      </c>
      <c r="H328" t="s">
        <v>345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46297.555324074077</v>
      </c>
      <c r="P328" s="57">
        <v>46298.927268518521</v>
      </c>
      <c r="Q328">
        <v>69403037</v>
      </c>
      <c r="S328">
        <v>152421263061</v>
      </c>
      <c r="T328" t="s">
        <v>2604</v>
      </c>
      <c r="U328" t="s">
        <v>2605</v>
      </c>
      <c r="V328" t="s">
        <v>2606</v>
      </c>
      <c r="Z328">
        <v>112.656991034746</v>
      </c>
      <c r="AA328">
        <v>-7.1561525661912597</v>
      </c>
      <c r="AB328" t="s">
        <v>2607</v>
      </c>
      <c r="AC328" t="s">
        <v>216</v>
      </c>
      <c r="AL328" t="s">
        <v>217</v>
      </c>
      <c r="AM328" t="s">
        <v>1557</v>
      </c>
      <c r="AN328" t="s">
        <v>6</v>
      </c>
      <c r="AO328" s="57">
        <v>46063.559317129628</v>
      </c>
      <c r="AP328" s="57">
        <v>46298.458333333336</v>
      </c>
      <c r="AR328" t="s">
        <v>218</v>
      </c>
      <c r="AS328" t="s">
        <v>122</v>
      </c>
      <c r="AT328" t="s">
        <v>230</v>
      </c>
      <c r="AU328">
        <v>20261003</v>
      </c>
      <c r="AV328" t="s">
        <v>221</v>
      </c>
      <c r="AW328" t="s">
        <v>879</v>
      </c>
      <c r="AX328" t="s">
        <v>222</v>
      </c>
      <c r="BA328" s="57">
        <v>46298.458333333336</v>
      </c>
      <c r="BB328" t="s">
        <v>1557</v>
      </c>
      <c r="BC328">
        <v>2026</v>
      </c>
      <c r="BD328">
        <v>10</v>
      </c>
      <c r="BE328">
        <v>3</v>
      </c>
      <c r="BF328" s="6">
        <f t="shared" si="15"/>
        <v>46298</v>
      </c>
      <c r="BG328">
        <f t="shared" si="16"/>
        <v>-0.45833333333575865</v>
      </c>
      <c r="BH328" t="str">
        <f t="shared" si="17"/>
        <v>COMPLY</v>
      </c>
      <c r="BI328" t="str">
        <f>VLOOKUP(H328,Sheet2!$A$1:$B$270,2,FALSE)</f>
        <v>GRESIK</v>
      </c>
    </row>
    <row r="329" spans="1:61">
      <c r="A329">
        <v>328</v>
      </c>
      <c r="B329">
        <v>1002619741</v>
      </c>
      <c r="C329">
        <v>3</v>
      </c>
      <c r="D329" t="s">
        <v>55</v>
      </c>
      <c r="E329">
        <v>5</v>
      </c>
      <c r="F329" t="s">
        <v>260</v>
      </c>
      <c r="G329" t="s">
        <v>122</v>
      </c>
      <c r="H329" t="s">
        <v>345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46297.551168981481</v>
      </c>
      <c r="P329" s="57">
        <v>46298.669444444444</v>
      </c>
      <c r="Q329">
        <v>69403055</v>
      </c>
      <c r="S329">
        <v>152421261490</v>
      </c>
      <c r="T329" t="s">
        <v>2608</v>
      </c>
      <c r="U329" t="s">
        <v>2605</v>
      </c>
      <c r="V329" t="s">
        <v>2609</v>
      </c>
      <c r="Z329">
        <v>112.65705406665801</v>
      </c>
      <c r="AA329">
        <v>-7.1562443815661396</v>
      </c>
      <c r="AB329" t="s">
        <v>2610</v>
      </c>
      <c r="AC329" t="s">
        <v>216</v>
      </c>
      <c r="AL329" t="s">
        <v>217</v>
      </c>
      <c r="AM329" t="s">
        <v>1557</v>
      </c>
      <c r="AN329" t="s">
        <v>6</v>
      </c>
      <c r="AO329" s="57">
        <v>46063.559317129628</v>
      </c>
      <c r="AP329" s="57">
        <v>46298.458333333336</v>
      </c>
      <c r="AR329" t="s">
        <v>218</v>
      </c>
      <c r="AS329" t="s">
        <v>122</v>
      </c>
      <c r="AT329" t="s">
        <v>230</v>
      </c>
      <c r="AU329">
        <v>20261003</v>
      </c>
      <c r="AV329" t="s">
        <v>221</v>
      </c>
      <c r="AW329" t="s">
        <v>879</v>
      </c>
      <c r="AX329" t="s">
        <v>222</v>
      </c>
      <c r="BA329" s="57">
        <v>46298.458333333336</v>
      </c>
      <c r="BB329" t="s">
        <v>1557</v>
      </c>
      <c r="BC329">
        <v>2026</v>
      </c>
      <c r="BD329">
        <v>10</v>
      </c>
      <c r="BE329">
        <v>3</v>
      </c>
      <c r="BF329" s="6">
        <f t="shared" si="15"/>
        <v>46298</v>
      </c>
      <c r="BG329">
        <f t="shared" si="16"/>
        <v>-0.45833333333575865</v>
      </c>
      <c r="BH329" t="str">
        <f t="shared" si="17"/>
        <v>COMPLY</v>
      </c>
      <c r="BI329" t="str">
        <f>VLOOKUP(H329,Sheet2!$A$1:$B$270,2,FALSE)</f>
        <v>GRESIK</v>
      </c>
    </row>
    <row r="330" spans="1:61">
      <c r="A330">
        <v>329</v>
      </c>
      <c r="B330">
        <v>1002617352</v>
      </c>
      <c r="C330">
        <v>3</v>
      </c>
      <c r="D330" t="s">
        <v>55</v>
      </c>
      <c r="E330">
        <v>5</v>
      </c>
      <c r="F330" t="s">
        <v>260</v>
      </c>
      <c r="G330" t="s">
        <v>122</v>
      </c>
      <c r="H330" t="s">
        <v>472</v>
      </c>
      <c r="I330" t="s">
        <v>212</v>
      </c>
      <c r="J330" t="s">
        <v>213</v>
      </c>
      <c r="K330" t="s">
        <v>149</v>
      </c>
      <c r="M330" t="s">
        <v>76</v>
      </c>
      <c r="N330" t="s">
        <v>215</v>
      </c>
      <c r="O330" s="57">
        <v>46296.44462962963</v>
      </c>
      <c r="P330" s="57">
        <v>46296.565462962964</v>
      </c>
      <c r="Q330">
        <v>69379599</v>
      </c>
      <c r="S330">
        <v>152453208697</v>
      </c>
      <c r="T330" t="s">
        <v>1288</v>
      </c>
      <c r="U330" t="s">
        <v>920</v>
      </c>
      <c r="V330" t="s">
        <v>1289</v>
      </c>
      <c r="Z330">
        <v>112.71185159683201</v>
      </c>
      <c r="AA330">
        <v>-5.83253487701701</v>
      </c>
      <c r="AB330" t="s">
        <v>1290</v>
      </c>
      <c r="AC330" t="s">
        <v>216</v>
      </c>
      <c r="AL330" t="s">
        <v>217</v>
      </c>
      <c r="AM330" t="s">
        <v>1291</v>
      </c>
      <c r="AN330" t="s">
        <v>6</v>
      </c>
      <c r="AO330" s="57">
        <v>46032.486342592594</v>
      </c>
      <c r="AR330" t="s">
        <v>218</v>
      </c>
      <c r="AS330" t="s">
        <v>122</v>
      </c>
      <c r="AT330" t="s">
        <v>230</v>
      </c>
      <c r="AU330">
        <v>20261001</v>
      </c>
      <c r="AV330" t="s">
        <v>221</v>
      </c>
      <c r="AW330" t="s">
        <v>541</v>
      </c>
      <c r="AX330" t="s">
        <v>222</v>
      </c>
      <c r="BA330" s="57">
        <v>46296.291666666664</v>
      </c>
      <c r="BB330" t="s">
        <v>1291</v>
      </c>
      <c r="BC330">
        <v>2026</v>
      </c>
      <c r="BD330">
        <v>10</v>
      </c>
      <c r="BE330">
        <v>1</v>
      </c>
      <c r="BF330" s="6">
        <f t="shared" si="15"/>
        <v>46296</v>
      </c>
      <c r="BG330">
        <f t="shared" si="16"/>
        <v>-0.29166666666424135</v>
      </c>
      <c r="BH330" t="str">
        <f t="shared" si="17"/>
        <v>COMPLY</v>
      </c>
      <c r="BI330" t="str">
        <f>VLOOKUP(H330,Sheet2!$A$1:$B$270,2,FALSE)</f>
        <v>GRESIK</v>
      </c>
    </row>
    <row r="331" spans="1:61">
      <c r="A331">
        <v>330</v>
      </c>
      <c r="B331">
        <v>1002619716</v>
      </c>
      <c r="C331">
        <v>3</v>
      </c>
      <c r="D331" t="s">
        <v>55</v>
      </c>
      <c r="E331">
        <v>5</v>
      </c>
      <c r="F331" t="s">
        <v>260</v>
      </c>
      <c r="G331" t="s">
        <v>122</v>
      </c>
      <c r="H331" t="s">
        <v>346</v>
      </c>
      <c r="I331" t="s">
        <v>212</v>
      </c>
      <c r="J331" t="s">
        <v>213</v>
      </c>
      <c r="K331" t="s">
        <v>149</v>
      </c>
      <c r="L331" t="s">
        <v>214</v>
      </c>
      <c r="M331" t="s">
        <v>841</v>
      </c>
      <c r="N331" t="s">
        <v>215</v>
      </c>
      <c r="O331" s="57">
        <v>46297.544907407406</v>
      </c>
      <c r="P331" s="57">
        <v>46298.572187500002</v>
      </c>
      <c r="Q331">
        <v>69403032</v>
      </c>
      <c r="S331">
        <v>152451212250</v>
      </c>
      <c r="T331" t="s">
        <v>2611</v>
      </c>
      <c r="U331" t="s">
        <v>2612</v>
      </c>
      <c r="V331" t="s">
        <v>2613</v>
      </c>
      <c r="Z331">
        <v>112.5073397</v>
      </c>
      <c r="AA331">
        <v>-7.0084664999999999</v>
      </c>
      <c r="AB331" t="s">
        <v>2614</v>
      </c>
      <c r="AC331" t="s">
        <v>216</v>
      </c>
      <c r="AL331" t="s">
        <v>217</v>
      </c>
      <c r="AM331" t="s">
        <v>1557</v>
      </c>
      <c r="AN331" t="s">
        <v>6</v>
      </c>
      <c r="AO331" s="57">
        <v>46063.549375000002</v>
      </c>
      <c r="AP331" s="57">
        <v>46298.458333333336</v>
      </c>
      <c r="AQ331" t="s">
        <v>843</v>
      </c>
      <c r="AR331" t="s">
        <v>842</v>
      </c>
      <c r="AS331" t="s">
        <v>122</v>
      </c>
      <c r="AT331" t="s">
        <v>230</v>
      </c>
      <c r="AV331" t="s">
        <v>2615</v>
      </c>
      <c r="AW331" t="s">
        <v>879</v>
      </c>
      <c r="AX331" t="s">
        <v>222</v>
      </c>
      <c r="BA331" s="57">
        <v>46298.458333333336</v>
      </c>
      <c r="BB331" t="s">
        <v>1557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GRESIK</v>
      </c>
    </row>
    <row r="332" spans="1:61">
      <c r="A332">
        <v>331</v>
      </c>
      <c r="B332">
        <v>1002621109</v>
      </c>
      <c r="C332">
        <v>3</v>
      </c>
      <c r="D332" t="s">
        <v>55</v>
      </c>
      <c r="E332">
        <v>5</v>
      </c>
      <c r="F332" t="s">
        <v>260</v>
      </c>
      <c r="G332" t="s">
        <v>122</v>
      </c>
      <c r="H332" t="s">
        <v>346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46298.664305555554</v>
      </c>
      <c r="P332" s="57">
        <v>46299.725486111114</v>
      </c>
      <c r="Q332">
        <v>69403715</v>
      </c>
      <c r="S332">
        <v>152451212256</v>
      </c>
      <c r="T332" t="s">
        <v>2616</v>
      </c>
      <c r="U332" t="s">
        <v>2617</v>
      </c>
      <c r="V332" t="s">
        <v>2618</v>
      </c>
      <c r="Z332">
        <v>112.429598</v>
      </c>
      <c r="AA332">
        <v>-6.9670620000000003</v>
      </c>
      <c r="AB332" t="s">
        <v>2619</v>
      </c>
      <c r="AC332" t="s">
        <v>235</v>
      </c>
      <c r="AL332" t="s">
        <v>217</v>
      </c>
      <c r="AM332" t="s">
        <v>2620</v>
      </c>
      <c r="AN332" t="s">
        <v>6</v>
      </c>
      <c r="AO332" s="57">
        <v>46091.684004629627</v>
      </c>
      <c r="AP332" s="57">
        <v>46299.625</v>
      </c>
      <c r="AR332" t="s">
        <v>218</v>
      </c>
      <c r="AS332" t="s">
        <v>122</v>
      </c>
      <c r="AT332" t="s">
        <v>230</v>
      </c>
      <c r="AU332">
        <v>20261004</v>
      </c>
      <c r="AV332" t="s">
        <v>221</v>
      </c>
      <c r="AW332" t="s">
        <v>885</v>
      </c>
      <c r="AX332" t="s">
        <v>222</v>
      </c>
      <c r="BA332" s="57">
        <v>46299.625</v>
      </c>
      <c r="BB332" t="s">
        <v>2620</v>
      </c>
      <c r="BC332">
        <v>2026</v>
      </c>
      <c r="BD332">
        <v>10</v>
      </c>
      <c r="BE332">
        <v>4</v>
      </c>
      <c r="BF332" s="6">
        <f t="shared" si="15"/>
        <v>46299</v>
      </c>
      <c r="BG332">
        <f t="shared" si="16"/>
        <v>-0.625</v>
      </c>
      <c r="BH332" t="str">
        <f t="shared" si="17"/>
        <v>COMPLY</v>
      </c>
      <c r="BI332" t="str">
        <f>VLOOKUP(H332,Sheet2!$A$1:$B$270,2,FALSE)</f>
        <v>GRESIK</v>
      </c>
    </row>
    <row r="333" spans="1:61">
      <c r="A333">
        <v>332</v>
      </c>
      <c r="B333">
        <v>1002618083</v>
      </c>
      <c r="C333">
        <v>3</v>
      </c>
      <c r="D333" t="s">
        <v>55</v>
      </c>
      <c r="E333">
        <v>5</v>
      </c>
      <c r="F333" t="s">
        <v>260</v>
      </c>
      <c r="G333" t="s">
        <v>125</v>
      </c>
      <c r="H333" t="s">
        <v>323</v>
      </c>
      <c r="I333" t="s">
        <v>212</v>
      </c>
      <c r="J333" t="s">
        <v>213</v>
      </c>
      <c r="K333" t="s">
        <v>149</v>
      </c>
      <c r="M333" t="s">
        <v>841</v>
      </c>
      <c r="N333" t="s">
        <v>215</v>
      </c>
      <c r="O333" s="57">
        <v>46296.599189814813</v>
      </c>
      <c r="P333" s="57">
        <v>46297.698287037034</v>
      </c>
      <c r="Q333">
        <v>69402452</v>
      </c>
      <c r="S333">
        <v>152441211669</v>
      </c>
      <c r="T333" t="s">
        <v>1292</v>
      </c>
      <c r="U333" t="s">
        <v>1293</v>
      </c>
      <c r="V333" t="s">
        <v>1294</v>
      </c>
      <c r="Z333">
        <v>112.2702089</v>
      </c>
      <c r="AA333">
        <v>-7.3003412000000001</v>
      </c>
      <c r="AB333" t="s">
        <v>1295</v>
      </c>
      <c r="AC333" t="s">
        <v>229</v>
      </c>
      <c r="AL333" t="s">
        <v>217</v>
      </c>
      <c r="AM333" t="s">
        <v>1296</v>
      </c>
      <c r="AN333" t="s">
        <v>6</v>
      </c>
      <c r="AO333" s="57">
        <v>46032.611296296294</v>
      </c>
      <c r="AP333" s="57">
        <v>46297.625</v>
      </c>
      <c r="AQ333" t="s">
        <v>840</v>
      </c>
      <c r="AR333" t="s">
        <v>842</v>
      </c>
      <c r="AS333" t="s">
        <v>219</v>
      </c>
      <c r="AT333" t="s">
        <v>230</v>
      </c>
      <c r="AV333" t="s">
        <v>2621</v>
      </c>
      <c r="AW333" t="s">
        <v>541</v>
      </c>
      <c r="AX333" t="s">
        <v>222</v>
      </c>
      <c r="BA333" s="57">
        <v>46297.625</v>
      </c>
      <c r="BB333" t="s">
        <v>1296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str">
        <f>VLOOKUP(H333,Sheet2!$A$1:$B$270,2,FALSE)</f>
        <v>GRESIK</v>
      </c>
    </row>
    <row r="334" spans="1:61">
      <c r="A334">
        <v>333</v>
      </c>
      <c r="B334">
        <v>1002617657</v>
      </c>
      <c r="C334">
        <v>3</v>
      </c>
      <c r="D334" t="s">
        <v>55</v>
      </c>
      <c r="E334">
        <v>5</v>
      </c>
      <c r="F334" t="s">
        <v>260</v>
      </c>
      <c r="G334" t="s">
        <v>125</v>
      </c>
      <c r="H334" t="s">
        <v>405</v>
      </c>
      <c r="I334" t="s">
        <v>212</v>
      </c>
      <c r="J334" t="s">
        <v>213</v>
      </c>
      <c r="K334" t="s">
        <v>149</v>
      </c>
      <c r="L334" t="s">
        <v>214</v>
      </c>
      <c r="M334" t="s">
        <v>841</v>
      </c>
      <c r="N334" t="s">
        <v>215</v>
      </c>
      <c r="O334" s="57">
        <v>46296.491365740738</v>
      </c>
      <c r="P334" s="57">
        <v>46297.509652777779</v>
      </c>
      <c r="Q334">
        <v>69402283</v>
      </c>
      <c r="S334">
        <v>152448204121</v>
      </c>
      <c r="T334" t="s">
        <v>1297</v>
      </c>
      <c r="U334" t="s">
        <v>1298</v>
      </c>
      <c r="V334" t="s">
        <v>1299</v>
      </c>
      <c r="Z334">
        <v>112.357741</v>
      </c>
      <c r="AA334">
        <v>-6.8665966999999997</v>
      </c>
      <c r="AB334" t="s">
        <v>1300</v>
      </c>
      <c r="AC334" t="s">
        <v>235</v>
      </c>
      <c r="AL334" t="s">
        <v>217</v>
      </c>
      <c r="AM334" t="s">
        <v>1301</v>
      </c>
      <c r="AN334" t="s">
        <v>6</v>
      </c>
      <c r="AO334" s="57">
        <v>46032.517557870371</v>
      </c>
      <c r="AP334" s="57">
        <v>46297.416666666664</v>
      </c>
      <c r="AQ334" t="s">
        <v>840</v>
      </c>
      <c r="AR334" t="s">
        <v>842</v>
      </c>
      <c r="AS334" t="s">
        <v>219</v>
      </c>
      <c r="AT334" t="s">
        <v>230</v>
      </c>
      <c r="AV334" t="s">
        <v>1302</v>
      </c>
      <c r="AW334" t="s">
        <v>889</v>
      </c>
      <c r="AX334" t="s">
        <v>222</v>
      </c>
      <c r="BA334" s="57">
        <v>46297.416666666664</v>
      </c>
      <c r="BB334" t="s">
        <v>1301</v>
      </c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str">
        <f>VLOOKUP(H334,Sheet2!$A$1:$B$270,2,FALSE)</f>
        <v>GRESIK</v>
      </c>
    </row>
    <row r="335" spans="1:61">
      <c r="A335">
        <v>334</v>
      </c>
      <c r="B335">
        <v>1002621184</v>
      </c>
      <c r="C335">
        <v>3</v>
      </c>
      <c r="D335" t="s">
        <v>55</v>
      </c>
      <c r="E335">
        <v>5</v>
      </c>
      <c r="F335" t="s">
        <v>260</v>
      </c>
      <c r="G335" t="s">
        <v>125</v>
      </c>
      <c r="H335" t="s">
        <v>405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46298.757337962961</v>
      </c>
      <c r="P335" s="57">
        <v>46299.864108796297</v>
      </c>
      <c r="Q335">
        <v>69403752</v>
      </c>
      <c r="S335">
        <v>152448204124</v>
      </c>
      <c r="T335" t="s">
        <v>2622</v>
      </c>
      <c r="U335" t="s">
        <v>2623</v>
      </c>
      <c r="V335" t="s">
        <v>2624</v>
      </c>
      <c r="Z335">
        <v>112.352554</v>
      </c>
      <c r="AA335">
        <v>-6.8694839999999999</v>
      </c>
      <c r="AB335" t="s">
        <v>2625</v>
      </c>
      <c r="AC335" t="s">
        <v>235</v>
      </c>
      <c r="AL335" t="s">
        <v>217</v>
      </c>
      <c r="AM335" t="s">
        <v>1431</v>
      </c>
      <c r="AN335" t="s">
        <v>6</v>
      </c>
      <c r="AO335" s="57">
        <v>46091.778020833335</v>
      </c>
      <c r="AP335" s="57">
        <v>46299.625</v>
      </c>
      <c r="AR335" t="s">
        <v>218</v>
      </c>
      <c r="AS335" t="s">
        <v>219</v>
      </c>
      <c r="AT335" t="s">
        <v>230</v>
      </c>
      <c r="AU335">
        <v>20261004</v>
      </c>
      <c r="AV335" t="s">
        <v>221</v>
      </c>
      <c r="AW335" t="s">
        <v>879</v>
      </c>
      <c r="AX335" t="s">
        <v>222</v>
      </c>
      <c r="BA335" s="57">
        <v>46299.625</v>
      </c>
      <c r="BB335" t="s">
        <v>1431</v>
      </c>
      <c r="BC335">
        <v>2026</v>
      </c>
      <c r="BD335">
        <v>10</v>
      </c>
      <c r="BE335">
        <v>4</v>
      </c>
      <c r="BF335" s="6">
        <f t="shared" si="15"/>
        <v>46299</v>
      </c>
      <c r="BG335">
        <f t="shared" si="16"/>
        <v>-0.625</v>
      </c>
      <c r="BH335" t="str">
        <f t="shared" si="17"/>
        <v>COMPLY</v>
      </c>
      <c r="BI335" t="str">
        <f>VLOOKUP(H335,Sheet2!$A$1:$B$270,2,FALSE)</f>
        <v>GRESIK</v>
      </c>
    </row>
    <row r="336" spans="1:61">
      <c r="A336">
        <v>335</v>
      </c>
      <c r="B336">
        <v>1002621212</v>
      </c>
      <c r="C336">
        <v>3</v>
      </c>
      <c r="D336" t="s">
        <v>55</v>
      </c>
      <c r="E336">
        <v>5</v>
      </c>
      <c r="F336" t="s">
        <v>260</v>
      </c>
      <c r="G336" t="s">
        <v>125</v>
      </c>
      <c r="H336" t="s">
        <v>405</v>
      </c>
      <c r="I336" t="s">
        <v>212</v>
      </c>
      <c r="J336" t="s">
        <v>213</v>
      </c>
      <c r="K336" t="s">
        <v>149</v>
      </c>
      <c r="L336" t="s">
        <v>214</v>
      </c>
      <c r="M336" t="s">
        <v>238</v>
      </c>
      <c r="N336" t="s">
        <v>215</v>
      </c>
      <c r="O336" s="57">
        <v>46298.817824074074</v>
      </c>
      <c r="P336" s="57">
        <v>46298.819791666669</v>
      </c>
      <c r="Q336">
        <v>69403778</v>
      </c>
      <c r="S336">
        <v>152448204125</v>
      </c>
      <c r="T336" t="s">
        <v>2626</v>
      </c>
      <c r="U336" t="s">
        <v>1298</v>
      </c>
      <c r="V336" t="s">
        <v>2627</v>
      </c>
      <c r="Z336">
        <v>112.35696</v>
      </c>
      <c r="AA336">
        <v>-6.8674280000000003</v>
      </c>
      <c r="AB336" t="s">
        <v>2628</v>
      </c>
      <c r="AC336" t="s">
        <v>235</v>
      </c>
      <c r="AL336" t="s">
        <v>217</v>
      </c>
      <c r="AM336" t="s">
        <v>2629</v>
      </c>
      <c r="AN336" t="s">
        <v>6</v>
      </c>
      <c r="AO336" s="57">
        <v>46091.819525462961</v>
      </c>
      <c r="AP336" s="57">
        <v>46300.416666666664</v>
      </c>
      <c r="AR336" t="s">
        <v>239</v>
      </c>
      <c r="AS336" t="s">
        <v>219</v>
      </c>
      <c r="AT336" t="s">
        <v>230</v>
      </c>
      <c r="AV336" t="s">
        <v>238</v>
      </c>
      <c r="AW336" t="s">
        <v>877</v>
      </c>
      <c r="AX336" t="s">
        <v>222</v>
      </c>
      <c r="BA336" s="57">
        <v>46300.416666666664</v>
      </c>
      <c r="BB336" t="s">
        <v>2629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str">
        <f>VLOOKUP(H336,Sheet2!$A$1:$B$270,2,FALSE)</f>
        <v>GRESIK</v>
      </c>
    </row>
    <row r="337" spans="1:61">
      <c r="A337">
        <v>336</v>
      </c>
      <c r="B337">
        <v>1002620721</v>
      </c>
      <c r="C337">
        <v>3</v>
      </c>
      <c r="D337" t="s">
        <v>55</v>
      </c>
      <c r="E337">
        <v>5</v>
      </c>
      <c r="F337" t="s">
        <v>260</v>
      </c>
      <c r="G337" t="s">
        <v>125</v>
      </c>
      <c r="H337" t="s">
        <v>403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46298.339282407411</v>
      </c>
      <c r="P337" s="57">
        <v>46298.678252314814</v>
      </c>
      <c r="Q337">
        <v>69403433</v>
      </c>
      <c r="S337">
        <v>152433910146</v>
      </c>
      <c r="T337" t="s">
        <v>2630</v>
      </c>
      <c r="U337" t="s">
        <v>2631</v>
      </c>
      <c r="V337" t="s">
        <v>2632</v>
      </c>
      <c r="Z337">
        <v>112.41707599999999</v>
      </c>
      <c r="AA337">
        <v>-7.1212439999999999</v>
      </c>
      <c r="AB337" t="s">
        <v>2633</v>
      </c>
      <c r="AC337" t="s">
        <v>235</v>
      </c>
      <c r="AL337" t="s">
        <v>217</v>
      </c>
      <c r="AM337" t="s">
        <v>2634</v>
      </c>
      <c r="AN337" t="s">
        <v>6</v>
      </c>
      <c r="AO337" s="57">
        <v>46091.340624999997</v>
      </c>
      <c r="AP337" s="57">
        <v>46299.416666666664</v>
      </c>
      <c r="AR337" t="s">
        <v>218</v>
      </c>
      <c r="AS337" t="s">
        <v>125</v>
      </c>
      <c r="AT337" t="s">
        <v>230</v>
      </c>
      <c r="AU337">
        <v>20261003</v>
      </c>
      <c r="AV337" t="s">
        <v>221</v>
      </c>
      <c r="AW337" t="s">
        <v>879</v>
      </c>
      <c r="AX337" t="s">
        <v>222</v>
      </c>
      <c r="BA337" s="57">
        <v>46299.416666666664</v>
      </c>
      <c r="BB337" t="s">
        <v>2634</v>
      </c>
      <c r="BC337">
        <v>2026</v>
      </c>
      <c r="BD337">
        <v>10</v>
      </c>
      <c r="BE337">
        <v>3</v>
      </c>
      <c r="BF337" s="6">
        <f t="shared" si="15"/>
        <v>46298</v>
      </c>
      <c r="BG337">
        <f t="shared" si="16"/>
        <v>-1.4166666666642413</v>
      </c>
      <c r="BH337" t="str">
        <f t="shared" si="17"/>
        <v>COMPLY</v>
      </c>
      <c r="BI337" t="str">
        <f>VLOOKUP(H337,Sheet2!$A$1:$B$270,2,FALSE)</f>
        <v>GRESIK</v>
      </c>
    </row>
    <row r="338" spans="1:61">
      <c r="A338">
        <v>337</v>
      </c>
      <c r="B338">
        <v>1002621048</v>
      </c>
      <c r="C338">
        <v>3</v>
      </c>
      <c r="D338" t="s">
        <v>55</v>
      </c>
      <c r="E338">
        <v>5</v>
      </c>
      <c r="F338" t="s">
        <v>260</v>
      </c>
      <c r="G338" t="s">
        <v>125</v>
      </c>
      <c r="H338" t="s">
        <v>403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46298.605254629627</v>
      </c>
      <c r="P338" s="57">
        <v>46299.655821759261</v>
      </c>
      <c r="Q338">
        <v>69403665</v>
      </c>
      <c r="S338">
        <v>152433910259</v>
      </c>
      <c r="T338" t="s">
        <v>2635</v>
      </c>
      <c r="U338" t="s">
        <v>2636</v>
      </c>
      <c r="V338" t="s">
        <v>2637</v>
      </c>
      <c r="Z338">
        <v>112.4429966</v>
      </c>
      <c r="AA338">
        <v>-7.1163000999999904</v>
      </c>
      <c r="AB338" t="s">
        <v>2638</v>
      </c>
      <c r="AC338" t="s">
        <v>216</v>
      </c>
      <c r="AL338" t="s">
        <v>217</v>
      </c>
      <c r="AM338" t="s">
        <v>2639</v>
      </c>
      <c r="AN338" t="s">
        <v>6</v>
      </c>
      <c r="AO338" s="57">
        <v>46091.610972222225</v>
      </c>
      <c r="AP338" s="57">
        <v>46299.458333333336</v>
      </c>
      <c r="AR338" t="s">
        <v>218</v>
      </c>
      <c r="AS338" t="s">
        <v>125</v>
      </c>
      <c r="AT338" t="s">
        <v>230</v>
      </c>
      <c r="AU338">
        <v>20261004</v>
      </c>
      <c r="AV338" t="s">
        <v>221</v>
      </c>
      <c r="AW338" t="s">
        <v>877</v>
      </c>
      <c r="AX338" t="s">
        <v>222</v>
      </c>
      <c r="BA338" s="57">
        <v>46299.458333333336</v>
      </c>
      <c r="BB338" t="s">
        <v>2639</v>
      </c>
      <c r="BC338">
        <v>2026</v>
      </c>
      <c r="BD338">
        <v>10</v>
      </c>
      <c r="BE338">
        <v>4</v>
      </c>
      <c r="BF338" s="6">
        <f t="shared" si="15"/>
        <v>46299</v>
      </c>
      <c r="BG338">
        <f t="shared" si="16"/>
        <v>-0.45833333333575865</v>
      </c>
      <c r="BH338" t="str">
        <f t="shared" si="17"/>
        <v>COMPLY</v>
      </c>
      <c r="BI338" t="str">
        <f>VLOOKUP(H338,Sheet2!$A$1:$B$270,2,FALSE)</f>
        <v>GRESIK</v>
      </c>
    </row>
    <row r="339" spans="1:61">
      <c r="A339">
        <v>338</v>
      </c>
      <c r="B339">
        <v>1002620908</v>
      </c>
      <c r="C339">
        <v>3</v>
      </c>
      <c r="D339" t="s">
        <v>55</v>
      </c>
      <c r="E339">
        <v>5</v>
      </c>
      <c r="F339" t="s">
        <v>260</v>
      </c>
      <c r="G339" t="s">
        <v>125</v>
      </c>
      <c r="H339" t="s">
        <v>403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46298.499768518515</v>
      </c>
      <c r="P339" s="57">
        <v>46299.654629629629</v>
      </c>
      <c r="Q339">
        <v>69403557</v>
      </c>
      <c r="S339">
        <v>152433910148</v>
      </c>
      <c r="T339" t="s">
        <v>2640</v>
      </c>
      <c r="U339" t="s">
        <v>2641</v>
      </c>
      <c r="V339" t="s">
        <v>2642</v>
      </c>
      <c r="Z339">
        <v>112.459167055785</v>
      </c>
      <c r="AA339">
        <v>-7.0725699891390503</v>
      </c>
      <c r="AB339" t="s">
        <v>2643</v>
      </c>
      <c r="AC339" t="s">
        <v>216</v>
      </c>
      <c r="AL339" t="s">
        <v>217</v>
      </c>
      <c r="AM339" t="s">
        <v>2634</v>
      </c>
      <c r="AN339" t="s">
        <v>6</v>
      </c>
      <c r="AO339" s="57">
        <v>46091.517858796295</v>
      </c>
      <c r="AP339" s="57">
        <v>46299.416666666664</v>
      </c>
      <c r="AR339" t="s">
        <v>218</v>
      </c>
      <c r="AS339" t="s">
        <v>125</v>
      </c>
      <c r="AT339" t="s">
        <v>230</v>
      </c>
      <c r="AU339">
        <v>20261004</v>
      </c>
      <c r="AV339" t="s">
        <v>221</v>
      </c>
      <c r="AW339" t="s">
        <v>878</v>
      </c>
      <c r="AX339" t="s">
        <v>222</v>
      </c>
      <c r="BA339" s="57">
        <v>46299.416666666664</v>
      </c>
      <c r="BB339" t="s">
        <v>2634</v>
      </c>
      <c r="BC339">
        <v>2026</v>
      </c>
      <c r="BD339">
        <v>10</v>
      </c>
      <c r="BE339">
        <v>4</v>
      </c>
      <c r="BF339" s="6">
        <f t="shared" si="15"/>
        <v>46299</v>
      </c>
      <c r="BG339">
        <f t="shared" si="16"/>
        <v>-0.41666666666424135</v>
      </c>
      <c r="BH339" t="str">
        <f t="shared" si="17"/>
        <v>COMPLY</v>
      </c>
      <c r="BI339" t="str">
        <f>VLOOKUP(H339,Sheet2!$A$1:$B$270,2,FALSE)</f>
        <v>GRESIK</v>
      </c>
    </row>
    <row r="340" spans="1:61">
      <c r="A340">
        <v>339</v>
      </c>
      <c r="B340">
        <v>1002616866</v>
      </c>
      <c r="C340">
        <v>3</v>
      </c>
      <c r="D340" t="s">
        <v>38</v>
      </c>
      <c r="E340">
        <v>5</v>
      </c>
      <c r="F340" t="s">
        <v>92</v>
      </c>
      <c r="G340" t="s">
        <v>89</v>
      </c>
      <c r="H340" t="s">
        <v>358</v>
      </c>
      <c r="I340" t="s">
        <v>212</v>
      </c>
      <c r="J340" t="s">
        <v>213</v>
      </c>
      <c r="K340" t="s">
        <v>149</v>
      </c>
      <c r="M340" t="s">
        <v>76</v>
      </c>
      <c r="N340" t="s">
        <v>215</v>
      </c>
      <c r="O340" s="57">
        <v>46296.348449074074</v>
      </c>
      <c r="P340" s="57">
        <v>46296.564571759256</v>
      </c>
      <c r="Q340">
        <v>69389383</v>
      </c>
      <c r="S340">
        <v>152644205147</v>
      </c>
      <c r="T340" t="s">
        <v>891</v>
      </c>
      <c r="U340" t="s">
        <v>931</v>
      </c>
      <c r="V340" t="s">
        <v>1303</v>
      </c>
      <c r="Z340">
        <v>111.616111</v>
      </c>
      <c r="AA340">
        <v>-7.268052</v>
      </c>
      <c r="AB340" t="s">
        <v>892</v>
      </c>
      <c r="AC340" t="s">
        <v>229</v>
      </c>
      <c r="AL340" t="s">
        <v>217</v>
      </c>
      <c r="AM340" t="s">
        <v>941</v>
      </c>
      <c r="AN340" t="s">
        <v>6</v>
      </c>
      <c r="AO340" s="57">
        <v>46032.351168981484</v>
      </c>
      <c r="AR340" t="s">
        <v>218</v>
      </c>
      <c r="AS340" t="s">
        <v>824</v>
      </c>
      <c r="AT340" t="s">
        <v>230</v>
      </c>
      <c r="AU340">
        <v>20261001</v>
      </c>
      <c r="AV340" t="s">
        <v>221</v>
      </c>
      <c r="AW340" t="s">
        <v>559</v>
      </c>
      <c r="AX340" t="s">
        <v>222</v>
      </c>
      <c r="BA340" s="57">
        <v>46296.291666666664</v>
      </c>
      <c r="BB340" t="s">
        <v>941</v>
      </c>
      <c r="BC340">
        <v>2026</v>
      </c>
      <c r="BD340">
        <v>10</v>
      </c>
      <c r="BE340">
        <v>1</v>
      </c>
      <c r="BF340" s="6">
        <f t="shared" si="15"/>
        <v>46296</v>
      </c>
      <c r="BG340">
        <f t="shared" si="16"/>
        <v>-0.29166666666424135</v>
      </c>
      <c r="BH340" t="str">
        <f t="shared" si="17"/>
        <v>COMPLY</v>
      </c>
      <c r="BI340" t="str">
        <f>VLOOKUP(H340,Sheet2!$A$1:$B$270,2,FALSE)</f>
        <v>BOJONEGORO</v>
      </c>
    </row>
    <row r="341" spans="1:61">
      <c r="A341">
        <v>340</v>
      </c>
      <c r="B341">
        <v>1002619889</v>
      </c>
      <c r="C341">
        <v>3</v>
      </c>
      <c r="D341" t="s">
        <v>38</v>
      </c>
      <c r="E341">
        <v>5</v>
      </c>
      <c r="F341" t="s">
        <v>92</v>
      </c>
      <c r="G341" t="s">
        <v>89</v>
      </c>
      <c r="H341" t="s">
        <v>358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46297.582418981481</v>
      </c>
      <c r="P341" s="57">
        <v>46297.761770833335</v>
      </c>
      <c r="Q341">
        <v>69403109</v>
      </c>
      <c r="S341">
        <v>152644205152</v>
      </c>
      <c r="T341" t="s">
        <v>2644</v>
      </c>
      <c r="U341" t="s">
        <v>2645</v>
      </c>
      <c r="V341" t="s">
        <v>2646</v>
      </c>
      <c r="Z341">
        <v>111.5951649</v>
      </c>
      <c r="AA341">
        <v>-7.295852</v>
      </c>
      <c r="AB341" t="s">
        <v>2647</v>
      </c>
      <c r="AC341" t="s">
        <v>235</v>
      </c>
      <c r="AL341" t="s">
        <v>217</v>
      </c>
      <c r="AM341" t="s">
        <v>2648</v>
      </c>
      <c r="AN341" t="s">
        <v>6</v>
      </c>
      <c r="AO341" s="57">
        <v>46063.61105324074</v>
      </c>
      <c r="AP341" s="57">
        <v>46298.458333333336</v>
      </c>
      <c r="AR341" t="s">
        <v>218</v>
      </c>
      <c r="AS341" t="s">
        <v>824</v>
      </c>
      <c r="AT341" t="s">
        <v>230</v>
      </c>
      <c r="AU341">
        <v>20261002</v>
      </c>
      <c r="AV341" t="s">
        <v>221</v>
      </c>
      <c r="AW341" t="s">
        <v>881</v>
      </c>
      <c r="AX341" t="s">
        <v>222</v>
      </c>
      <c r="BA341" s="57">
        <v>46298.458333333336</v>
      </c>
      <c r="BB341" t="s">
        <v>2648</v>
      </c>
      <c r="BC341">
        <v>2026</v>
      </c>
      <c r="BD341">
        <v>10</v>
      </c>
      <c r="BE341">
        <v>2</v>
      </c>
      <c r="BF341" s="6">
        <f t="shared" si="15"/>
        <v>46297</v>
      </c>
      <c r="BG341">
        <f t="shared" si="16"/>
        <v>-1.4583333333357587</v>
      </c>
      <c r="BH341" t="str">
        <f t="shared" si="17"/>
        <v>COMPLY</v>
      </c>
      <c r="BI341" t="str">
        <f>VLOOKUP(H341,Sheet2!$A$1:$B$270,2,FALSE)</f>
        <v>BOJONEGORO</v>
      </c>
    </row>
    <row r="342" spans="1:61">
      <c r="A342">
        <v>341</v>
      </c>
      <c r="B342">
        <v>1002617935</v>
      </c>
      <c r="C342">
        <v>3</v>
      </c>
      <c r="D342" t="s">
        <v>38</v>
      </c>
      <c r="E342">
        <v>5</v>
      </c>
      <c r="F342" t="s">
        <v>92</v>
      </c>
      <c r="G342" t="s">
        <v>89</v>
      </c>
      <c r="H342" t="s">
        <v>395</v>
      </c>
      <c r="I342" t="s">
        <v>212</v>
      </c>
      <c r="J342" t="s">
        <v>213</v>
      </c>
      <c r="K342" t="s">
        <v>149</v>
      </c>
      <c r="L342" t="s">
        <v>214</v>
      </c>
      <c r="M342" t="s">
        <v>1406</v>
      </c>
      <c r="N342" t="s">
        <v>215</v>
      </c>
      <c r="O342" s="57">
        <v>46296.57471064815</v>
      </c>
      <c r="P342" s="57">
        <v>46300.34715277778</v>
      </c>
      <c r="Q342">
        <v>69402382</v>
      </c>
      <c r="S342">
        <v>152642208838</v>
      </c>
      <c r="T342" t="s">
        <v>1304</v>
      </c>
      <c r="U342" t="s">
        <v>1305</v>
      </c>
      <c r="V342" t="s">
        <v>1306</v>
      </c>
      <c r="Z342">
        <v>112.04554980971299</v>
      </c>
      <c r="AA342">
        <v>-7.3014816862188603</v>
      </c>
      <c r="AB342" t="s">
        <v>1307</v>
      </c>
      <c r="AC342" t="s">
        <v>235</v>
      </c>
      <c r="AL342" t="s">
        <v>217</v>
      </c>
      <c r="AM342" t="s">
        <v>986</v>
      </c>
      <c r="AN342" t="s">
        <v>6</v>
      </c>
      <c r="AO342" s="57">
        <v>46032.579872685186</v>
      </c>
      <c r="AP342" s="57">
        <v>46297.625</v>
      </c>
      <c r="AR342" t="s">
        <v>14</v>
      </c>
      <c r="AS342" t="s">
        <v>824</v>
      </c>
      <c r="AT342" t="s">
        <v>220</v>
      </c>
      <c r="AV342" t="s">
        <v>2649</v>
      </c>
      <c r="AW342" t="s">
        <v>1308</v>
      </c>
      <c r="AX342" t="s">
        <v>222</v>
      </c>
      <c r="BA342" s="57">
        <v>46297.625</v>
      </c>
      <c r="BB342" t="s">
        <v>986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str">
        <f>VLOOKUP(H342,Sheet2!$A$1:$B$270,2,FALSE)</f>
        <v>BOJONEGORO</v>
      </c>
    </row>
    <row r="343" spans="1:61">
      <c r="A343">
        <v>342</v>
      </c>
      <c r="B343">
        <v>1002618689</v>
      </c>
      <c r="C343">
        <v>3</v>
      </c>
      <c r="D343" t="s">
        <v>38</v>
      </c>
      <c r="E343">
        <v>5</v>
      </c>
      <c r="F343" t="s">
        <v>92</v>
      </c>
      <c r="G343" t="s">
        <v>89</v>
      </c>
      <c r="H343" t="s">
        <v>395</v>
      </c>
      <c r="I343" t="s">
        <v>212</v>
      </c>
      <c r="J343" t="s">
        <v>213</v>
      </c>
      <c r="K343" t="s">
        <v>149</v>
      </c>
      <c r="L343" t="s">
        <v>214</v>
      </c>
      <c r="M343" t="s">
        <v>838</v>
      </c>
      <c r="N343" t="s">
        <v>215</v>
      </c>
      <c r="O343" s="57">
        <v>46296.712199074071</v>
      </c>
      <c r="P343" s="57">
        <v>46298.521863425929</v>
      </c>
      <c r="Q343">
        <v>69402583</v>
      </c>
      <c r="S343">
        <v>152642208839</v>
      </c>
      <c r="T343" t="s">
        <v>1304</v>
      </c>
      <c r="U343" t="s">
        <v>1305</v>
      </c>
      <c r="V343" t="s">
        <v>1309</v>
      </c>
      <c r="Z343">
        <v>112.045515559278</v>
      </c>
      <c r="AA343">
        <v>-7.3014879263283801</v>
      </c>
      <c r="AB343" t="s">
        <v>1310</v>
      </c>
      <c r="AC343" t="s">
        <v>235</v>
      </c>
      <c r="AL343" t="s">
        <v>217</v>
      </c>
      <c r="AM343" t="s">
        <v>1311</v>
      </c>
      <c r="AN343" t="s">
        <v>6</v>
      </c>
      <c r="AO343" s="57">
        <v>46032.726099537038</v>
      </c>
      <c r="AP343" s="57">
        <v>46297.625</v>
      </c>
      <c r="AR343" t="s">
        <v>14</v>
      </c>
      <c r="AS343" t="s">
        <v>824</v>
      </c>
      <c r="AT343" t="s">
        <v>220</v>
      </c>
      <c r="AV343" t="s">
        <v>839</v>
      </c>
      <c r="AW343" t="s">
        <v>1308</v>
      </c>
      <c r="AX343" t="s">
        <v>222</v>
      </c>
      <c r="BA343" s="57">
        <v>46297.625</v>
      </c>
      <c r="BB343" t="s">
        <v>1311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str">
        <f>VLOOKUP(H343,Sheet2!$A$1:$B$270,2,FALSE)</f>
        <v>BOJONEGORO</v>
      </c>
    </row>
    <row r="344" spans="1:61">
      <c r="A344">
        <v>343</v>
      </c>
      <c r="B344">
        <v>1002620679</v>
      </c>
      <c r="C344">
        <v>3</v>
      </c>
      <c r="D344" t="s">
        <v>38</v>
      </c>
      <c r="E344">
        <v>5</v>
      </c>
      <c r="F344" t="s">
        <v>92</v>
      </c>
      <c r="G344" t="s">
        <v>89</v>
      </c>
      <c r="H344" t="s">
        <v>395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46297.817812499998</v>
      </c>
      <c r="P344" s="57">
        <v>46299.804861111108</v>
      </c>
      <c r="Q344">
        <v>69403416</v>
      </c>
      <c r="S344">
        <v>152642208842</v>
      </c>
      <c r="T344" t="s">
        <v>2650</v>
      </c>
      <c r="U344" t="s">
        <v>2651</v>
      </c>
      <c r="V344" t="s">
        <v>2652</v>
      </c>
      <c r="Z344">
        <v>111.99835617095199</v>
      </c>
      <c r="AA344">
        <v>-7.1778876769172797</v>
      </c>
      <c r="AB344" t="s">
        <v>2653</v>
      </c>
      <c r="AC344" t="s">
        <v>235</v>
      </c>
      <c r="AL344" t="s">
        <v>217</v>
      </c>
      <c r="AM344" t="s">
        <v>2488</v>
      </c>
      <c r="AN344" t="s">
        <v>6</v>
      </c>
      <c r="AO344" s="57">
        <v>46063.819363425922</v>
      </c>
      <c r="AP344" s="57">
        <v>46299.333333333336</v>
      </c>
      <c r="AR344" t="s">
        <v>218</v>
      </c>
      <c r="AS344" t="s">
        <v>824</v>
      </c>
      <c r="AT344" t="s">
        <v>342</v>
      </c>
      <c r="AU344">
        <v>20261004</v>
      </c>
      <c r="AV344" t="s">
        <v>221</v>
      </c>
      <c r="AW344" t="s">
        <v>2654</v>
      </c>
      <c r="AX344" t="s">
        <v>222</v>
      </c>
      <c r="BA344" s="57">
        <v>46299.333333333336</v>
      </c>
      <c r="BB344" t="s">
        <v>2488</v>
      </c>
      <c r="BC344">
        <v>2026</v>
      </c>
      <c r="BD344">
        <v>10</v>
      </c>
      <c r="BE344">
        <v>4</v>
      </c>
      <c r="BF344" s="6">
        <f t="shared" si="15"/>
        <v>46299</v>
      </c>
      <c r="BG344">
        <f t="shared" si="16"/>
        <v>-0.33333333333575865</v>
      </c>
      <c r="BH344" t="str">
        <f t="shared" si="17"/>
        <v>COMPLY</v>
      </c>
      <c r="BI344" t="str">
        <f>VLOOKUP(H344,Sheet2!$A$1:$B$270,2,FALSE)</f>
        <v>BOJONEGORO</v>
      </c>
    </row>
    <row r="345" spans="1:61">
      <c r="A345">
        <v>344</v>
      </c>
      <c r="B345">
        <v>1002618507</v>
      </c>
      <c r="C345">
        <v>3</v>
      </c>
      <c r="D345" t="s">
        <v>38</v>
      </c>
      <c r="E345">
        <v>5</v>
      </c>
      <c r="F345" t="s">
        <v>92</v>
      </c>
      <c r="G345" t="s">
        <v>97</v>
      </c>
      <c r="H345" t="s">
        <v>340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46296.671979166669</v>
      </c>
      <c r="P345" s="57">
        <v>46297.869259259256</v>
      </c>
      <c r="Q345">
        <v>69402589</v>
      </c>
      <c r="S345">
        <v>152648207777</v>
      </c>
      <c r="T345" t="s">
        <v>1312</v>
      </c>
      <c r="U345" t="s">
        <v>1313</v>
      </c>
      <c r="V345" t="s">
        <v>1314</v>
      </c>
      <c r="Z345">
        <v>111.68781199999999</v>
      </c>
      <c r="AA345">
        <v>-6.7522900000000003</v>
      </c>
      <c r="AB345" t="s">
        <v>1315</v>
      </c>
      <c r="AC345" t="s">
        <v>235</v>
      </c>
      <c r="AL345" t="s">
        <v>217</v>
      </c>
      <c r="AM345" t="s">
        <v>986</v>
      </c>
      <c r="AN345" t="s">
        <v>6</v>
      </c>
      <c r="AO345" s="57">
        <v>46032.694421296299</v>
      </c>
      <c r="AP345" s="57">
        <v>46297.625</v>
      </c>
      <c r="AR345" t="s">
        <v>218</v>
      </c>
      <c r="AS345" t="s">
        <v>846</v>
      </c>
      <c r="AT345" t="s">
        <v>230</v>
      </c>
      <c r="AU345">
        <v>20261002</v>
      </c>
      <c r="AV345" t="s">
        <v>221</v>
      </c>
      <c r="AW345" t="s">
        <v>928</v>
      </c>
      <c r="AX345" t="s">
        <v>222</v>
      </c>
      <c r="BA345" s="57">
        <v>46297.625</v>
      </c>
      <c r="BB345" t="s">
        <v>986</v>
      </c>
      <c r="BC345">
        <v>2026</v>
      </c>
      <c r="BD345">
        <v>10</v>
      </c>
      <c r="BE345">
        <v>2</v>
      </c>
      <c r="BF345" s="6">
        <f t="shared" si="15"/>
        <v>46297</v>
      </c>
      <c r="BG345">
        <f t="shared" si="16"/>
        <v>-0.625</v>
      </c>
      <c r="BH345" t="str">
        <f t="shared" si="17"/>
        <v>COMPLY</v>
      </c>
      <c r="BI345" t="str">
        <f>VLOOKUP(H345,Sheet2!$A$1:$B$270,2,FALSE)</f>
        <v>BOJONEGORO</v>
      </c>
    </row>
    <row r="346" spans="1:61">
      <c r="A346">
        <v>345</v>
      </c>
      <c r="B346">
        <v>1002620249</v>
      </c>
      <c r="C346">
        <v>3</v>
      </c>
      <c r="D346" t="s">
        <v>38</v>
      </c>
      <c r="E346">
        <v>5</v>
      </c>
      <c r="F346" t="s">
        <v>92</v>
      </c>
      <c r="G346" t="s">
        <v>97</v>
      </c>
      <c r="H346" t="s">
        <v>340</v>
      </c>
      <c r="I346" t="s">
        <v>212</v>
      </c>
      <c r="J346" t="s">
        <v>213</v>
      </c>
      <c r="K346" t="s">
        <v>149</v>
      </c>
      <c r="M346" t="s">
        <v>76</v>
      </c>
      <c r="N346" t="s">
        <v>215</v>
      </c>
      <c r="O346" s="57">
        <v>46297.642881944441</v>
      </c>
      <c r="P346" s="57">
        <v>46297.731145833335</v>
      </c>
      <c r="Q346">
        <v>69401833</v>
      </c>
      <c r="S346">
        <v>152648207776</v>
      </c>
      <c r="T346" t="s">
        <v>2655</v>
      </c>
      <c r="U346" t="s">
        <v>2656</v>
      </c>
      <c r="V346" t="s">
        <v>2657</v>
      </c>
      <c r="Z346">
        <v>111.712479</v>
      </c>
      <c r="AA346">
        <v>-6.7675400000000003</v>
      </c>
      <c r="AB346" t="s">
        <v>2658</v>
      </c>
      <c r="AC346" t="s">
        <v>229</v>
      </c>
      <c r="AL346" t="s">
        <v>217</v>
      </c>
      <c r="AM346" t="s">
        <v>2659</v>
      </c>
      <c r="AN346" t="s">
        <v>6</v>
      </c>
      <c r="AO346" s="57">
        <v>46063.652951388889</v>
      </c>
      <c r="AR346" t="s">
        <v>218</v>
      </c>
      <c r="AS346" t="s">
        <v>846</v>
      </c>
      <c r="AT346" t="s">
        <v>230</v>
      </c>
      <c r="AU346">
        <v>20261002</v>
      </c>
      <c r="AV346" t="s">
        <v>221</v>
      </c>
      <c r="AW346" t="s">
        <v>541</v>
      </c>
      <c r="AX346" t="s">
        <v>222</v>
      </c>
      <c r="BA346" s="57">
        <v>46297.291666666664</v>
      </c>
      <c r="BB346" t="s">
        <v>2659</v>
      </c>
      <c r="BC346">
        <v>2026</v>
      </c>
      <c r="BD346">
        <v>10</v>
      </c>
      <c r="BE346">
        <v>2</v>
      </c>
      <c r="BF346" s="6">
        <f t="shared" si="15"/>
        <v>46297</v>
      </c>
      <c r="BG346">
        <f t="shared" si="16"/>
        <v>-0.29166666666424135</v>
      </c>
      <c r="BH346" t="str">
        <f t="shared" si="17"/>
        <v>COMPLY</v>
      </c>
      <c r="BI346" t="str">
        <f>VLOOKUP(H346,Sheet2!$A$1:$B$270,2,FALSE)</f>
        <v>BOJONEGORO</v>
      </c>
    </row>
    <row r="347" spans="1:61">
      <c r="A347">
        <v>346</v>
      </c>
      <c r="B347">
        <v>1002617098</v>
      </c>
      <c r="C347">
        <v>3</v>
      </c>
      <c r="D347" t="s">
        <v>38</v>
      </c>
      <c r="E347">
        <v>5</v>
      </c>
      <c r="F347" t="s">
        <v>92</v>
      </c>
      <c r="G347" t="s">
        <v>97</v>
      </c>
      <c r="H347" t="s">
        <v>388</v>
      </c>
      <c r="I347" t="s">
        <v>212</v>
      </c>
      <c r="J347" t="s">
        <v>213</v>
      </c>
      <c r="K347" t="s">
        <v>149</v>
      </c>
      <c r="L347" t="s">
        <v>214</v>
      </c>
      <c r="M347" t="s">
        <v>895</v>
      </c>
      <c r="N347" t="s">
        <v>215</v>
      </c>
      <c r="O347" s="57">
        <v>46296.397013888891</v>
      </c>
      <c r="P347" s="57">
        <v>46297.343599537038</v>
      </c>
      <c r="Q347">
        <v>69402092</v>
      </c>
      <c r="S347">
        <v>152645203155</v>
      </c>
      <c r="T347" t="s">
        <v>1316</v>
      </c>
      <c r="U347" t="s">
        <v>1317</v>
      </c>
      <c r="V347" t="s">
        <v>1318</v>
      </c>
      <c r="Z347">
        <v>111.79942200000001</v>
      </c>
      <c r="AA347">
        <v>-7.0242979999999999</v>
      </c>
      <c r="AB347" t="s">
        <v>1319</v>
      </c>
      <c r="AC347" t="s">
        <v>235</v>
      </c>
      <c r="AL347" t="s">
        <v>217</v>
      </c>
      <c r="AM347" t="s">
        <v>1320</v>
      </c>
      <c r="AN347" t="s">
        <v>6</v>
      </c>
      <c r="AO347" s="57">
        <v>46032.413738425923</v>
      </c>
      <c r="AP347" s="57">
        <v>46297.333333333336</v>
      </c>
      <c r="AR347" t="s">
        <v>886</v>
      </c>
      <c r="AS347" t="s">
        <v>846</v>
      </c>
      <c r="AT347" t="s">
        <v>230</v>
      </c>
      <c r="AV347" t="s">
        <v>896</v>
      </c>
      <c r="AW347" t="s">
        <v>884</v>
      </c>
      <c r="AX347" t="s">
        <v>222</v>
      </c>
      <c r="BA347" s="57">
        <v>46297.333333333336</v>
      </c>
      <c r="BB347" t="s">
        <v>1320</v>
      </c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str">
        <f>VLOOKUP(H347,Sheet2!$A$1:$B$270,2,FALSE)</f>
        <v>BOJONEGORO</v>
      </c>
    </row>
    <row r="348" spans="1:61">
      <c r="A348">
        <v>347</v>
      </c>
      <c r="B348">
        <v>1002621096</v>
      </c>
      <c r="C348">
        <v>3</v>
      </c>
      <c r="D348" t="s">
        <v>38</v>
      </c>
      <c r="E348">
        <v>5</v>
      </c>
      <c r="F348" t="s">
        <v>92</v>
      </c>
      <c r="G348" t="s">
        <v>97</v>
      </c>
      <c r="H348" t="s">
        <v>461</v>
      </c>
      <c r="I348" t="s">
        <v>212</v>
      </c>
      <c r="J348" t="s">
        <v>213</v>
      </c>
      <c r="K348" t="s">
        <v>149</v>
      </c>
      <c r="L348" t="s">
        <v>214</v>
      </c>
      <c r="M348" t="s">
        <v>224</v>
      </c>
      <c r="N348" t="s">
        <v>215</v>
      </c>
      <c r="O348" s="57">
        <v>46298.658101851855</v>
      </c>
      <c r="P348" s="57">
        <v>46299.642013888886</v>
      </c>
      <c r="Q348">
        <v>69403698</v>
      </c>
      <c r="S348">
        <v>152646206276</v>
      </c>
      <c r="T348" t="s">
        <v>2660</v>
      </c>
      <c r="U348" t="s">
        <v>2661</v>
      </c>
      <c r="V348" t="s">
        <v>2662</v>
      </c>
      <c r="Z348">
        <v>111.99862266222701</v>
      </c>
      <c r="AA348">
        <v>-7.0649775207912899</v>
      </c>
      <c r="AB348" t="s">
        <v>2663</v>
      </c>
      <c r="AC348" t="s">
        <v>235</v>
      </c>
      <c r="AL348" t="s">
        <v>217</v>
      </c>
      <c r="AM348" t="s">
        <v>2664</v>
      </c>
      <c r="AN348" t="s">
        <v>6</v>
      </c>
      <c r="AO348" s="57">
        <v>46091.663622685184</v>
      </c>
      <c r="AP348" s="57">
        <v>46299.625</v>
      </c>
      <c r="AR348" t="s">
        <v>18</v>
      </c>
      <c r="AS348" t="s">
        <v>846</v>
      </c>
      <c r="AT348" t="s">
        <v>230</v>
      </c>
      <c r="AV348" t="s">
        <v>226</v>
      </c>
      <c r="AW348" t="s">
        <v>882</v>
      </c>
      <c r="AX348" t="s">
        <v>222</v>
      </c>
      <c r="BA348" s="57">
        <v>46299.625</v>
      </c>
      <c r="BB348" t="s">
        <v>2664</v>
      </c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str">
        <f>VLOOKUP(H348,Sheet2!$A$1:$B$270,2,FALSE)</f>
        <v>BOJONEGORO</v>
      </c>
    </row>
    <row r="349" spans="1:61">
      <c r="A349">
        <v>348</v>
      </c>
      <c r="B349">
        <v>1002616902</v>
      </c>
      <c r="C349">
        <v>3</v>
      </c>
      <c r="D349" t="s">
        <v>38</v>
      </c>
      <c r="E349">
        <v>5</v>
      </c>
      <c r="F349" t="s">
        <v>92</v>
      </c>
      <c r="G349" t="s">
        <v>97</v>
      </c>
      <c r="H349" t="s">
        <v>461</v>
      </c>
      <c r="I349" t="s">
        <v>212</v>
      </c>
      <c r="J349" t="s">
        <v>213</v>
      </c>
      <c r="K349" t="s">
        <v>149</v>
      </c>
      <c r="M349" t="s">
        <v>76</v>
      </c>
      <c r="N349" t="s">
        <v>215</v>
      </c>
      <c r="O349" s="57">
        <v>46296.358287037037</v>
      </c>
      <c r="P349" s="57">
        <v>46297.448020833333</v>
      </c>
      <c r="Q349">
        <v>69402022</v>
      </c>
      <c r="S349">
        <v>152646206273</v>
      </c>
      <c r="T349" t="s">
        <v>1321</v>
      </c>
      <c r="U349" t="s">
        <v>1322</v>
      </c>
      <c r="V349" t="s">
        <v>1323</v>
      </c>
      <c r="Z349">
        <v>111.96432128548599</v>
      </c>
      <c r="AA349">
        <v>-7.0930767066443199</v>
      </c>
      <c r="AB349" t="s">
        <v>1324</v>
      </c>
      <c r="AC349" t="s">
        <v>284</v>
      </c>
      <c r="AL349" t="s">
        <v>217</v>
      </c>
      <c r="AM349" t="s">
        <v>1325</v>
      </c>
      <c r="AN349" t="s">
        <v>6</v>
      </c>
      <c r="AO349" s="57">
        <v>46032.392847222225</v>
      </c>
      <c r="AP349" s="57">
        <v>46297.333333333336</v>
      </c>
      <c r="AR349" t="s">
        <v>218</v>
      </c>
      <c r="AS349" t="s">
        <v>846</v>
      </c>
      <c r="AT349" t="s">
        <v>230</v>
      </c>
      <c r="AU349">
        <v>20261002</v>
      </c>
      <c r="AV349" t="s">
        <v>221</v>
      </c>
      <c r="AW349" t="s">
        <v>540</v>
      </c>
      <c r="AX349" t="s">
        <v>222</v>
      </c>
      <c r="BA349" s="57">
        <v>46297.333333333336</v>
      </c>
      <c r="BB349" t="s">
        <v>1325</v>
      </c>
      <c r="BC349">
        <v>2026</v>
      </c>
      <c r="BD349">
        <v>10</v>
      </c>
      <c r="BE349">
        <v>2</v>
      </c>
      <c r="BF349" s="6">
        <f t="shared" si="15"/>
        <v>46297</v>
      </c>
      <c r="BG349">
        <f t="shared" si="16"/>
        <v>-0.33333333333575865</v>
      </c>
      <c r="BH349" t="str">
        <f t="shared" si="17"/>
        <v>COMPLY</v>
      </c>
      <c r="BI349" t="str">
        <f>VLOOKUP(H349,Sheet2!$A$1:$B$270,2,FALSE)</f>
        <v>BOJONEGORO</v>
      </c>
    </row>
    <row r="350" spans="1:61">
      <c r="A350">
        <v>349</v>
      </c>
      <c r="B350">
        <v>1002617187</v>
      </c>
      <c r="C350">
        <v>3</v>
      </c>
      <c r="D350" t="s">
        <v>45</v>
      </c>
      <c r="E350">
        <v>5</v>
      </c>
      <c r="F350" t="s">
        <v>113</v>
      </c>
      <c r="G350" t="s">
        <v>109</v>
      </c>
      <c r="H350" t="s">
        <v>300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46296.410127314812</v>
      </c>
      <c r="P350" s="57">
        <v>46297.902013888888</v>
      </c>
      <c r="Q350">
        <v>69402104</v>
      </c>
      <c r="S350">
        <v>172521216812</v>
      </c>
      <c r="T350" t="s">
        <v>1326</v>
      </c>
      <c r="U350" t="s">
        <v>1327</v>
      </c>
      <c r="V350" t="s">
        <v>1328</v>
      </c>
      <c r="Z350">
        <v>124.890847764909</v>
      </c>
      <c r="AA350">
        <v>-9.0988937736841393</v>
      </c>
      <c r="AB350" t="s">
        <v>1329</v>
      </c>
      <c r="AC350" t="s">
        <v>216</v>
      </c>
      <c r="AL350" t="s">
        <v>217</v>
      </c>
      <c r="AM350" t="s">
        <v>1330</v>
      </c>
      <c r="AN350" t="s">
        <v>6</v>
      </c>
      <c r="AO350" s="57">
        <v>46032.413738425923</v>
      </c>
      <c r="AP350" s="57">
        <v>46298.625</v>
      </c>
      <c r="AR350" t="s">
        <v>218</v>
      </c>
      <c r="AS350" t="s">
        <v>219</v>
      </c>
      <c r="AT350" t="s">
        <v>230</v>
      </c>
      <c r="AU350">
        <v>20261002</v>
      </c>
      <c r="AV350" t="s">
        <v>221</v>
      </c>
      <c r="AW350" t="s">
        <v>887</v>
      </c>
      <c r="AX350" t="s">
        <v>222</v>
      </c>
      <c r="BA350" s="57">
        <v>46298.625</v>
      </c>
      <c r="BB350" t="s">
        <v>1330</v>
      </c>
      <c r="BC350">
        <v>2026</v>
      </c>
      <c r="BD350">
        <v>10</v>
      </c>
      <c r="BE350">
        <v>2</v>
      </c>
      <c r="BF350" s="6">
        <f t="shared" si="15"/>
        <v>46297</v>
      </c>
      <c r="BG350">
        <f t="shared" si="16"/>
        <v>-1.625</v>
      </c>
      <c r="BH350" t="str">
        <f t="shared" si="17"/>
        <v>COMPLY</v>
      </c>
      <c r="BI350" t="str">
        <f>VLOOKUP(H350,Sheet2!$A$1:$B$270,2,FALSE)</f>
        <v>ATAMBUA</v>
      </c>
    </row>
    <row r="351" spans="1:61">
      <c r="A351">
        <v>350</v>
      </c>
      <c r="B351">
        <v>1002617177</v>
      </c>
      <c r="C351">
        <v>3</v>
      </c>
      <c r="D351" t="s">
        <v>45</v>
      </c>
      <c r="E351">
        <v>5</v>
      </c>
      <c r="F351" t="s">
        <v>113</v>
      </c>
      <c r="G351" t="s">
        <v>113</v>
      </c>
      <c r="H351" t="s">
        <v>315</v>
      </c>
      <c r="I351" t="s">
        <v>212</v>
      </c>
      <c r="J351" t="s">
        <v>213</v>
      </c>
      <c r="K351" t="s">
        <v>149</v>
      </c>
      <c r="M351" t="s">
        <v>895</v>
      </c>
      <c r="N351" t="s">
        <v>900</v>
      </c>
      <c r="O351" s="57">
        <v>46296.409583333334</v>
      </c>
      <c r="P351" s="57">
        <v>46297.467106481483</v>
      </c>
      <c r="Q351">
        <v>69402110</v>
      </c>
      <c r="S351">
        <v>172503813931</v>
      </c>
      <c r="T351" t="s">
        <v>1331</v>
      </c>
      <c r="U351" t="s">
        <v>1332</v>
      </c>
      <c r="V351" t="s">
        <v>1333</v>
      </c>
      <c r="Z351">
        <v>123.6427059</v>
      </c>
      <c r="AA351">
        <v>-10.156912699999999</v>
      </c>
      <c r="AB351" t="s">
        <v>1334</v>
      </c>
      <c r="AC351" t="s">
        <v>283</v>
      </c>
      <c r="AL351" t="s">
        <v>217</v>
      </c>
      <c r="AM351" t="s">
        <v>1335</v>
      </c>
      <c r="AN351" t="s">
        <v>6</v>
      </c>
      <c r="AO351" s="57">
        <v>46032.413738425923</v>
      </c>
      <c r="AP351" s="57">
        <v>46297.458333333336</v>
      </c>
      <c r="AR351" t="s">
        <v>886</v>
      </c>
      <c r="AS351" t="s">
        <v>113</v>
      </c>
      <c r="AT351" t="s">
        <v>230</v>
      </c>
      <c r="AV351" t="s">
        <v>896</v>
      </c>
      <c r="AW351" t="s">
        <v>540</v>
      </c>
      <c r="AX351" t="s">
        <v>222</v>
      </c>
      <c r="BA351" s="57">
        <v>46297.458333333336</v>
      </c>
      <c r="BB351" t="s">
        <v>1335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str">
        <f>VLOOKUP(H351,Sheet2!$A$1:$B$270,2,FALSE)</f>
        <v>KUPANG</v>
      </c>
    </row>
    <row r="352" spans="1:61">
      <c r="A352">
        <v>351</v>
      </c>
      <c r="B352">
        <v>1002617257</v>
      </c>
      <c r="C352">
        <v>3</v>
      </c>
      <c r="D352" t="s">
        <v>45</v>
      </c>
      <c r="E352">
        <v>5</v>
      </c>
      <c r="F352" t="s">
        <v>113</v>
      </c>
      <c r="G352" t="s">
        <v>113</v>
      </c>
      <c r="H352" t="s">
        <v>315</v>
      </c>
      <c r="I352" t="s">
        <v>212</v>
      </c>
      <c r="J352" t="s">
        <v>213</v>
      </c>
      <c r="K352" t="s">
        <v>149</v>
      </c>
      <c r="L352" t="s">
        <v>214</v>
      </c>
      <c r="M352" t="s">
        <v>542</v>
      </c>
      <c r="N352" t="s">
        <v>215</v>
      </c>
      <c r="O352" s="57">
        <v>46296.422013888892</v>
      </c>
      <c r="P352" s="57">
        <v>46296.422025462962</v>
      </c>
      <c r="Q352">
        <v>69397425</v>
      </c>
      <c r="T352" t="s">
        <v>908</v>
      </c>
      <c r="V352" t="s">
        <v>909</v>
      </c>
      <c r="Z352">
        <v>123.67400000000001</v>
      </c>
      <c r="AA352">
        <v>-10.186500000000001</v>
      </c>
      <c r="AB352" t="s">
        <v>910</v>
      </c>
      <c r="AC352" t="s">
        <v>216</v>
      </c>
      <c r="AL352" t="s">
        <v>217</v>
      </c>
      <c r="AM352" t="s">
        <v>907</v>
      </c>
      <c r="AN352" t="s">
        <v>6</v>
      </c>
      <c r="AO352" s="57">
        <v>46032.434247685182</v>
      </c>
      <c r="AP352" s="57">
        <v>46290</v>
      </c>
      <c r="AR352" t="s">
        <v>543</v>
      </c>
      <c r="AS352" t="s">
        <v>113</v>
      </c>
      <c r="AT352" t="s">
        <v>230</v>
      </c>
      <c r="AV352" t="s">
        <v>1336</v>
      </c>
      <c r="AW352" t="s">
        <v>885</v>
      </c>
      <c r="AX352" t="s">
        <v>222</v>
      </c>
      <c r="BA352" s="57">
        <v>46290.333333333336</v>
      </c>
      <c r="BB352" t="s">
        <v>907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str">
        <f>VLOOKUP(H352,Sheet2!$A$1:$B$270,2,FALSE)</f>
        <v>KUPANG</v>
      </c>
    </row>
    <row r="353" spans="1:61">
      <c r="A353">
        <v>352</v>
      </c>
      <c r="B353">
        <v>1002619312</v>
      </c>
      <c r="C353">
        <v>3</v>
      </c>
      <c r="D353" t="s">
        <v>45</v>
      </c>
      <c r="E353">
        <v>5</v>
      </c>
      <c r="F353" t="s">
        <v>113</v>
      </c>
      <c r="G353" t="s">
        <v>113</v>
      </c>
      <c r="H353" t="s">
        <v>406</v>
      </c>
      <c r="I353" t="s">
        <v>212</v>
      </c>
      <c r="J353" t="s">
        <v>213</v>
      </c>
      <c r="K353" t="s">
        <v>149</v>
      </c>
      <c r="L353" t="s">
        <v>214</v>
      </c>
      <c r="M353" t="s">
        <v>895</v>
      </c>
      <c r="N353" t="s">
        <v>215</v>
      </c>
      <c r="O353" s="57">
        <v>46297.432395833333</v>
      </c>
      <c r="P353" s="57">
        <v>46298.336516203701</v>
      </c>
      <c r="Q353">
        <v>69402857</v>
      </c>
      <c r="S353">
        <v>172502813390</v>
      </c>
      <c r="T353" t="s">
        <v>2665</v>
      </c>
      <c r="U353" t="s">
        <v>2666</v>
      </c>
      <c r="V353" t="s">
        <v>2667</v>
      </c>
      <c r="Z353">
        <v>123.6307018</v>
      </c>
      <c r="AA353">
        <v>-10.167846000000001</v>
      </c>
      <c r="AB353" t="s">
        <v>2668</v>
      </c>
      <c r="AC353" t="s">
        <v>235</v>
      </c>
      <c r="AL353" t="s">
        <v>217</v>
      </c>
      <c r="AM353" t="s">
        <v>2009</v>
      </c>
      <c r="AN353" t="s">
        <v>6</v>
      </c>
      <c r="AO353" s="57">
        <v>46063.444386574076</v>
      </c>
      <c r="AP353" s="57">
        <v>46298.333333333336</v>
      </c>
      <c r="AR353" t="s">
        <v>886</v>
      </c>
      <c r="AS353" t="s">
        <v>113</v>
      </c>
      <c r="AT353" t="s">
        <v>230</v>
      </c>
      <c r="AV353" t="s">
        <v>896</v>
      </c>
      <c r="AW353" t="s">
        <v>879</v>
      </c>
      <c r="AX353" t="s">
        <v>222</v>
      </c>
      <c r="BA353" s="57">
        <v>46298.333333333336</v>
      </c>
      <c r="BB353" t="s">
        <v>2009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str">
        <f>VLOOKUP(H353,Sheet2!$A$1:$B$270,2,FALSE)</f>
        <v>KUPANG</v>
      </c>
    </row>
    <row r="354" spans="1:61">
      <c r="A354">
        <v>353</v>
      </c>
      <c r="B354">
        <v>1002618763</v>
      </c>
      <c r="C354">
        <v>3</v>
      </c>
      <c r="D354" t="s">
        <v>45</v>
      </c>
      <c r="E354">
        <v>5</v>
      </c>
      <c r="F354" t="s">
        <v>113</v>
      </c>
      <c r="G354" t="s">
        <v>113</v>
      </c>
      <c r="H354" t="s">
        <v>406</v>
      </c>
      <c r="I354" t="s">
        <v>212</v>
      </c>
      <c r="J354" t="s">
        <v>213</v>
      </c>
      <c r="K354" t="s">
        <v>149</v>
      </c>
      <c r="L354" t="s">
        <v>214</v>
      </c>
      <c r="M354" t="s">
        <v>224</v>
      </c>
      <c r="N354" t="s">
        <v>215</v>
      </c>
      <c r="O354" s="57">
        <v>46296.743506944447</v>
      </c>
      <c r="P354" s="57">
        <v>46297.398321759261</v>
      </c>
      <c r="Q354">
        <v>69402662</v>
      </c>
      <c r="S354">
        <v>172502813216</v>
      </c>
      <c r="T354" t="s">
        <v>1342</v>
      </c>
      <c r="U354" t="s">
        <v>1343</v>
      </c>
      <c r="V354" t="s">
        <v>1344</v>
      </c>
      <c r="Z354">
        <v>123.59496660000001</v>
      </c>
      <c r="AA354">
        <v>-10.156082100000001</v>
      </c>
      <c r="AB354" t="s">
        <v>1345</v>
      </c>
      <c r="AC354" t="s">
        <v>216</v>
      </c>
      <c r="AL354" t="s">
        <v>217</v>
      </c>
      <c r="AM354" t="s">
        <v>1346</v>
      </c>
      <c r="AN354" t="s">
        <v>6</v>
      </c>
      <c r="AO354" s="57">
        <v>46032.746898148151</v>
      </c>
      <c r="AP354" s="57">
        <v>46297.625</v>
      </c>
      <c r="AR354" t="s">
        <v>18</v>
      </c>
      <c r="AS354" t="s">
        <v>113</v>
      </c>
      <c r="AT354" t="s">
        <v>230</v>
      </c>
      <c r="AV354" t="s">
        <v>226</v>
      </c>
      <c r="AW354" t="s">
        <v>878</v>
      </c>
      <c r="AX354" t="s">
        <v>222</v>
      </c>
      <c r="BA354" s="57">
        <v>46297.625</v>
      </c>
      <c r="BB354" t="s">
        <v>1346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str">
        <f>VLOOKUP(H354,Sheet2!$A$1:$B$270,2,FALSE)</f>
        <v>KUPANG</v>
      </c>
    </row>
    <row r="355" spans="1:61">
      <c r="A355">
        <v>354</v>
      </c>
      <c r="B355">
        <v>1002617806</v>
      </c>
      <c r="C355">
        <v>3</v>
      </c>
      <c r="D355" t="s">
        <v>45</v>
      </c>
      <c r="E355">
        <v>5</v>
      </c>
      <c r="F355" t="s">
        <v>113</v>
      </c>
      <c r="G355" t="s">
        <v>113</v>
      </c>
      <c r="H355" t="s">
        <v>406</v>
      </c>
      <c r="I355" t="s">
        <v>212</v>
      </c>
      <c r="J355" t="s">
        <v>213</v>
      </c>
      <c r="K355" t="s">
        <v>149</v>
      </c>
      <c r="L355" t="s">
        <v>214</v>
      </c>
      <c r="M355" t="s">
        <v>76</v>
      </c>
      <c r="N355" t="s">
        <v>215</v>
      </c>
      <c r="O355" s="57">
        <v>46296.549062500002</v>
      </c>
      <c r="P355" s="57">
        <v>46297.770231481481</v>
      </c>
      <c r="Q355">
        <v>69402338</v>
      </c>
      <c r="S355">
        <v>172502813927</v>
      </c>
      <c r="T355" t="s">
        <v>1337</v>
      </c>
      <c r="U355" t="s">
        <v>1338</v>
      </c>
      <c r="V355" t="s">
        <v>1339</v>
      </c>
      <c r="Z355">
        <v>123.6017471</v>
      </c>
      <c r="AA355">
        <v>-10.176331599999999</v>
      </c>
      <c r="AB355" t="s">
        <v>1340</v>
      </c>
      <c r="AC355" t="s">
        <v>235</v>
      </c>
      <c r="AL355" t="s">
        <v>217</v>
      </c>
      <c r="AM355" t="s">
        <v>1341</v>
      </c>
      <c r="AN355" t="s">
        <v>6</v>
      </c>
      <c r="AO355" s="57">
        <v>46032.559305555558</v>
      </c>
      <c r="AP355" s="57">
        <v>46297.458333333336</v>
      </c>
      <c r="AR355" t="s">
        <v>218</v>
      </c>
      <c r="AS355" t="s">
        <v>113</v>
      </c>
      <c r="AT355" t="s">
        <v>230</v>
      </c>
      <c r="AU355">
        <v>20261002</v>
      </c>
      <c r="AV355" t="s">
        <v>221</v>
      </c>
      <c r="AW355" t="s">
        <v>802</v>
      </c>
      <c r="AX355" t="s">
        <v>222</v>
      </c>
      <c r="BA355" s="57">
        <v>46297.458333333336</v>
      </c>
      <c r="BB355" t="s">
        <v>1341</v>
      </c>
      <c r="BC355">
        <v>2026</v>
      </c>
      <c r="BD355">
        <v>10</v>
      </c>
      <c r="BE355">
        <v>2</v>
      </c>
      <c r="BF355" s="6">
        <f t="shared" si="15"/>
        <v>46297</v>
      </c>
      <c r="BG355">
        <f t="shared" si="16"/>
        <v>-0.45833333333575865</v>
      </c>
      <c r="BH355" t="str">
        <f t="shared" si="17"/>
        <v>COMPLY</v>
      </c>
      <c r="BI355" t="str">
        <f>VLOOKUP(H355,Sheet2!$A$1:$B$270,2,FALSE)</f>
        <v>KUPANG</v>
      </c>
    </row>
    <row r="356" spans="1:61">
      <c r="A356">
        <v>355</v>
      </c>
      <c r="B356">
        <v>1002620236</v>
      </c>
      <c r="C356">
        <v>3</v>
      </c>
      <c r="D356" t="s">
        <v>45</v>
      </c>
      <c r="E356">
        <v>5</v>
      </c>
      <c r="F356" t="s">
        <v>113</v>
      </c>
      <c r="G356" t="s">
        <v>113</v>
      </c>
      <c r="H356" t="s">
        <v>406</v>
      </c>
      <c r="I356" t="s">
        <v>212</v>
      </c>
      <c r="J356" t="s">
        <v>213</v>
      </c>
      <c r="K356" t="s">
        <v>149</v>
      </c>
      <c r="L356" t="s">
        <v>214</v>
      </c>
      <c r="M356" t="s">
        <v>255</v>
      </c>
      <c r="N356" t="s">
        <v>215</v>
      </c>
      <c r="O356" s="57">
        <v>46297.640740740739</v>
      </c>
      <c r="P356" s="57">
        <v>46298.736747685187</v>
      </c>
      <c r="Q356">
        <v>69403258</v>
      </c>
      <c r="S356">
        <v>172502813396</v>
      </c>
      <c r="T356" t="s">
        <v>2669</v>
      </c>
      <c r="U356" t="s">
        <v>2670</v>
      </c>
      <c r="V356" t="s">
        <v>2671</v>
      </c>
      <c r="Z356">
        <v>123.61100709999999</v>
      </c>
      <c r="AA356">
        <v>-10.1728284</v>
      </c>
      <c r="AB356" t="s">
        <v>2672</v>
      </c>
      <c r="AC356" t="s">
        <v>235</v>
      </c>
      <c r="AL356" t="s">
        <v>217</v>
      </c>
      <c r="AM356" t="s">
        <v>2673</v>
      </c>
      <c r="AN356" t="s">
        <v>6</v>
      </c>
      <c r="AO356" s="57">
        <v>46063.652951388889</v>
      </c>
      <c r="AP356" s="57">
        <v>46298.625</v>
      </c>
      <c r="AR356" t="s">
        <v>256</v>
      </c>
      <c r="AS356" t="s">
        <v>113</v>
      </c>
      <c r="AT356" t="s">
        <v>230</v>
      </c>
      <c r="AV356" t="s">
        <v>257</v>
      </c>
      <c r="AW356" t="s">
        <v>928</v>
      </c>
      <c r="AX356" t="s">
        <v>222</v>
      </c>
      <c r="BA356" s="57">
        <v>46298.625</v>
      </c>
      <c r="BB356" t="s">
        <v>2673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str">
        <f>VLOOKUP(H356,Sheet2!$A$1:$B$270,2,FALSE)</f>
        <v>KUPANG</v>
      </c>
    </row>
    <row r="357" spans="1:61">
      <c r="A357">
        <v>356</v>
      </c>
      <c r="B357">
        <v>1002620326</v>
      </c>
      <c r="C357">
        <v>3</v>
      </c>
      <c r="D357" t="s">
        <v>45</v>
      </c>
      <c r="E357">
        <v>5</v>
      </c>
      <c r="F357" t="s">
        <v>113</v>
      </c>
      <c r="G357" t="s">
        <v>113</v>
      </c>
      <c r="H357" t="s">
        <v>406</v>
      </c>
      <c r="I357" t="s">
        <v>212</v>
      </c>
      <c r="J357" t="s">
        <v>213</v>
      </c>
      <c r="K357" t="s">
        <v>149</v>
      </c>
      <c r="L357" t="s">
        <v>214</v>
      </c>
      <c r="M357" t="s">
        <v>255</v>
      </c>
      <c r="N357" t="s">
        <v>215</v>
      </c>
      <c r="O357" s="57">
        <v>46297.657337962963</v>
      </c>
      <c r="P357" s="57">
        <v>46299.691331018519</v>
      </c>
      <c r="Q357">
        <v>69403285</v>
      </c>
      <c r="S357">
        <v>172502813398</v>
      </c>
      <c r="T357" t="s">
        <v>2674</v>
      </c>
      <c r="U357" t="s">
        <v>2675</v>
      </c>
      <c r="V357" t="s">
        <v>2676</v>
      </c>
      <c r="Z357">
        <v>123.613508082926</v>
      </c>
      <c r="AA357">
        <v>-10.1786373183068</v>
      </c>
      <c r="AB357" t="s">
        <v>2677</v>
      </c>
      <c r="AC357" t="s">
        <v>216</v>
      </c>
      <c r="AL357" t="s">
        <v>217</v>
      </c>
      <c r="AM357" t="s">
        <v>2678</v>
      </c>
      <c r="AN357" t="s">
        <v>6</v>
      </c>
      <c r="AO357" s="57">
        <v>46063.663495370369</v>
      </c>
      <c r="AP357" s="57">
        <v>46298.625</v>
      </c>
      <c r="AR357" t="s">
        <v>256</v>
      </c>
      <c r="AS357" t="s">
        <v>113</v>
      </c>
      <c r="AT357" t="s">
        <v>230</v>
      </c>
      <c r="AV357" t="s">
        <v>257</v>
      </c>
      <c r="AW357" t="s">
        <v>885</v>
      </c>
      <c r="AX357" t="s">
        <v>222</v>
      </c>
      <c r="BA357" s="57">
        <v>46298.625</v>
      </c>
      <c r="BB357" t="s">
        <v>2678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KUPANG</v>
      </c>
    </row>
    <row r="358" spans="1:61">
      <c r="A358">
        <v>357</v>
      </c>
      <c r="B358">
        <v>1002621034</v>
      </c>
      <c r="C358">
        <v>3</v>
      </c>
      <c r="D358" t="s">
        <v>45</v>
      </c>
      <c r="E358">
        <v>5</v>
      </c>
      <c r="F358" t="s">
        <v>113</v>
      </c>
      <c r="G358" t="s">
        <v>113</v>
      </c>
      <c r="H358" t="s">
        <v>406</v>
      </c>
      <c r="I358" t="s">
        <v>212</v>
      </c>
      <c r="J358" t="s">
        <v>213</v>
      </c>
      <c r="K358" t="s">
        <v>149</v>
      </c>
      <c r="L358" t="s">
        <v>214</v>
      </c>
      <c r="M358" t="s">
        <v>238</v>
      </c>
      <c r="N358" t="s">
        <v>215</v>
      </c>
      <c r="O358" s="57">
        <v>46298.593506944446</v>
      </c>
      <c r="P358" s="57">
        <v>46298.59516203704</v>
      </c>
      <c r="Q358">
        <v>69403649</v>
      </c>
      <c r="S358">
        <v>172502813753</v>
      </c>
      <c r="T358" t="s">
        <v>2679</v>
      </c>
      <c r="U358" t="s">
        <v>2680</v>
      </c>
      <c r="V358" t="s">
        <v>2681</v>
      </c>
      <c r="Z358">
        <v>123.613802455365</v>
      </c>
      <c r="AA358">
        <v>-10.2085447515353</v>
      </c>
      <c r="AB358" t="s">
        <v>2682</v>
      </c>
      <c r="AC358" t="s">
        <v>216</v>
      </c>
      <c r="AL358" t="s">
        <v>217</v>
      </c>
      <c r="AM358" t="s">
        <v>2683</v>
      </c>
      <c r="AN358" t="s">
        <v>6</v>
      </c>
      <c r="AO358" s="57">
        <v>46091.600613425922</v>
      </c>
      <c r="AP358" s="57">
        <v>46300</v>
      </c>
      <c r="AR358" t="s">
        <v>239</v>
      </c>
      <c r="AS358" t="s">
        <v>113</v>
      </c>
      <c r="AT358" t="s">
        <v>230</v>
      </c>
      <c r="AV358" t="s">
        <v>238</v>
      </c>
      <c r="AW358" t="s">
        <v>882</v>
      </c>
      <c r="AX358" t="s">
        <v>222</v>
      </c>
      <c r="BA358" s="57">
        <v>46300.333333333336</v>
      </c>
      <c r="BB358" t="s">
        <v>2683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str">
        <f>VLOOKUP(H358,Sheet2!$A$1:$B$270,2,FALSE)</f>
        <v>KUPANG</v>
      </c>
    </row>
    <row r="359" spans="1:61">
      <c r="A359">
        <v>358</v>
      </c>
      <c r="B359">
        <v>1002620003</v>
      </c>
      <c r="C359">
        <v>3</v>
      </c>
      <c r="D359" t="s">
        <v>45</v>
      </c>
      <c r="E359">
        <v>5</v>
      </c>
      <c r="F359" t="s">
        <v>113</v>
      </c>
      <c r="G359" t="s">
        <v>120</v>
      </c>
      <c r="H359" t="s">
        <v>465</v>
      </c>
      <c r="I359" t="s">
        <v>212</v>
      </c>
      <c r="J359" t="s">
        <v>213</v>
      </c>
      <c r="K359" t="s">
        <v>149</v>
      </c>
      <c r="M359" t="s">
        <v>819</v>
      </c>
      <c r="N359" t="s">
        <v>215</v>
      </c>
      <c r="O359" s="57">
        <v>46297.603761574072</v>
      </c>
      <c r="P359" s="57">
        <v>46297.605636574073</v>
      </c>
      <c r="Q359">
        <v>69403166</v>
      </c>
      <c r="S359">
        <v>172504801744</v>
      </c>
      <c r="T359" t="s">
        <v>2684</v>
      </c>
      <c r="U359" t="s">
        <v>2685</v>
      </c>
      <c r="Z359">
        <v>121.91690537228099</v>
      </c>
      <c r="AA359">
        <v>-10.446968552249499</v>
      </c>
      <c r="AB359" t="s">
        <v>2686</v>
      </c>
      <c r="AC359" t="s">
        <v>2687</v>
      </c>
      <c r="AO359" s="57">
        <v>46063.61105324074</v>
      </c>
      <c r="AR359" t="s">
        <v>325</v>
      </c>
      <c r="AS359" t="s">
        <v>219</v>
      </c>
      <c r="AT359" t="s">
        <v>230</v>
      </c>
      <c r="AV359" t="s">
        <v>820</v>
      </c>
      <c r="AW359" t="s">
        <v>1495</v>
      </c>
      <c r="AX359" t="s">
        <v>222</v>
      </c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str">
        <f>VLOOKUP(H359,Sheet2!$A$1:$B$270,2,FALSE)</f>
        <v>WAINGAPU</v>
      </c>
    </row>
    <row r="360" spans="1:61">
      <c r="A360">
        <v>359</v>
      </c>
      <c r="B360">
        <v>1002620421</v>
      </c>
      <c r="C360">
        <v>3</v>
      </c>
      <c r="D360" t="s">
        <v>45</v>
      </c>
      <c r="E360">
        <v>5</v>
      </c>
      <c r="F360" t="s">
        <v>113</v>
      </c>
      <c r="G360" t="s">
        <v>119</v>
      </c>
      <c r="H360" t="s">
        <v>367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46297.681006944447</v>
      </c>
      <c r="P360" s="57">
        <v>46298.696226851855</v>
      </c>
      <c r="Q360">
        <v>69403298</v>
      </c>
      <c r="S360">
        <v>172516597756</v>
      </c>
      <c r="T360" t="s">
        <v>2688</v>
      </c>
      <c r="U360" t="s">
        <v>2689</v>
      </c>
      <c r="V360" t="s">
        <v>2690</v>
      </c>
      <c r="Z360">
        <v>119.38501599999999</v>
      </c>
      <c r="AA360">
        <v>-9.6343960000000006</v>
      </c>
      <c r="AB360" t="s">
        <v>2691</v>
      </c>
      <c r="AC360" t="s">
        <v>235</v>
      </c>
      <c r="AL360" t="s">
        <v>217</v>
      </c>
      <c r="AM360" t="s">
        <v>2692</v>
      </c>
      <c r="AN360" t="s">
        <v>6</v>
      </c>
      <c r="AO360" s="57">
        <v>46063.684548611112</v>
      </c>
      <c r="AP360" s="57">
        <v>46298.625</v>
      </c>
      <c r="AR360" t="s">
        <v>218</v>
      </c>
      <c r="AS360" t="s">
        <v>119</v>
      </c>
      <c r="AT360" t="s">
        <v>2693</v>
      </c>
      <c r="AU360">
        <v>20261003</v>
      </c>
      <c r="AV360" t="s">
        <v>221</v>
      </c>
      <c r="AW360" t="s">
        <v>2694</v>
      </c>
      <c r="AX360" t="s">
        <v>222</v>
      </c>
      <c r="BA360" s="57">
        <v>46298.625</v>
      </c>
      <c r="BB360" t="s">
        <v>2692</v>
      </c>
      <c r="BC360">
        <v>2026</v>
      </c>
      <c r="BD360">
        <v>10</v>
      </c>
      <c r="BE360">
        <v>3</v>
      </c>
      <c r="BF360" s="6">
        <f t="shared" si="15"/>
        <v>46298</v>
      </c>
      <c r="BG360">
        <f t="shared" si="16"/>
        <v>-0.625</v>
      </c>
      <c r="BH360" t="str">
        <f t="shared" si="17"/>
        <v>COMPLY</v>
      </c>
      <c r="BI360" t="str">
        <f>VLOOKUP(H360,Sheet2!$A$1:$B$270,2,FALSE)</f>
        <v>WAINGAPU</v>
      </c>
    </row>
    <row r="361" spans="1:61">
      <c r="A361">
        <v>360</v>
      </c>
      <c r="B361">
        <v>1002620730</v>
      </c>
      <c r="C361">
        <v>3</v>
      </c>
      <c r="D361" t="s">
        <v>45</v>
      </c>
      <c r="E361">
        <v>5</v>
      </c>
      <c r="F361" t="s">
        <v>113</v>
      </c>
      <c r="G361" t="s">
        <v>119</v>
      </c>
      <c r="H361" t="s">
        <v>367</v>
      </c>
      <c r="I361" t="s">
        <v>212</v>
      </c>
      <c r="J361" t="s">
        <v>213</v>
      </c>
      <c r="K361" t="s">
        <v>149</v>
      </c>
      <c r="L361" t="s">
        <v>214</v>
      </c>
      <c r="M361" t="s">
        <v>238</v>
      </c>
      <c r="N361" t="s">
        <v>215</v>
      </c>
      <c r="O361" s="57">
        <v>46298.349004629628</v>
      </c>
      <c r="P361" s="57">
        <v>46298.350069444445</v>
      </c>
      <c r="Q361">
        <v>69403453</v>
      </c>
      <c r="S361">
        <v>172516597755</v>
      </c>
      <c r="T361" t="s">
        <v>2688</v>
      </c>
      <c r="U361" t="s">
        <v>2695</v>
      </c>
      <c r="V361" t="s">
        <v>2696</v>
      </c>
      <c r="Z361">
        <v>119.385746368753</v>
      </c>
      <c r="AA361">
        <v>-9.6342574625225499</v>
      </c>
      <c r="AB361" t="s">
        <v>2697</v>
      </c>
      <c r="AC361" t="s">
        <v>235</v>
      </c>
      <c r="AL361" t="s">
        <v>217</v>
      </c>
      <c r="AM361" t="s">
        <v>2698</v>
      </c>
      <c r="AN361" t="s">
        <v>6</v>
      </c>
      <c r="AO361" s="57">
        <v>46091.350902777776</v>
      </c>
      <c r="AP361" s="57">
        <v>46301.333333333336</v>
      </c>
      <c r="AR361" t="s">
        <v>239</v>
      </c>
      <c r="AS361" t="s">
        <v>119</v>
      </c>
      <c r="AT361" t="s">
        <v>2693</v>
      </c>
      <c r="AV361" t="s">
        <v>238</v>
      </c>
      <c r="AW361" t="s">
        <v>2699</v>
      </c>
      <c r="AX361" t="s">
        <v>222</v>
      </c>
      <c r="BA361" s="57">
        <v>46301.333333333336</v>
      </c>
      <c r="BB361" t="s">
        <v>2698</v>
      </c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str">
        <f>VLOOKUP(H361,Sheet2!$A$1:$B$270,2,FALSE)</f>
        <v>WAINGAPU</v>
      </c>
    </row>
    <row r="362" spans="1:61">
      <c r="A362">
        <v>361</v>
      </c>
      <c r="B362">
        <v>1002621356</v>
      </c>
      <c r="C362">
        <v>3</v>
      </c>
      <c r="D362" t="s">
        <v>42</v>
      </c>
      <c r="E362">
        <v>5</v>
      </c>
      <c r="F362" t="s">
        <v>102</v>
      </c>
      <c r="G362" t="s">
        <v>99</v>
      </c>
      <c r="H362" t="s">
        <v>489</v>
      </c>
      <c r="I362" t="s">
        <v>212</v>
      </c>
      <c r="J362" t="s">
        <v>213</v>
      </c>
      <c r="K362" t="s">
        <v>149</v>
      </c>
      <c r="L362" t="s">
        <v>214</v>
      </c>
      <c r="M362" t="s">
        <v>238</v>
      </c>
      <c r="N362" t="s">
        <v>215</v>
      </c>
      <c r="O362" s="57">
        <v>46299.518495370372</v>
      </c>
      <c r="P362" s="57">
        <v>46299.519467592596</v>
      </c>
      <c r="Q362">
        <v>69403861</v>
      </c>
      <c r="S362">
        <v>152520202480</v>
      </c>
      <c r="T362" t="s">
        <v>2700</v>
      </c>
      <c r="U362" t="s">
        <v>2701</v>
      </c>
      <c r="V362" t="s">
        <v>2702</v>
      </c>
      <c r="Z362">
        <v>113.982499502599</v>
      </c>
      <c r="AA362">
        <v>-8.29811331704847</v>
      </c>
      <c r="AB362" t="s">
        <v>2703</v>
      </c>
      <c r="AC362" t="s">
        <v>216</v>
      </c>
      <c r="AL362" t="s">
        <v>217</v>
      </c>
      <c r="AM362" t="s">
        <v>2704</v>
      </c>
      <c r="AN362" t="s">
        <v>6</v>
      </c>
      <c r="AO362" s="57">
        <v>46122.528171296297</v>
      </c>
      <c r="AP362" s="57">
        <v>46300.458333333336</v>
      </c>
      <c r="AR362" t="s">
        <v>239</v>
      </c>
      <c r="AS362" t="s">
        <v>556</v>
      </c>
      <c r="AT362" t="s">
        <v>230</v>
      </c>
      <c r="AV362" t="s">
        <v>238</v>
      </c>
      <c r="AW362" t="s">
        <v>877</v>
      </c>
      <c r="AX362" t="s">
        <v>222</v>
      </c>
      <c r="BA362" s="57">
        <v>46300.458333333336</v>
      </c>
      <c r="BB362" t="s">
        <v>2704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str">
        <f>VLOOKUP(H362,Sheet2!$A$1:$B$270,2,FALSE)</f>
        <v>BANYUWANGI</v>
      </c>
    </row>
    <row r="363" spans="1:61">
      <c r="A363">
        <v>362</v>
      </c>
      <c r="B363">
        <v>1002618758</v>
      </c>
      <c r="C363">
        <v>3</v>
      </c>
      <c r="D363" t="s">
        <v>42</v>
      </c>
      <c r="E363">
        <v>5</v>
      </c>
      <c r="F363" t="s">
        <v>102</v>
      </c>
      <c r="G363" t="s">
        <v>99</v>
      </c>
      <c r="H363" t="s">
        <v>488</v>
      </c>
      <c r="I363" t="s">
        <v>212</v>
      </c>
      <c r="J363" t="s">
        <v>213</v>
      </c>
      <c r="K363" t="s">
        <v>149</v>
      </c>
      <c r="L363" t="s">
        <v>214</v>
      </c>
      <c r="M363" t="s">
        <v>76</v>
      </c>
      <c r="N363" t="s">
        <v>215</v>
      </c>
      <c r="O363" s="57">
        <v>46296.742754629631</v>
      </c>
      <c r="P363" s="57">
        <v>46297.480393518519</v>
      </c>
      <c r="Q363">
        <v>69402657</v>
      </c>
      <c r="S363">
        <v>152521203623</v>
      </c>
      <c r="T363" t="s">
        <v>1347</v>
      </c>
      <c r="U363" t="s">
        <v>1348</v>
      </c>
      <c r="V363" t="s">
        <v>1349</v>
      </c>
      <c r="Z363">
        <v>114.048638418316</v>
      </c>
      <c r="AA363">
        <v>-8.5835215538648306</v>
      </c>
      <c r="AB363" t="s">
        <v>1350</v>
      </c>
      <c r="AC363" t="s">
        <v>216</v>
      </c>
      <c r="AL363" t="s">
        <v>217</v>
      </c>
      <c r="AM363" t="s">
        <v>1351</v>
      </c>
      <c r="AN363" t="s">
        <v>6</v>
      </c>
      <c r="AO363" s="57">
        <v>46032.746898148151</v>
      </c>
      <c r="AP363" s="57">
        <v>46297.625</v>
      </c>
      <c r="AR363" t="s">
        <v>218</v>
      </c>
      <c r="AS363" t="s">
        <v>556</v>
      </c>
      <c r="AT363" t="s">
        <v>230</v>
      </c>
      <c r="AU363">
        <v>20261002</v>
      </c>
      <c r="AV363" t="s">
        <v>221</v>
      </c>
      <c r="AW363" t="s">
        <v>877</v>
      </c>
      <c r="AX363" t="s">
        <v>222</v>
      </c>
      <c r="BA363" s="57">
        <v>46297.625</v>
      </c>
      <c r="BB363" t="s">
        <v>1351</v>
      </c>
      <c r="BC363">
        <v>2026</v>
      </c>
      <c r="BD363">
        <v>10</v>
      </c>
      <c r="BE363">
        <v>2</v>
      </c>
      <c r="BF363" s="6">
        <f t="shared" si="15"/>
        <v>46297</v>
      </c>
      <c r="BG363">
        <f t="shared" si="16"/>
        <v>-0.625</v>
      </c>
      <c r="BH363" t="str">
        <f t="shared" si="17"/>
        <v>COMPLY</v>
      </c>
      <c r="BI363" t="str">
        <f>VLOOKUP(H363,Sheet2!$A$1:$B$270,2,FALSE)</f>
        <v>BANYUWANGI</v>
      </c>
    </row>
    <row r="364" spans="1:61">
      <c r="A364">
        <v>363</v>
      </c>
      <c r="B364">
        <v>1002620410</v>
      </c>
      <c r="C364">
        <v>3</v>
      </c>
      <c r="D364" t="s">
        <v>42</v>
      </c>
      <c r="E364">
        <v>5</v>
      </c>
      <c r="F364" t="s">
        <v>102</v>
      </c>
      <c r="G364" t="s">
        <v>100</v>
      </c>
      <c r="H364" t="s">
        <v>275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46297.676099537035</v>
      </c>
      <c r="P364" s="57">
        <v>46298.581689814811</v>
      </c>
      <c r="Q364">
        <v>69403306</v>
      </c>
      <c r="S364">
        <v>152507223987</v>
      </c>
      <c r="T364" t="s">
        <v>2705</v>
      </c>
      <c r="U364" t="s">
        <v>2706</v>
      </c>
      <c r="V364" t="s">
        <v>2707</v>
      </c>
      <c r="Z364">
        <v>113.9235102</v>
      </c>
      <c r="AA364">
        <v>-7.8683870000000002</v>
      </c>
      <c r="AB364" t="s">
        <v>2708</v>
      </c>
      <c r="AC364" t="s">
        <v>235</v>
      </c>
      <c r="AL364" t="s">
        <v>217</v>
      </c>
      <c r="AM364" t="s">
        <v>2709</v>
      </c>
      <c r="AN364" t="s">
        <v>6</v>
      </c>
      <c r="AO364" s="57">
        <v>46063.684548611112</v>
      </c>
      <c r="AP364" s="57">
        <v>46298.625</v>
      </c>
      <c r="AR364" t="s">
        <v>218</v>
      </c>
      <c r="AS364" t="s">
        <v>100</v>
      </c>
      <c r="AT364" t="s">
        <v>230</v>
      </c>
      <c r="AU364">
        <v>20261003</v>
      </c>
      <c r="AV364" t="s">
        <v>221</v>
      </c>
      <c r="AW364" t="s">
        <v>883</v>
      </c>
      <c r="AX364" t="s">
        <v>222</v>
      </c>
      <c r="BA364" s="57">
        <v>46298.625</v>
      </c>
      <c r="BB364" t="s">
        <v>2709</v>
      </c>
      <c r="BC364">
        <v>2026</v>
      </c>
      <c r="BD364">
        <v>10</v>
      </c>
      <c r="BE364">
        <v>3</v>
      </c>
      <c r="BF364" s="6">
        <f t="shared" si="15"/>
        <v>46298</v>
      </c>
      <c r="BG364">
        <f t="shared" si="16"/>
        <v>-0.625</v>
      </c>
      <c r="BH364" t="str">
        <f t="shared" si="17"/>
        <v>COMPLY</v>
      </c>
      <c r="BI364" t="str">
        <f>VLOOKUP(H364,Sheet2!$A$1:$B$270,2,FALSE)</f>
        <v>JEMBER</v>
      </c>
    </row>
    <row r="365" spans="1:61">
      <c r="A365">
        <v>364</v>
      </c>
      <c r="B365">
        <v>1002618623</v>
      </c>
      <c r="C365">
        <v>3</v>
      </c>
      <c r="D365" t="s">
        <v>42</v>
      </c>
      <c r="E365">
        <v>5</v>
      </c>
      <c r="F365" t="s">
        <v>102</v>
      </c>
      <c r="G365" t="s">
        <v>108</v>
      </c>
      <c r="H365" t="s">
        <v>494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46296.69699074074</v>
      </c>
      <c r="P365" s="57">
        <v>46298.728703703702</v>
      </c>
      <c r="Q365">
        <v>69402610</v>
      </c>
      <c r="S365">
        <v>152529201365</v>
      </c>
      <c r="T365" t="s">
        <v>1352</v>
      </c>
      <c r="U365" t="s">
        <v>1353</v>
      </c>
      <c r="V365" t="s">
        <v>1354</v>
      </c>
      <c r="Z365">
        <v>113.803239</v>
      </c>
      <c r="AA365">
        <v>-7.776408</v>
      </c>
      <c r="AB365" t="s">
        <v>1355</v>
      </c>
      <c r="AC365" t="s">
        <v>235</v>
      </c>
      <c r="AL365" t="s">
        <v>217</v>
      </c>
      <c r="AM365" t="s">
        <v>1356</v>
      </c>
      <c r="AN365" t="s">
        <v>6</v>
      </c>
      <c r="AO365" s="57">
        <v>46032.726099537038</v>
      </c>
      <c r="AP365" s="57">
        <v>46297.625</v>
      </c>
      <c r="AR365" t="s">
        <v>218</v>
      </c>
      <c r="AS365" t="s">
        <v>108</v>
      </c>
      <c r="AT365" t="s">
        <v>230</v>
      </c>
      <c r="AU365">
        <v>20261003</v>
      </c>
      <c r="AV365" t="s">
        <v>221</v>
      </c>
      <c r="AW365" t="s">
        <v>864</v>
      </c>
      <c r="AX365" t="s">
        <v>222</v>
      </c>
      <c r="BA365" s="57">
        <v>46297.625</v>
      </c>
      <c r="BB365" t="s">
        <v>1356</v>
      </c>
      <c r="BC365">
        <v>2026</v>
      </c>
      <c r="BD365">
        <v>10</v>
      </c>
      <c r="BE365">
        <v>3</v>
      </c>
      <c r="BF365" s="6">
        <f t="shared" si="15"/>
        <v>46298</v>
      </c>
      <c r="BG365">
        <f t="shared" si="16"/>
        <v>0.375</v>
      </c>
      <c r="BH365" t="str">
        <f t="shared" si="17"/>
        <v>COMPLY</v>
      </c>
      <c r="BI365" t="str">
        <f>VLOOKUP(H365,Sheet2!$A$1:$B$270,2,FALSE)</f>
        <v>BANYUWANGI</v>
      </c>
    </row>
    <row r="366" spans="1:61">
      <c r="A366">
        <v>365</v>
      </c>
      <c r="B366">
        <v>1002617166</v>
      </c>
      <c r="C366">
        <v>3</v>
      </c>
      <c r="D366" t="s">
        <v>42</v>
      </c>
      <c r="E366">
        <v>5</v>
      </c>
      <c r="F366" t="s">
        <v>102</v>
      </c>
      <c r="G366" t="s">
        <v>102</v>
      </c>
      <c r="H366" t="s">
        <v>372</v>
      </c>
      <c r="I366" t="s">
        <v>212</v>
      </c>
      <c r="J366" t="s">
        <v>213</v>
      </c>
      <c r="K366" t="s">
        <v>149</v>
      </c>
      <c r="M366" t="s">
        <v>76</v>
      </c>
      <c r="N366" t="s">
        <v>215</v>
      </c>
      <c r="O366" s="57">
        <v>46296.408101851855</v>
      </c>
      <c r="P366" s="57">
        <v>46296.850081018521</v>
      </c>
      <c r="Q366">
        <v>69400906</v>
      </c>
      <c r="R366">
        <v>3368900010</v>
      </c>
      <c r="S366">
        <v>152539206020</v>
      </c>
      <c r="T366" t="s">
        <v>932</v>
      </c>
      <c r="U366" t="s">
        <v>1357</v>
      </c>
      <c r="V366" t="s">
        <v>1358</v>
      </c>
      <c r="Z366">
        <v>113.608535</v>
      </c>
      <c r="AA366">
        <v>-8.3398029999999999</v>
      </c>
      <c r="AB366" t="s">
        <v>933</v>
      </c>
      <c r="AC366" t="s">
        <v>229</v>
      </c>
      <c r="AL366" t="s">
        <v>217</v>
      </c>
      <c r="AM366" t="s">
        <v>1359</v>
      </c>
      <c r="AN366" t="s">
        <v>6</v>
      </c>
      <c r="AO366" s="57">
        <v>46032.413738425923</v>
      </c>
      <c r="AR366" t="s">
        <v>218</v>
      </c>
      <c r="AS366" t="s">
        <v>574</v>
      </c>
      <c r="AT366" t="s">
        <v>230</v>
      </c>
      <c r="AU366">
        <v>20261001</v>
      </c>
      <c r="AV366" t="s">
        <v>221</v>
      </c>
      <c r="AW366" t="s">
        <v>540</v>
      </c>
      <c r="AX366" t="s">
        <v>222</v>
      </c>
      <c r="BA366" s="57">
        <v>46296.291666666664</v>
      </c>
      <c r="BB366" t="s">
        <v>1359</v>
      </c>
      <c r="BC366">
        <v>2026</v>
      </c>
      <c r="BD366">
        <v>10</v>
      </c>
      <c r="BE366">
        <v>1</v>
      </c>
      <c r="BF366" s="6">
        <f t="shared" si="15"/>
        <v>46296</v>
      </c>
      <c r="BG366">
        <f t="shared" si="16"/>
        <v>-0.29166666666424135</v>
      </c>
      <c r="BH366" t="str">
        <f t="shared" si="17"/>
        <v>COMPLY</v>
      </c>
      <c r="BI366" t="str">
        <f>VLOOKUP(H366,Sheet2!$A$1:$B$270,2,FALSE)</f>
        <v>JEMBER</v>
      </c>
    </row>
    <row r="367" spans="1:61">
      <c r="A367">
        <v>366</v>
      </c>
      <c r="B367">
        <v>1002617727</v>
      </c>
      <c r="C367">
        <v>3</v>
      </c>
      <c r="D367" t="s">
        <v>42</v>
      </c>
      <c r="E367">
        <v>5</v>
      </c>
      <c r="F367" t="s">
        <v>102</v>
      </c>
      <c r="G367" t="s">
        <v>102</v>
      </c>
      <c r="H367" t="s">
        <v>360</v>
      </c>
      <c r="I367" t="s">
        <v>212</v>
      </c>
      <c r="J367" t="s">
        <v>213</v>
      </c>
      <c r="K367" t="s">
        <v>149</v>
      </c>
      <c r="L367" t="s">
        <v>214</v>
      </c>
      <c r="M367" t="s">
        <v>76</v>
      </c>
      <c r="N367" t="s">
        <v>215</v>
      </c>
      <c r="O367" s="57">
        <v>46296.519849537035</v>
      </c>
      <c r="P367" s="57">
        <v>46297.594965277778</v>
      </c>
      <c r="Q367">
        <v>69402313</v>
      </c>
      <c r="S367">
        <v>152501281067</v>
      </c>
      <c r="T367" t="s">
        <v>1360</v>
      </c>
      <c r="U367" t="s">
        <v>1361</v>
      </c>
      <c r="V367" t="s">
        <v>1362</v>
      </c>
      <c r="Z367">
        <v>113.705057166516</v>
      </c>
      <c r="AA367">
        <v>-8.16480285008255</v>
      </c>
      <c r="AB367" t="s">
        <v>1363</v>
      </c>
      <c r="AC367" t="s">
        <v>216</v>
      </c>
      <c r="AL367" t="s">
        <v>217</v>
      </c>
      <c r="AM367" t="s">
        <v>1364</v>
      </c>
      <c r="AN367" t="s">
        <v>6</v>
      </c>
      <c r="AO367" s="57">
        <v>46032.559305555558</v>
      </c>
      <c r="AP367" s="57">
        <v>46297.458333333336</v>
      </c>
      <c r="AR367" t="s">
        <v>218</v>
      </c>
      <c r="AS367" t="s">
        <v>102</v>
      </c>
      <c r="AT367" t="s">
        <v>230</v>
      </c>
      <c r="AU367">
        <v>20261002</v>
      </c>
      <c r="AV367" t="s">
        <v>221</v>
      </c>
      <c r="AW367" t="s">
        <v>881</v>
      </c>
      <c r="AX367" t="s">
        <v>222</v>
      </c>
      <c r="BA367" s="57">
        <v>46297.458333333336</v>
      </c>
      <c r="BB367" t="s">
        <v>1364</v>
      </c>
      <c r="BC367">
        <v>2026</v>
      </c>
      <c r="BD367">
        <v>10</v>
      </c>
      <c r="BE367">
        <v>2</v>
      </c>
      <c r="BF367" s="6">
        <f t="shared" si="15"/>
        <v>46297</v>
      </c>
      <c r="BG367">
        <f t="shared" si="16"/>
        <v>-0.45833333333575865</v>
      </c>
      <c r="BH367" t="str">
        <f t="shared" si="17"/>
        <v>COMPLY</v>
      </c>
      <c r="BI367" t="str">
        <f>VLOOKUP(H367,Sheet2!$A$1:$B$270,2,FALSE)</f>
        <v>JEMBER</v>
      </c>
    </row>
    <row r="368" spans="1:61">
      <c r="A368">
        <v>367</v>
      </c>
      <c r="B368">
        <v>1002620211</v>
      </c>
      <c r="C368">
        <v>3</v>
      </c>
      <c r="D368" t="s">
        <v>42</v>
      </c>
      <c r="E368">
        <v>5</v>
      </c>
      <c r="F368" t="s">
        <v>102</v>
      </c>
      <c r="G368" t="s">
        <v>102</v>
      </c>
      <c r="H368" t="s">
        <v>360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46297.636574074073</v>
      </c>
      <c r="P368" s="57">
        <v>46299.37122685185</v>
      </c>
      <c r="Q368">
        <v>69403248</v>
      </c>
      <c r="S368">
        <v>152501281076</v>
      </c>
      <c r="T368" t="s">
        <v>2710</v>
      </c>
      <c r="U368" t="s">
        <v>2711</v>
      </c>
      <c r="V368" t="s">
        <v>2712</v>
      </c>
      <c r="Z368">
        <v>113.670350052416</v>
      </c>
      <c r="AA368">
        <v>-8.1830560354887698</v>
      </c>
      <c r="AB368" t="s">
        <v>2713</v>
      </c>
      <c r="AC368" t="s">
        <v>216</v>
      </c>
      <c r="AL368" t="s">
        <v>217</v>
      </c>
      <c r="AM368" t="s">
        <v>2714</v>
      </c>
      <c r="AN368" t="s">
        <v>6</v>
      </c>
      <c r="AO368" s="57">
        <v>46063.652951388889</v>
      </c>
      <c r="AP368" s="57">
        <v>46298.625</v>
      </c>
      <c r="AR368" t="s">
        <v>218</v>
      </c>
      <c r="AS368" t="s">
        <v>102</v>
      </c>
      <c r="AT368" t="s">
        <v>230</v>
      </c>
      <c r="AU368">
        <v>20261004</v>
      </c>
      <c r="AV368" t="s">
        <v>221</v>
      </c>
      <c r="AW368" t="s">
        <v>879</v>
      </c>
      <c r="AX368" t="s">
        <v>222</v>
      </c>
      <c r="BA368" s="57">
        <v>46298.625</v>
      </c>
      <c r="BB368" t="s">
        <v>2714</v>
      </c>
      <c r="BC368">
        <v>2026</v>
      </c>
      <c r="BD368">
        <v>10</v>
      </c>
      <c r="BE368">
        <v>4</v>
      </c>
      <c r="BF368" s="6">
        <f t="shared" si="15"/>
        <v>46299</v>
      </c>
      <c r="BG368">
        <f t="shared" si="16"/>
        <v>0.375</v>
      </c>
      <c r="BH368" t="str">
        <f t="shared" si="17"/>
        <v>COMPLY</v>
      </c>
      <c r="BI368" t="str">
        <f>VLOOKUP(H368,Sheet2!$A$1:$B$270,2,FALSE)</f>
        <v>JEMBER</v>
      </c>
    </row>
    <row r="369" spans="1:61">
      <c r="A369">
        <v>368</v>
      </c>
      <c r="B369">
        <v>1002617896</v>
      </c>
      <c r="C369">
        <v>3</v>
      </c>
      <c r="D369" t="s">
        <v>42</v>
      </c>
      <c r="E369">
        <v>5</v>
      </c>
      <c r="F369" t="s">
        <v>106</v>
      </c>
      <c r="G369" t="s">
        <v>104</v>
      </c>
      <c r="H369" t="s">
        <v>495</v>
      </c>
      <c r="I369" t="s">
        <v>212</v>
      </c>
      <c r="J369" t="s">
        <v>213</v>
      </c>
      <c r="K369" t="s">
        <v>149</v>
      </c>
      <c r="M369" t="s">
        <v>76</v>
      </c>
      <c r="N369" t="s">
        <v>215</v>
      </c>
      <c r="O369" s="57">
        <v>46296.569930555554</v>
      </c>
      <c r="P369" s="57">
        <v>46296.696250000001</v>
      </c>
      <c r="Q369">
        <v>69401645</v>
      </c>
      <c r="S369">
        <v>152542208206</v>
      </c>
      <c r="T369" t="s">
        <v>942</v>
      </c>
      <c r="U369" t="s">
        <v>934</v>
      </c>
      <c r="V369" t="s">
        <v>1365</v>
      </c>
      <c r="Z369">
        <v>113.1216587</v>
      </c>
      <c r="AA369">
        <v>-8.2018167000000002</v>
      </c>
      <c r="AB369" t="s">
        <v>943</v>
      </c>
      <c r="AC369" t="s">
        <v>229</v>
      </c>
      <c r="AL369" t="s">
        <v>217</v>
      </c>
      <c r="AM369" t="s">
        <v>1366</v>
      </c>
      <c r="AN369" t="s">
        <v>6</v>
      </c>
      <c r="AO369" s="57">
        <v>46032.579872685186</v>
      </c>
      <c r="AR369" t="s">
        <v>218</v>
      </c>
      <c r="AS369" t="s">
        <v>219</v>
      </c>
      <c r="AT369" t="s">
        <v>220</v>
      </c>
      <c r="AU369">
        <v>20261001</v>
      </c>
      <c r="AV369" t="s">
        <v>221</v>
      </c>
      <c r="AW369" t="s">
        <v>576</v>
      </c>
      <c r="AX369" t="s">
        <v>222</v>
      </c>
      <c r="BA369" s="57">
        <v>46296.291666666664</v>
      </c>
      <c r="BB369" t="s">
        <v>1366</v>
      </c>
      <c r="BC369">
        <v>2026</v>
      </c>
      <c r="BD369">
        <v>10</v>
      </c>
      <c r="BE369">
        <v>1</v>
      </c>
      <c r="BF369" s="6">
        <f t="shared" si="15"/>
        <v>46296</v>
      </c>
      <c r="BG369">
        <f t="shared" si="16"/>
        <v>-0.29166666666424135</v>
      </c>
      <c r="BH369" t="str">
        <f t="shared" si="17"/>
        <v>COMPLY</v>
      </c>
      <c r="BI369" t="str">
        <f>VLOOKUP(H369,Sheet2!$A$1:$B$270,2,FALSE)</f>
        <v>PROBOLINGGO</v>
      </c>
    </row>
    <row r="370" spans="1:61">
      <c r="A370">
        <v>369</v>
      </c>
      <c r="B370">
        <v>1002619334</v>
      </c>
      <c r="C370">
        <v>3</v>
      </c>
      <c r="D370" t="s">
        <v>42</v>
      </c>
      <c r="E370">
        <v>5</v>
      </c>
      <c r="F370" t="s">
        <v>106</v>
      </c>
      <c r="G370" t="s">
        <v>104</v>
      </c>
      <c r="H370" t="s">
        <v>495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46297.436516203707</v>
      </c>
      <c r="P370" s="57">
        <v>46298.634201388886</v>
      </c>
      <c r="Q370">
        <v>69402875</v>
      </c>
      <c r="S370">
        <v>152542208209</v>
      </c>
      <c r="T370" t="s">
        <v>2715</v>
      </c>
      <c r="U370" t="s">
        <v>2716</v>
      </c>
      <c r="V370" t="s">
        <v>2717</v>
      </c>
      <c r="Z370">
        <v>112.988416850566</v>
      </c>
      <c r="AA370">
        <v>-8.1887530777444901</v>
      </c>
      <c r="AB370" t="s">
        <v>2718</v>
      </c>
      <c r="AC370" t="s">
        <v>216</v>
      </c>
      <c r="AL370" t="s">
        <v>217</v>
      </c>
      <c r="AM370" t="s">
        <v>2719</v>
      </c>
      <c r="AN370" t="s">
        <v>6</v>
      </c>
      <c r="AO370" s="57">
        <v>46063.444386574076</v>
      </c>
      <c r="AP370" s="57">
        <v>46298.333333333336</v>
      </c>
      <c r="AR370" t="s">
        <v>218</v>
      </c>
      <c r="AS370" t="s">
        <v>219</v>
      </c>
      <c r="AT370" t="s">
        <v>230</v>
      </c>
      <c r="AU370">
        <v>20261003</v>
      </c>
      <c r="AV370" t="s">
        <v>221</v>
      </c>
      <c r="AW370" t="s">
        <v>889</v>
      </c>
      <c r="AX370" t="s">
        <v>222</v>
      </c>
      <c r="BA370" s="57">
        <v>46298.333333333336</v>
      </c>
      <c r="BB370" t="s">
        <v>2719</v>
      </c>
      <c r="BC370">
        <v>2026</v>
      </c>
      <c r="BD370">
        <v>10</v>
      </c>
      <c r="BE370">
        <v>3</v>
      </c>
      <c r="BF370" s="6">
        <f t="shared" si="15"/>
        <v>46298</v>
      </c>
      <c r="BG370">
        <f t="shared" si="16"/>
        <v>-0.33333333333575865</v>
      </c>
      <c r="BH370" t="str">
        <f t="shared" si="17"/>
        <v>COMPLY</v>
      </c>
      <c r="BI370" t="str">
        <f>VLOOKUP(H370,Sheet2!$A$1:$B$270,2,FALSE)</f>
        <v>PROBOLINGGO</v>
      </c>
    </row>
    <row r="371" spans="1:61">
      <c r="A371">
        <v>370</v>
      </c>
      <c r="B371">
        <v>1002619058</v>
      </c>
      <c r="C371">
        <v>3</v>
      </c>
      <c r="D371" t="s">
        <v>42</v>
      </c>
      <c r="E371">
        <v>5</v>
      </c>
      <c r="F371" t="s">
        <v>106</v>
      </c>
      <c r="G371" t="s">
        <v>107</v>
      </c>
      <c r="H371" t="s">
        <v>343</v>
      </c>
      <c r="I371" t="s">
        <v>212</v>
      </c>
      <c r="J371" t="s">
        <v>213</v>
      </c>
      <c r="K371" t="s">
        <v>149</v>
      </c>
      <c r="M371" t="s">
        <v>76</v>
      </c>
      <c r="N371" t="s">
        <v>215</v>
      </c>
      <c r="O371" s="57">
        <v>46297.379432870373</v>
      </c>
      <c r="P371" s="57">
        <v>46297.673495370371</v>
      </c>
      <c r="Q371">
        <v>69402740</v>
      </c>
      <c r="S371">
        <v>152509216431</v>
      </c>
      <c r="T371" t="s">
        <v>2720</v>
      </c>
      <c r="U371" t="s">
        <v>2721</v>
      </c>
      <c r="V371" t="s">
        <v>2722</v>
      </c>
      <c r="Z371">
        <v>113.4281189</v>
      </c>
      <c r="AA371">
        <v>-7.7806913</v>
      </c>
      <c r="AB371" t="s">
        <v>2723</v>
      </c>
      <c r="AC371" t="s">
        <v>229</v>
      </c>
      <c r="AL371" t="s">
        <v>217</v>
      </c>
      <c r="AM371" t="s">
        <v>2724</v>
      </c>
      <c r="AN371" t="s">
        <v>6</v>
      </c>
      <c r="AO371" s="57">
        <v>46063.39334490741</v>
      </c>
      <c r="AP371" s="57">
        <v>46298.333333333336</v>
      </c>
      <c r="AR371" t="s">
        <v>218</v>
      </c>
      <c r="AS371" t="s">
        <v>2725</v>
      </c>
      <c r="AT371" t="s">
        <v>342</v>
      </c>
      <c r="AU371">
        <v>20261002</v>
      </c>
      <c r="AV371" t="s">
        <v>221</v>
      </c>
      <c r="AW371" t="s">
        <v>2726</v>
      </c>
      <c r="AX371" t="s">
        <v>222</v>
      </c>
      <c r="BA371" s="57">
        <v>46298.333333333336</v>
      </c>
      <c r="BB371" t="s">
        <v>2724</v>
      </c>
      <c r="BC371">
        <v>2026</v>
      </c>
      <c r="BD371">
        <v>10</v>
      </c>
      <c r="BE371">
        <v>2</v>
      </c>
      <c r="BF371" s="6">
        <f t="shared" si="15"/>
        <v>46297</v>
      </c>
      <c r="BG371">
        <f t="shared" si="16"/>
        <v>-1.3333333333357587</v>
      </c>
      <c r="BH371" t="str">
        <f t="shared" si="17"/>
        <v>COMPLY</v>
      </c>
      <c r="BI371" t="str">
        <f>VLOOKUP(H371,Sheet2!$A$1:$B$270,2,FALSE)</f>
        <v>PROBOLINGGO</v>
      </c>
    </row>
    <row r="372" spans="1:61">
      <c r="A372">
        <v>371</v>
      </c>
      <c r="B372">
        <v>1002617346</v>
      </c>
      <c r="C372">
        <v>3</v>
      </c>
      <c r="D372" t="s">
        <v>45</v>
      </c>
      <c r="E372">
        <v>5</v>
      </c>
      <c r="F372" t="s">
        <v>113</v>
      </c>
      <c r="G372" t="s">
        <v>111</v>
      </c>
      <c r="H372" t="s">
        <v>254</v>
      </c>
      <c r="I372" t="s">
        <v>1440</v>
      </c>
      <c r="J372" t="s">
        <v>213</v>
      </c>
      <c r="K372" t="s">
        <v>149</v>
      </c>
      <c r="M372" t="s">
        <v>841</v>
      </c>
      <c r="N372" t="s">
        <v>1441</v>
      </c>
      <c r="O372" s="57">
        <v>46296.436319444445</v>
      </c>
      <c r="P372" s="57">
        <v>46296.438518518517</v>
      </c>
      <c r="Q372">
        <v>69402168</v>
      </c>
      <c r="S372">
        <v>172506789127</v>
      </c>
      <c r="T372" t="s">
        <v>2727</v>
      </c>
      <c r="U372" t="s">
        <v>2728</v>
      </c>
      <c r="V372" t="s">
        <v>2729</v>
      </c>
      <c r="Z372">
        <v>121.650545098639</v>
      </c>
      <c r="AA372">
        <v>-8.8473171428748998</v>
      </c>
      <c r="AB372" t="s">
        <v>2730</v>
      </c>
      <c r="AC372" t="s">
        <v>225</v>
      </c>
      <c r="AL372" t="s">
        <v>217</v>
      </c>
      <c r="AM372" t="s">
        <v>2731</v>
      </c>
      <c r="AN372" t="s">
        <v>6</v>
      </c>
      <c r="AO372" s="57">
        <v>46032.444687499999</v>
      </c>
      <c r="AR372" t="s">
        <v>1438</v>
      </c>
      <c r="AS372" t="s">
        <v>111</v>
      </c>
      <c r="AT372" t="s">
        <v>220</v>
      </c>
      <c r="AV372" t="s">
        <v>2732</v>
      </c>
      <c r="AW372" t="s">
        <v>2733</v>
      </c>
      <c r="AX372" t="s">
        <v>222</v>
      </c>
      <c r="BA372" s="57">
        <v>46296.5</v>
      </c>
      <c r="BB372" t="s">
        <v>2731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str">
        <f>VLOOKUP(H372,Sheet2!$A$1:$B$270,2,FALSE)</f>
        <v>ENDE</v>
      </c>
    </row>
    <row r="373" spans="1:61">
      <c r="A373">
        <v>372</v>
      </c>
      <c r="B373">
        <v>1002618049</v>
      </c>
      <c r="C373">
        <v>3</v>
      </c>
      <c r="D373" t="s">
        <v>45</v>
      </c>
      <c r="E373">
        <v>5</v>
      </c>
      <c r="F373" t="s">
        <v>113</v>
      </c>
      <c r="G373" t="s">
        <v>111</v>
      </c>
      <c r="H373" t="s">
        <v>254</v>
      </c>
      <c r="I373" t="s">
        <v>1563</v>
      </c>
      <c r="J373" t="s">
        <v>213</v>
      </c>
      <c r="K373" t="s">
        <v>149</v>
      </c>
      <c r="M373" t="s">
        <v>224</v>
      </c>
      <c r="N373" t="s">
        <v>2326</v>
      </c>
      <c r="O373" s="57">
        <v>46296.592928240738</v>
      </c>
      <c r="P373" s="57">
        <v>46296.595960648148</v>
      </c>
      <c r="Q373">
        <v>69402424</v>
      </c>
      <c r="S373">
        <v>172506789379</v>
      </c>
      <c r="T373" t="s">
        <v>2734</v>
      </c>
      <c r="U373" t="s">
        <v>2735</v>
      </c>
      <c r="V373" t="s">
        <v>2736</v>
      </c>
      <c r="Z373">
        <v>121.673188788723</v>
      </c>
      <c r="AA373">
        <v>-8.8409475506778499</v>
      </c>
      <c r="AB373" t="s">
        <v>2737</v>
      </c>
      <c r="AC373" t="s">
        <v>225</v>
      </c>
      <c r="AL373" t="s">
        <v>217</v>
      </c>
      <c r="AM373" t="s">
        <v>2738</v>
      </c>
      <c r="AN373" t="s">
        <v>6</v>
      </c>
      <c r="AO373" s="57">
        <v>46032.611296296294</v>
      </c>
      <c r="AR373" t="s">
        <v>18</v>
      </c>
      <c r="AS373" t="s">
        <v>111</v>
      </c>
      <c r="AT373" t="s">
        <v>230</v>
      </c>
      <c r="AV373" t="s">
        <v>226</v>
      </c>
      <c r="AW373" t="s">
        <v>1446</v>
      </c>
      <c r="AX373" t="s">
        <v>222</v>
      </c>
      <c r="BA373" s="57">
        <v>46303.5</v>
      </c>
      <c r="BB373" t="s">
        <v>2738</v>
      </c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str">
        <f>VLOOKUP(H373,Sheet2!$A$1:$B$270,2,FALSE)</f>
        <v>ENDE</v>
      </c>
    </row>
    <row r="374" spans="1:61">
      <c r="A374">
        <v>373</v>
      </c>
      <c r="B374">
        <v>1002618764</v>
      </c>
      <c r="C374">
        <v>3</v>
      </c>
      <c r="D374" t="s">
        <v>45</v>
      </c>
      <c r="E374">
        <v>5</v>
      </c>
      <c r="F374" t="s">
        <v>113</v>
      </c>
      <c r="G374" t="s">
        <v>111</v>
      </c>
      <c r="H374" t="s">
        <v>254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46296.74486111111</v>
      </c>
      <c r="P374" s="57">
        <v>46298.30636574074</v>
      </c>
      <c r="Q374">
        <v>69402663</v>
      </c>
      <c r="S374">
        <v>172506789383</v>
      </c>
      <c r="T374" t="s">
        <v>1372</v>
      </c>
      <c r="U374" t="s">
        <v>1373</v>
      </c>
      <c r="V374" t="s">
        <v>1374</v>
      </c>
      <c r="Z374">
        <v>121.643787327577</v>
      </c>
      <c r="AA374">
        <v>-8.8519966214243997</v>
      </c>
      <c r="AB374" t="s">
        <v>1375</v>
      </c>
      <c r="AC374" t="s">
        <v>235</v>
      </c>
      <c r="AL374" t="s">
        <v>217</v>
      </c>
      <c r="AM374" t="s">
        <v>1376</v>
      </c>
      <c r="AN374" t="s">
        <v>6</v>
      </c>
      <c r="AO374" s="57">
        <v>46032.746898148151</v>
      </c>
      <c r="AP374" s="57">
        <v>46298.333333333336</v>
      </c>
      <c r="AR374" t="s">
        <v>218</v>
      </c>
      <c r="AS374" t="s">
        <v>111</v>
      </c>
      <c r="AT374" t="s">
        <v>230</v>
      </c>
      <c r="AU374">
        <v>20261003</v>
      </c>
      <c r="AV374" t="s">
        <v>221</v>
      </c>
      <c r="AW374" t="s">
        <v>879</v>
      </c>
      <c r="AX374" t="s">
        <v>222</v>
      </c>
      <c r="BA374" s="57">
        <v>46298.333333333336</v>
      </c>
      <c r="BB374" t="s">
        <v>1376</v>
      </c>
      <c r="BC374">
        <v>2026</v>
      </c>
      <c r="BD374">
        <v>10</v>
      </c>
      <c r="BE374">
        <v>3</v>
      </c>
      <c r="BF374" s="6">
        <f t="shared" si="15"/>
        <v>46298</v>
      </c>
      <c r="BG374">
        <f t="shared" si="16"/>
        <v>-0.33333333333575865</v>
      </c>
      <c r="BH374" t="str">
        <f t="shared" si="17"/>
        <v>COMPLY</v>
      </c>
      <c r="BI374" t="str">
        <f>VLOOKUP(H374,Sheet2!$A$1:$B$270,2,FALSE)</f>
        <v>ENDE</v>
      </c>
    </row>
    <row r="375" spans="1:61">
      <c r="A375">
        <v>374</v>
      </c>
      <c r="B375">
        <v>1002617427</v>
      </c>
      <c r="C375">
        <v>3</v>
      </c>
      <c r="D375" t="s">
        <v>45</v>
      </c>
      <c r="E375">
        <v>5</v>
      </c>
      <c r="F375" t="s">
        <v>113</v>
      </c>
      <c r="G375" t="s">
        <v>111</v>
      </c>
      <c r="H375" t="s">
        <v>254</v>
      </c>
      <c r="I375" t="s">
        <v>1440</v>
      </c>
      <c r="J375" t="s">
        <v>213</v>
      </c>
      <c r="K375" t="s">
        <v>149</v>
      </c>
      <c r="M375" t="s">
        <v>76</v>
      </c>
      <c r="N375" t="s">
        <v>1441</v>
      </c>
      <c r="O375" s="57">
        <v>46296.447337962964</v>
      </c>
      <c r="P375" s="57">
        <v>46297.588796296295</v>
      </c>
      <c r="Q375">
        <v>69402197</v>
      </c>
      <c r="S375">
        <v>172506789367</v>
      </c>
      <c r="T375" t="s">
        <v>2727</v>
      </c>
      <c r="U375" t="s">
        <v>2739</v>
      </c>
      <c r="V375" t="s">
        <v>2740</v>
      </c>
      <c r="Z375">
        <v>121.650545098639</v>
      </c>
      <c r="AA375">
        <v>-8.8473171428748998</v>
      </c>
      <c r="AB375" t="s">
        <v>2730</v>
      </c>
      <c r="AC375" t="s">
        <v>225</v>
      </c>
      <c r="AL375" t="s">
        <v>217</v>
      </c>
      <c r="AM375" t="s">
        <v>2731</v>
      </c>
      <c r="AN375" t="s">
        <v>6</v>
      </c>
      <c r="AO375" s="57">
        <v>46032.486342592594</v>
      </c>
      <c r="AR375" t="s">
        <v>218</v>
      </c>
      <c r="AS375" t="s">
        <v>111</v>
      </c>
      <c r="AT375" t="s">
        <v>220</v>
      </c>
      <c r="AU375">
        <v>20261002</v>
      </c>
      <c r="AV375" t="s">
        <v>221</v>
      </c>
      <c r="AW375" t="s">
        <v>1826</v>
      </c>
      <c r="AX375" t="s">
        <v>222</v>
      </c>
      <c r="BA375" s="57">
        <v>46296.5</v>
      </c>
      <c r="BB375" t="s">
        <v>2731</v>
      </c>
      <c r="BC375">
        <v>2026</v>
      </c>
      <c r="BD375">
        <v>10</v>
      </c>
      <c r="BE375">
        <v>2</v>
      </c>
      <c r="BF375" s="6">
        <f t="shared" si="15"/>
        <v>46297</v>
      </c>
      <c r="BG375">
        <f t="shared" si="16"/>
        <v>0.5</v>
      </c>
      <c r="BH375" t="str">
        <f t="shared" si="17"/>
        <v>COMPLY</v>
      </c>
      <c r="BI375" t="str">
        <f>VLOOKUP(H375,Sheet2!$A$1:$B$270,2,FALSE)</f>
        <v>ENDE</v>
      </c>
    </row>
    <row r="376" spans="1:61">
      <c r="A376">
        <v>375</v>
      </c>
      <c r="B376">
        <v>1002617892</v>
      </c>
      <c r="C376">
        <v>3</v>
      </c>
      <c r="D376" t="s">
        <v>45</v>
      </c>
      <c r="E376">
        <v>5</v>
      </c>
      <c r="F376" t="s">
        <v>113</v>
      </c>
      <c r="G376" t="s">
        <v>111</v>
      </c>
      <c r="H376" t="s">
        <v>254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46296.567824074074</v>
      </c>
      <c r="P376" s="57">
        <v>46299.377465277779</v>
      </c>
      <c r="Q376">
        <v>69402370</v>
      </c>
      <c r="S376">
        <v>172506789376</v>
      </c>
      <c r="T376" t="s">
        <v>1367</v>
      </c>
      <c r="U376" t="s">
        <v>1368</v>
      </c>
      <c r="V376" t="s">
        <v>1369</v>
      </c>
      <c r="Z376">
        <v>121.6568403</v>
      </c>
      <c r="AA376">
        <v>-8.8478326000000003</v>
      </c>
      <c r="AB376" t="s">
        <v>1370</v>
      </c>
      <c r="AC376" t="s">
        <v>235</v>
      </c>
      <c r="AL376" t="s">
        <v>217</v>
      </c>
      <c r="AM376" t="s">
        <v>1371</v>
      </c>
      <c r="AN376" t="s">
        <v>6</v>
      </c>
      <c r="AO376" s="57">
        <v>46032.569884259261</v>
      </c>
      <c r="AP376" s="57">
        <v>46299.333333333336</v>
      </c>
      <c r="AR376" t="s">
        <v>218</v>
      </c>
      <c r="AS376" t="s">
        <v>111</v>
      </c>
      <c r="AT376" t="s">
        <v>230</v>
      </c>
      <c r="AU376">
        <v>20261004</v>
      </c>
      <c r="AV376" t="s">
        <v>221</v>
      </c>
      <c r="AW376" t="s">
        <v>928</v>
      </c>
      <c r="AX376" t="s">
        <v>222</v>
      </c>
      <c r="BA376" s="57">
        <v>46299.333333333336</v>
      </c>
      <c r="BB376" t="s">
        <v>1371</v>
      </c>
      <c r="BC376">
        <v>2026</v>
      </c>
      <c r="BD376">
        <v>10</v>
      </c>
      <c r="BE376">
        <v>4</v>
      </c>
      <c r="BF376" s="6">
        <f t="shared" si="15"/>
        <v>46299</v>
      </c>
      <c r="BG376">
        <f t="shared" si="16"/>
        <v>-0.33333333333575865</v>
      </c>
      <c r="BH376" t="str">
        <f t="shared" si="17"/>
        <v>COMPLY</v>
      </c>
      <c r="BI376" t="str">
        <f>VLOOKUP(H376,Sheet2!$A$1:$B$270,2,FALSE)</f>
        <v>ENDE</v>
      </c>
    </row>
    <row r="377" spans="1:61">
      <c r="A377">
        <v>376</v>
      </c>
      <c r="B377">
        <v>1002621429</v>
      </c>
      <c r="C377">
        <v>3</v>
      </c>
      <c r="D377" t="s">
        <v>45</v>
      </c>
      <c r="E377">
        <v>5</v>
      </c>
      <c r="F377" t="s">
        <v>113</v>
      </c>
      <c r="G377" t="s">
        <v>111</v>
      </c>
      <c r="H377" t="s">
        <v>254</v>
      </c>
      <c r="I377" t="s">
        <v>212</v>
      </c>
      <c r="J377" t="s">
        <v>213</v>
      </c>
      <c r="K377" t="s">
        <v>149</v>
      </c>
      <c r="L377" t="s">
        <v>214</v>
      </c>
      <c r="M377" t="s">
        <v>238</v>
      </c>
      <c r="N377" t="s">
        <v>215</v>
      </c>
      <c r="O377" s="57">
        <v>46299.601793981485</v>
      </c>
      <c r="P377" s="57">
        <v>46299.602847222224</v>
      </c>
      <c r="Q377">
        <v>69403918</v>
      </c>
      <c r="S377">
        <v>172506789401</v>
      </c>
      <c r="T377" t="s">
        <v>2741</v>
      </c>
      <c r="U377" t="s">
        <v>2742</v>
      </c>
      <c r="V377" t="s">
        <v>2743</v>
      </c>
      <c r="Z377">
        <v>121.656959510265</v>
      </c>
      <c r="AA377">
        <v>-8.8388608162366307</v>
      </c>
      <c r="AB377" t="s">
        <v>2744</v>
      </c>
      <c r="AC377" t="s">
        <v>235</v>
      </c>
      <c r="AL377" t="s">
        <v>217</v>
      </c>
      <c r="AM377" t="s">
        <v>2745</v>
      </c>
      <c r="AN377" t="s">
        <v>6</v>
      </c>
      <c r="AO377" s="57">
        <v>46122.610983796294</v>
      </c>
      <c r="AP377" s="57">
        <v>46301.333333333336</v>
      </c>
      <c r="AR377" t="s">
        <v>239</v>
      </c>
      <c r="AS377" t="s">
        <v>111</v>
      </c>
      <c r="AT377" t="s">
        <v>230</v>
      </c>
      <c r="AV377" t="s">
        <v>238</v>
      </c>
      <c r="AW377" t="s">
        <v>879</v>
      </c>
      <c r="AX377" t="s">
        <v>222</v>
      </c>
      <c r="BA377" s="57">
        <v>46301.333333333336</v>
      </c>
      <c r="BB377" t="s">
        <v>2745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str">
        <f>VLOOKUP(H377,Sheet2!$A$1:$B$270,2,FALSE)</f>
        <v>ENDE</v>
      </c>
    </row>
    <row r="378" spans="1:61">
      <c r="A378">
        <v>377</v>
      </c>
      <c r="B378">
        <v>1002621270</v>
      </c>
      <c r="C378">
        <v>3</v>
      </c>
      <c r="D378" t="s">
        <v>45</v>
      </c>
      <c r="E378">
        <v>5</v>
      </c>
      <c r="F378" t="s">
        <v>113</v>
      </c>
      <c r="G378" t="s">
        <v>117</v>
      </c>
      <c r="H378" t="s">
        <v>454</v>
      </c>
      <c r="I378" t="s">
        <v>212</v>
      </c>
      <c r="J378" t="s">
        <v>213</v>
      </c>
      <c r="K378" t="s">
        <v>149</v>
      </c>
      <c r="L378" t="s">
        <v>214</v>
      </c>
      <c r="M378" t="s">
        <v>895</v>
      </c>
      <c r="N378" t="s">
        <v>215</v>
      </c>
      <c r="O378" s="57">
        <v>46299.405266203707</v>
      </c>
      <c r="P378" s="57">
        <v>46300.343414351853</v>
      </c>
      <c r="Q378">
        <v>69403793</v>
      </c>
      <c r="S378">
        <v>172508209666</v>
      </c>
      <c r="T378" t="s">
        <v>2746</v>
      </c>
      <c r="U378" t="s">
        <v>2747</v>
      </c>
      <c r="V378" t="s">
        <v>2748</v>
      </c>
      <c r="Z378">
        <v>122.21119724214</v>
      </c>
      <c r="AA378">
        <v>-8.6143056584732793</v>
      </c>
      <c r="AB378" t="s">
        <v>2749</v>
      </c>
      <c r="AC378" t="s">
        <v>216</v>
      </c>
      <c r="AL378" t="s">
        <v>217</v>
      </c>
      <c r="AM378" t="s">
        <v>2750</v>
      </c>
      <c r="AN378" t="s">
        <v>6</v>
      </c>
      <c r="AO378" s="57">
        <v>46122.413159722222</v>
      </c>
      <c r="AP378" s="57">
        <v>46300.333333333336</v>
      </c>
      <c r="AR378" t="s">
        <v>886</v>
      </c>
      <c r="AS378" t="s">
        <v>219</v>
      </c>
      <c r="AT378" t="s">
        <v>230</v>
      </c>
      <c r="AV378" t="s">
        <v>896</v>
      </c>
      <c r="AW378" t="s">
        <v>882</v>
      </c>
      <c r="AX378" t="s">
        <v>222</v>
      </c>
      <c r="BA378" s="57">
        <v>46300.333333333336</v>
      </c>
      <c r="BB378" t="s">
        <v>2750</v>
      </c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str">
        <f>VLOOKUP(H378,Sheet2!$A$1:$B$270,2,FALSE)</f>
        <v>MAUMERE</v>
      </c>
    </row>
    <row r="379" spans="1:61">
      <c r="A379">
        <v>378</v>
      </c>
      <c r="B379">
        <v>1002621271</v>
      </c>
      <c r="C379">
        <v>3</v>
      </c>
      <c r="D379" t="s">
        <v>45</v>
      </c>
      <c r="E379">
        <v>5</v>
      </c>
      <c r="F379" t="s">
        <v>113</v>
      </c>
      <c r="G379" t="s">
        <v>117</v>
      </c>
      <c r="H379" t="s">
        <v>454</v>
      </c>
      <c r="I379" t="s">
        <v>212</v>
      </c>
      <c r="J379" t="s">
        <v>213</v>
      </c>
      <c r="K379" t="s">
        <v>149</v>
      </c>
      <c r="L379" t="s">
        <v>214</v>
      </c>
      <c r="M379" t="s">
        <v>224</v>
      </c>
      <c r="N379" t="s">
        <v>215</v>
      </c>
      <c r="O379" s="57">
        <v>46299.405324074076</v>
      </c>
      <c r="P379" s="57">
        <v>46300.344594907408</v>
      </c>
      <c r="Q379">
        <v>69403817</v>
      </c>
      <c r="S379">
        <v>172508209667</v>
      </c>
      <c r="T379" t="s">
        <v>2746</v>
      </c>
      <c r="U379" t="s">
        <v>2747</v>
      </c>
      <c r="V379" t="s">
        <v>2751</v>
      </c>
      <c r="Z379">
        <v>122.21116539090799</v>
      </c>
      <c r="AA379">
        <v>-8.6143129513385901</v>
      </c>
      <c r="AB379" t="s">
        <v>2752</v>
      </c>
      <c r="AC379" t="s">
        <v>216</v>
      </c>
      <c r="AL379" t="s">
        <v>217</v>
      </c>
      <c r="AM379" t="s">
        <v>2750</v>
      </c>
      <c r="AN379" t="s">
        <v>6</v>
      </c>
      <c r="AO379" s="57">
        <v>46122.413159722222</v>
      </c>
      <c r="AP379" s="57">
        <v>46300.333333333336</v>
      </c>
      <c r="AR379" t="s">
        <v>18</v>
      </c>
      <c r="AS379" t="s">
        <v>219</v>
      </c>
      <c r="AT379" t="s">
        <v>230</v>
      </c>
      <c r="AV379" t="s">
        <v>226</v>
      </c>
      <c r="AW379" t="s">
        <v>882</v>
      </c>
      <c r="AX379" t="s">
        <v>222</v>
      </c>
      <c r="BA379" s="57">
        <v>46300.333333333336</v>
      </c>
      <c r="BB379" t="s">
        <v>2750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str">
        <f>VLOOKUP(H379,Sheet2!$A$1:$B$270,2,FALSE)</f>
        <v>MAUMERE</v>
      </c>
    </row>
    <row r="380" spans="1:61">
      <c r="A380">
        <v>379</v>
      </c>
      <c r="B380">
        <v>1002621495</v>
      </c>
      <c r="C380">
        <v>3</v>
      </c>
      <c r="D380" t="s">
        <v>45</v>
      </c>
      <c r="E380">
        <v>5</v>
      </c>
      <c r="F380" t="s">
        <v>113</v>
      </c>
      <c r="G380" t="s">
        <v>117</v>
      </c>
      <c r="H380" t="s">
        <v>454</v>
      </c>
      <c r="I380" t="s">
        <v>212</v>
      </c>
      <c r="J380" t="s">
        <v>213</v>
      </c>
      <c r="K380" t="s">
        <v>149</v>
      </c>
      <c r="L380" t="s">
        <v>214</v>
      </c>
      <c r="M380" t="s">
        <v>238</v>
      </c>
      <c r="N380" t="s">
        <v>215</v>
      </c>
      <c r="O380" s="57">
        <v>46299.71366898148</v>
      </c>
      <c r="P380" s="57">
        <v>46299.715289351851</v>
      </c>
      <c r="Q380">
        <v>69403977</v>
      </c>
      <c r="S380">
        <v>172508209675</v>
      </c>
      <c r="T380" t="s">
        <v>2753</v>
      </c>
      <c r="U380" t="s">
        <v>2754</v>
      </c>
      <c r="V380" t="s">
        <v>2755</v>
      </c>
      <c r="Z380">
        <v>122.2079598</v>
      </c>
      <c r="AA380">
        <v>-8.6389528000000002</v>
      </c>
      <c r="AB380" t="s">
        <v>2756</v>
      </c>
      <c r="AC380" t="s">
        <v>216</v>
      </c>
      <c r="AL380" t="s">
        <v>217</v>
      </c>
      <c r="AM380" t="s">
        <v>2757</v>
      </c>
      <c r="AN380" t="s">
        <v>6</v>
      </c>
      <c r="AO380" s="57">
        <v>46122.725798611114</v>
      </c>
      <c r="AP380" s="57">
        <v>46300.625</v>
      </c>
      <c r="AR380" t="s">
        <v>239</v>
      </c>
      <c r="AS380" t="s">
        <v>219</v>
      </c>
      <c r="AT380" t="s">
        <v>220</v>
      </c>
      <c r="AV380" t="s">
        <v>238</v>
      </c>
      <c r="AW380" t="s">
        <v>2758</v>
      </c>
      <c r="AX380" t="s">
        <v>222</v>
      </c>
      <c r="BA380" s="57">
        <v>46300.625</v>
      </c>
      <c r="BB380" t="s">
        <v>2757</v>
      </c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str">
        <f>VLOOKUP(H380,Sheet2!$A$1:$B$270,2,FALSE)</f>
        <v>MAUMERE</v>
      </c>
    </row>
    <row r="381" spans="1:61">
      <c r="A381">
        <v>380</v>
      </c>
      <c r="B381">
        <v>1002620214</v>
      </c>
      <c r="C381">
        <v>3</v>
      </c>
      <c r="D381" t="s">
        <v>45</v>
      </c>
      <c r="E381">
        <v>5</v>
      </c>
      <c r="F381" t="s">
        <v>113</v>
      </c>
      <c r="G381" t="s">
        <v>114</v>
      </c>
      <c r="H381" t="s">
        <v>525</v>
      </c>
      <c r="I381" t="s">
        <v>1440</v>
      </c>
      <c r="J381" t="s">
        <v>213</v>
      </c>
      <c r="K381" t="s">
        <v>149</v>
      </c>
      <c r="M381" t="s">
        <v>224</v>
      </c>
      <c r="N381" t="s">
        <v>1441</v>
      </c>
      <c r="O381" s="57">
        <v>46297.637118055558</v>
      </c>
      <c r="P381" s="57">
        <v>46297.639930555553</v>
      </c>
      <c r="Q381">
        <v>69403201</v>
      </c>
      <c r="S381">
        <v>172513217715</v>
      </c>
      <c r="T381" t="s">
        <v>2759</v>
      </c>
      <c r="U381" t="s">
        <v>2760</v>
      </c>
      <c r="V381" t="s">
        <v>2761</v>
      </c>
      <c r="Z381">
        <v>120.453249810457</v>
      </c>
      <c r="AA381">
        <v>-8.2858846381407396</v>
      </c>
      <c r="AB381" t="s">
        <v>2762</v>
      </c>
      <c r="AC381" t="s">
        <v>2763</v>
      </c>
      <c r="AL381" t="s">
        <v>217</v>
      </c>
      <c r="AM381" t="s">
        <v>2764</v>
      </c>
      <c r="AN381" t="s">
        <v>6</v>
      </c>
      <c r="AO381" s="57">
        <v>46063.652951388889</v>
      </c>
      <c r="AR381" t="s">
        <v>18</v>
      </c>
      <c r="AS381" t="s">
        <v>219</v>
      </c>
      <c r="AT381" t="s">
        <v>230</v>
      </c>
      <c r="AV381" t="s">
        <v>226</v>
      </c>
      <c r="AW381" t="s">
        <v>2765</v>
      </c>
      <c r="AX381" t="s">
        <v>222</v>
      </c>
      <c r="BA381" s="57">
        <v>46297.5</v>
      </c>
      <c r="BB381" t="s">
        <v>2764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str">
        <f>VLOOKUP(H381,Sheet2!$A$1:$B$270,2,FALSE)</f>
        <v>LABOAN BAJO</v>
      </c>
    </row>
    <row r="382" spans="1:61">
      <c r="A382">
        <v>381</v>
      </c>
      <c r="B382">
        <v>1002620752</v>
      </c>
      <c r="C382">
        <v>3</v>
      </c>
      <c r="D382" t="s">
        <v>45</v>
      </c>
      <c r="E382">
        <v>5</v>
      </c>
      <c r="F382" t="s">
        <v>113</v>
      </c>
      <c r="G382" t="s">
        <v>114</v>
      </c>
      <c r="H382" t="s">
        <v>387</v>
      </c>
      <c r="I382" t="s">
        <v>212</v>
      </c>
      <c r="J382" t="s">
        <v>213</v>
      </c>
      <c r="K382" t="s">
        <v>149</v>
      </c>
      <c r="M382" t="s">
        <v>224</v>
      </c>
      <c r="N382" t="s">
        <v>215</v>
      </c>
      <c r="O382" s="57">
        <v>46298.373888888891</v>
      </c>
      <c r="P382" s="57">
        <v>46299.337141203701</v>
      </c>
      <c r="Q382">
        <v>69403465</v>
      </c>
      <c r="S382">
        <v>172512452812</v>
      </c>
      <c r="T382" t="s">
        <v>2766</v>
      </c>
      <c r="U382" t="s">
        <v>2767</v>
      </c>
      <c r="V382" t="s">
        <v>2768</v>
      </c>
      <c r="Z382">
        <v>119.882962703704</v>
      </c>
      <c r="AA382">
        <v>-8.4986089452023403</v>
      </c>
      <c r="AB382" t="s">
        <v>2769</v>
      </c>
      <c r="AC382" t="s">
        <v>225</v>
      </c>
      <c r="AL382" t="s">
        <v>217</v>
      </c>
      <c r="AM382" t="s">
        <v>2770</v>
      </c>
      <c r="AN382" t="s">
        <v>6</v>
      </c>
      <c r="AO382" s="57">
        <v>46091.392974537041</v>
      </c>
      <c r="AP382" s="57">
        <v>46299.333333333336</v>
      </c>
      <c r="AR382" t="s">
        <v>18</v>
      </c>
      <c r="AS382" t="s">
        <v>571</v>
      </c>
      <c r="AT382" t="s">
        <v>230</v>
      </c>
      <c r="AV382" t="s">
        <v>226</v>
      </c>
      <c r="AW382" t="s">
        <v>559</v>
      </c>
      <c r="AX382" t="s">
        <v>222</v>
      </c>
      <c r="BA382" s="57">
        <v>46299.333333333336</v>
      </c>
      <c r="BB382" t="s">
        <v>2770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str">
        <f>VLOOKUP(H382,Sheet2!$A$1:$B$270,2,FALSE)</f>
        <v>LABOAN BAJO</v>
      </c>
    </row>
    <row r="383" spans="1:61">
      <c r="A383">
        <v>382</v>
      </c>
      <c r="B383">
        <v>1002621180</v>
      </c>
      <c r="C383">
        <v>3</v>
      </c>
      <c r="D383" t="s">
        <v>45</v>
      </c>
      <c r="E383">
        <v>5</v>
      </c>
      <c r="F383" t="s">
        <v>113</v>
      </c>
      <c r="G383" t="s">
        <v>114</v>
      </c>
      <c r="H383" t="s">
        <v>357</v>
      </c>
      <c r="I383" t="s">
        <v>212</v>
      </c>
      <c r="J383" t="s">
        <v>213</v>
      </c>
      <c r="K383" t="s">
        <v>149</v>
      </c>
      <c r="L383" t="s">
        <v>214</v>
      </c>
      <c r="M383" t="s">
        <v>895</v>
      </c>
      <c r="N383" t="s">
        <v>215</v>
      </c>
      <c r="O383" s="57">
        <v>46298.753240740742</v>
      </c>
      <c r="P383" s="57">
        <v>46300.339259259257</v>
      </c>
      <c r="Q383">
        <v>69403767</v>
      </c>
      <c r="S383">
        <v>172514217335</v>
      </c>
      <c r="T383" t="s">
        <v>2771</v>
      </c>
      <c r="U383" t="s">
        <v>2772</v>
      </c>
      <c r="V383" t="s">
        <v>2773</v>
      </c>
      <c r="Z383">
        <v>120.466906164337</v>
      </c>
      <c r="AA383">
        <v>-8.5952350993956106</v>
      </c>
      <c r="AB383" t="s">
        <v>2774</v>
      </c>
      <c r="AC383" t="s">
        <v>235</v>
      </c>
      <c r="AL383" t="s">
        <v>217</v>
      </c>
      <c r="AM383" t="s">
        <v>2775</v>
      </c>
      <c r="AN383" t="s">
        <v>6</v>
      </c>
      <c r="AO383" s="57">
        <v>46091.757280092592</v>
      </c>
      <c r="AP383" s="57">
        <v>46300.333333333336</v>
      </c>
      <c r="AR383" t="s">
        <v>886</v>
      </c>
      <c r="AS383" t="s">
        <v>219</v>
      </c>
      <c r="AT383" t="s">
        <v>230</v>
      </c>
      <c r="AV383" t="s">
        <v>896</v>
      </c>
      <c r="AW383" t="s">
        <v>882</v>
      </c>
      <c r="AX383" t="s">
        <v>222</v>
      </c>
      <c r="BA383" s="57">
        <v>46300.333333333336</v>
      </c>
      <c r="BB383" t="s">
        <v>2775</v>
      </c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str">
        <f>VLOOKUP(H383,Sheet2!$A$1:$B$270,2,FALSE)</f>
        <v>LABOAN BAJO</v>
      </c>
    </row>
    <row r="384" spans="1:61">
      <c r="A384">
        <v>383</v>
      </c>
      <c r="B384">
        <v>1002617761</v>
      </c>
      <c r="C384">
        <v>3</v>
      </c>
      <c r="D384" t="s">
        <v>45</v>
      </c>
      <c r="E384">
        <v>5</v>
      </c>
      <c r="F384" t="s">
        <v>113</v>
      </c>
      <c r="G384" t="s">
        <v>114</v>
      </c>
      <c r="H384" t="s">
        <v>357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46296.532442129632</v>
      </c>
      <c r="P384" s="57">
        <v>46298.387129629627</v>
      </c>
      <c r="Q384">
        <v>69402304</v>
      </c>
      <c r="S384">
        <v>172514217309</v>
      </c>
      <c r="T384" t="s">
        <v>1377</v>
      </c>
      <c r="U384" t="s">
        <v>1378</v>
      </c>
      <c r="V384" t="s">
        <v>1379</v>
      </c>
      <c r="Z384">
        <v>120.474511633902</v>
      </c>
      <c r="AA384">
        <v>-8.6045969281323096</v>
      </c>
      <c r="AB384" t="s">
        <v>1380</v>
      </c>
      <c r="AC384" t="s">
        <v>235</v>
      </c>
      <c r="AL384" t="s">
        <v>217</v>
      </c>
      <c r="AM384" t="s">
        <v>1381</v>
      </c>
      <c r="AN384" t="s">
        <v>6</v>
      </c>
      <c r="AO384" s="57">
        <v>46032.559305555558</v>
      </c>
      <c r="AP384" s="57">
        <v>46297.458333333336</v>
      </c>
      <c r="AR384" t="s">
        <v>218</v>
      </c>
      <c r="AS384" t="s">
        <v>219</v>
      </c>
      <c r="AT384" t="s">
        <v>230</v>
      </c>
      <c r="AU384">
        <v>20261003</v>
      </c>
      <c r="AV384" t="s">
        <v>221</v>
      </c>
      <c r="AW384" t="s">
        <v>879</v>
      </c>
      <c r="AX384" t="s">
        <v>222</v>
      </c>
      <c r="BA384" s="57">
        <v>46297.458333333336</v>
      </c>
      <c r="BB384" t="s">
        <v>1381</v>
      </c>
      <c r="BC384">
        <v>2026</v>
      </c>
      <c r="BD384">
        <v>10</v>
      </c>
      <c r="BE384">
        <v>3</v>
      </c>
      <c r="BF384" s="6">
        <f t="shared" si="15"/>
        <v>46298</v>
      </c>
      <c r="BG384">
        <f t="shared" si="16"/>
        <v>0.54166666666424135</v>
      </c>
      <c r="BH384" t="str">
        <f t="shared" si="17"/>
        <v>COMPLY</v>
      </c>
      <c r="BI384" t="str">
        <f>VLOOKUP(H384,Sheet2!$A$1:$B$270,2,FALSE)</f>
        <v>LABOAN BAJO</v>
      </c>
    </row>
    <row r="385" spans="1:61">
      <c r="A385">
        <v>384</v>
      </c>
      <c r="B385">
        <v>1002619237</v>
      </c>
      <c r="C385">
        <v>3</v>
      </c>
      <c r="D385" t="s">
        <v>45</v>
      </c>
      <c r="E385">
        <v>5</v>
      </c>
      <c r="F385" t="s">
        <v>113</v>
      </c>
      <c r="G385" t="s">
        <v>111</v>
      </c>
      <c r="H385" t="s">
        <v>337</v>
      </c>
      <c r="I385" t="s">
        <v>212</v>
      </c>
      <c r="J385" t="s">
        <v>213</v>
      </c>
      <c r="K385" t="s">
        <v>149</v>
      </c>
      <c r="L385" t="s">
        <v>214</v>
      </c>
      <c r="M385" t="s">
        <v>224</v>
      </c>
      <c r="N385" t="s">
        <v>215</v>
      </c>
      <c r="O385" s="57">
        <v>46297.417824074073</v>
      </c>
      <c r="P385" s="57">
        <v>46300.337824074071</v>
      </c>
      <c r="Q385">
        <v>69402834</v>
      </c>
      <c r="S385">
        <v>172511797280</v>
      </c>
      <c r="T385" t="s">
        <v>2776</v>
      </c>
      <c r="U385" t="s">
        <v>2777</v>
      </c>
      <c r="V385" t="s">
        <v>2778</v>
      </c>
      <c r="Z385">
        <v>120.9763482</v>
      </c>
      <c r="AA385">
        <v>-8.7885245999999899</v>
      </c>
      <c r="AB385" t="s">
        <v>2779</v>
      </c>
      <c r="AC385" t="s">
        <v>235</v>
      </c>
      <c r="AL385" t="s">
        <v>217</v>
      </c>
      <c r="AM385" t="s">
        <v>2780</v>
      </c>
      <c r="AN385" t="s">
        <v>6</v>
      </c>
      <c r="AO385" s="57">
        <v>46063.42392361111</v>
      </c>
      <c r="AP385" s="57">
        <v>46300.333333333336</v>
      </c>
      <c r="AR385" t="s">
        <v>18</v>
      </c>
      <c r="AS385" t="s">
        <v>572</v>
      </c>
      <c r="AT385" t="s">
        <v>230</v>
      </c>
      <c r="AV385" t="s">
        <v>226</v>
      </c>
      <c r="AW385" t="s">
        <v>878</v>
      </c>
      <c r="AX385" t="s">
        <v>222</v>
      </c>
      <c r="BA385" s="57">
        <v>46300.333333333336</v>
      </c>
      <c r="BB385" t="s">
        <v>2780</v>
      </c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str">
        <f>VLOOKUP(H385,Sheet2!$A$1:$B$270,2,FALSE)</f>
        <v>ENDE</v>
      </c>
    </row>
    <row r="386" spans="1:61">
      <c r="A386">
        <v>385</v>
      </c>
      <c r="B386">
        <v>1002617668</v>
      </c>
      <c r="C386">
        <v>3</v>
      </c>
      <c r="D386" t="s">
        <v>34</v>
      </c>
      <c r="E386">
        <v>5</v>
      </c>
      <c r="F386" t="s">
        <v>546</v>
      </c>
      <c r="G386" t="s">
        <v>84</v>
      </c>
      <c r="H386" t="s">
        <v>250</v>
      </c>
      <c r="I386" t="s">
        <v>1440</v>
      </c>
      <c r="J386" t="s">
        <v>213</v>
      </c>
      <c r="K386" t="s">
        <v>149</v>
      </c>
      <c r="M386" t="s">
        <v>76</v>
      </c>
      <c r="N386" t="s">
        <v>1507</v>
      </c>
      <c r="O386" s="57">
        <v>46296.493923611109</v>
      </c>
      <c r="P386" s="57">
        <v>46296.622118055559</v>
      </c>
      <c r="Q386">
        <v>69394624</v>
      </c>
      <c r="S386">
        <v>172425708139</v>
      </c>
      <c r="T386" t="s">
        <v>2781</v>
      </c>
      <c r="U386" t="s">
        <v>2782</v>
      </c>
      <c r="V386" t="s">
        <v>2783</v>
      </c>
      <c r="Z386">
        <v>114.9287298</v>
      </c>
      <c r="AA386">
        <v>-8.2033623999999996</v>
      </c>
      <c r="AB386" t="s">
        <v>2784</v>
      </c>
      <c r="AC386" t="s">
        <v>284</v>
      </c>
      <c r="AL386" t="s">
        <v>217</v>
      </c>
      <c r="AM386" t="s">
        <v>2785</v>
      </c>
      <c r="AN386" t="s">
        <v>6</v>
      </c>
      <c r="AO386" s="57">
        <v>46032.517557870371</v>
      </c>
      <c r="AR386" t="s">
        <v>218</v>
      </c>
      <c r="AS386" t="s">
        <v>219</v>
      </c>
      <c r="AT386" t="s">
        <v>230</v>
      </c>
      <c r="AU386">
        <v>20261001</v>
      </c>
      <c r="AV386" t="s">
        <v>221</v>
      </c>
      <c r="AW386" t="s">
        <v>1534</v>
      </c>
      <c r="AX386" t="s">
        <v>222</v>
      </c>
      <c r="BA386" s="57">
        <v>25569.291666666668</v>
      </c>
      <c r="BB386" t="s">
        <v>2785</v>
      </c>
      <c r="BC386">
        <v>2026</v>
      </c>
      <c r="BD386">
        <v>10</v>
      </c>
      <c r="BE386">
        <v>1</v>
      </c>
      <c r="BF386" s="6">
        <f t="shared" ref="BF386:BF449" si="18">DATE(BC386,BD386,BE386)</f>
        <v>46296</v>
      </c>
      <c r="BG386">
        <f t="shared" ref="BG386:BG449" si="19">BF386-BA386</f>
        <v>20726.708333333332</v>
      </c>
      <c r="BH386" t="str">
        <f t="shared" ref="BH386:BH449" si="20">IF(BG386=1,"COMPLY",IF(BG386&lt;1,"COMPLY","NOT COMPLY"))</f>
        <v>NOT COMPLY</v>
      </c>
      <c r="BI386" t="str">
        <f>VLOOKUP(H386,Sheet2!$A$1:$B$270,2,FALSE)</f>
        <v>SINGARAJA</v>
      </c>
    </row>
    <row r="387" spans="1:61">
      <c r="A387">
        <v>386</v>
      </c>
      <c r="B387">
        <v>1002620294</v>
      </c>
      <c r="C387">
        <v>3</v>
      </c>
      <c r="D387" t="s">
        <v>34</v>
      </c>
      <c r="E387">
        <v>5</v>
      </c>
      <c r="F387" t="s">
        <v>546</v>
      </c>
      <c r="G387" t="s">
        <v>85</v>
      </c>
      <c r="H387" t="s">
        <v>355</v>
      </c>
      <c r="I387" t="s">
        <v>212</v>
      </c>
      <c r="J387" t="s">
        <v>213</v>
      </c>
      <c r="K387" t="s">
        <v>149</v>
      </c>
      <c r="M387" t="s">
        <v>895</v>
      </c>
      <c r="N387" t="s">
        <v>215</v>
      </c>
      <c r="O387" s="57">
        <v>46297.653240740743</v>
      </c>
      <c r="P387" s="57">
        <v>46300.337106481478</v>
      </c>
      <c r="Q387">
        <v>69403239</v>
      </c>
      <c r="S387">
        <v>172414214645</v>
      </c>
      <c r="T387" t="s">
        <v>2786</v>
      </c>
      <c r="U387" t="s">
        <v>2787</v>
      </c>
      <c r="V387" t="s">
        <v>2788</v>
      </c>
      <c r="Z387">
        <v>115.19612909999999</v>
      </c>
      <c r="AA387">
        <v>-8.3990746000000005</v>
      </c>
      <c r="AB387" t="s">
        <v>2789</v>
      </c>
      <c r="AC387" t="s">
        <v>229</v>
      </c>
      <c r="AL387" t="s">
        <v>217</v>
      </c>
      <c r="AM387" t="s">
        <v>2790</v>
      </c>
      <c r="AN387" t="s">
        <v>6</v>
      </c>
      <c r="AO387" s="57">
        <v>46063.663495370369</v>
      </c>
      <c r="AP387" s="57">
        <v>46300.333333333336</v>
      </c>
      <c r="AR387" t="s">
        <v>886</v>
      </c>
      <c r="AS387" t="s">
        <v>85</v>
      </c>
      <c r="AT387" t="s">
        <v>230</v>
      </c>
      <c r="AV387" t="s">
        <v>896</v>
      </c>
      <c r="AW387" t="s">
        <v>2157</v>
      </c>
      <c r="AX387" t="s">
        <v>222</v>
      </c>
      <c r="BA387" s="57">
        <v>46300.333333333336</v>
      </c>
      <c r="BB387" t="s">
        <v>2790</v>
      </c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str">
        <f>VLOOKUP(H387,Sheet2!$A$1:$B$270,2,FALSE)</f>
        <v>TABANAN</v>
      </c>
    </row>
    <row r="388" spans="1:61">
      <c r="A388">
        <v>387</v>
      </c>
      <c r="B388">
        <v>1002617688</v>
      </c>
      <c r="C388">
        <v>3</v>
      </c>
      <c r="D388" t="s">
        <v>34</v>
      </c>
      <c r="E388">
        <v>5</v>
      </c>
      <c r="F388" t="s">
        <v>546</v>
      </c>
      <c r="G388" t="s">
        <v>85</v>
      </c>
      <c r="H388" t="s">
        <v>355</v>
      </c>
      <c r="I388" t="s">
        <v>212</v>
      </c>
      <c r="J388" t="s">
        <v>213</v>
      </c>
      <c r="K388" t="s">
        <v>149</v>
      </c>
      <c r="M388" t="s">
        <v>76</v>
      </c>
      <c r="N388" t="s">
        <v>215</v>
      </c>
      <c r="O388" s="57">
        <v>46296.50371527778</v>
      </c>
      <c r="P388" s="57">
        <v>46297.795717592591</v>
      </c>
      <c r="Q388">
        <v>69402261</v>
      </c>
      <c r="S388">
        <v>172414214642</v>
      </c>
      <c r="T388" t="s">
        <v>1382</v>
      </c>
      <c r="U388" t="s">
        <v>1383</v>
      </c>
      <c r="V388" t="s">
        <v>1384</v>
      </c>
      <c r="Z388">
        <v>115.1615592</v>
      </c>
      <c r="AA388">
        <v>-8.3697926999999996</v>
      </c>
      <c r="AB388" t="s">
        <v>1385</v>
      </c>
      <c r="AC388" t="s">
        <v>229</v>
      </c>
      <c r="AL388" t="s">
        <v>217</v>
      </c>
      <c r="AM388" t="s">
        <v>1386</v>
      </c>
      <c r="AN388" t="s">
        <v>6</v>
      </c>
      <c r="AO388" s="57">
        <v>46032.517557870371</v>
      </c>
      <c r="AP388" s="57">
        <v>46297.458333333336</v>
      </c>
      <c r="AR388" t="s">
        <v>218</v>
      </c>
      <c r="AS388" t="s">
        <v>85</v>
      </c>
      <c r="AT388" t="s">
        <v>230</v>
      </c>
      <c r="AU388">
        <v>20261002</v>
      </c>
      <c r="AV388" t="s">
        <v>221</v>
      </c>
      <c r="AW388" t="s">
        <v>540</v>
      </c>
      <c r="AX388" t="s">
        <v>222</v>
      </c>
      <c r="BA388" s="57">
        <v>46297.458333333336</v>
      </c>
      <c r="BB388" t="s">
        <v>1386</v>
      </c>
      <c r="BC388">
        <v>2026</v>
      </c>
      <c r="BD388">
        <v>10</v>
      </c>
      <c r="BE388">
        <v>2</v>
      </c>
      <c r="BF388" s="6">
        <f t="shared" si="18"/>
        <v>46297</v>
      </c>
      <c r="BG388">
        <f t="shared" si="19"/>
        <v>-0.45833333333575865</v>
      </c>
      <c r="BH388" t="str">
        <f t="shared" si="20"/>
        <v>COMPLY</v>
      </c>
      <c r="BI388" t="str">
        <f>VLOOKUP(H388,Sheet2!$A$1:$B$270,2,FALSE)</f>
        <v>TABANAN</v>
      </c>
    </row>
    <row r="389" spans="1:61">
      <c r="A389">
        <v>388</v>
      </c>
      <c r="B389">
        <v>1002617698</v>
      </c>
      <c r="C389">
        <v>3</v>
      </c>
      <c r="D389" t="s">
        <v>34</v>
      </c>
      <c r="E389">
        <v>5</v>
      </c>
      <c r="F389" t="s">
        <v>546</v>
      </c>
      <c r="G389" t="s">
        <v>85</v>
      </c>
      <c r="H389" t="s">
        <v>355</v>
      </c>
      <c r="I389" t="s">
        <v>212</v>
      </c>
      <c r="J389" t="s">
        <v>213</v>
      </c>
      <c r="K389" t="s">
        <v>149</v>
      </c>
      <c r="M389" t="s">
        <v>76</v>
      </c>
      <c r="N389" t="s">
        <v>215</v>
      </c>
      <c r="O389" s="57">
        <v>46296.506469907406</v>
      </c>
      <c r="P389" s="57">
        <v>46297.793634259258</v>
      </c>
      <c r="Q389">
        <v>69402262</v>
      </c>
      <c r="S389">
        <v>172414214639</v>
      </c>
      <c r="T389" t="s">
        <v>1387</v>
      </c>
      <c r="U389" t="s">
        <v>1388</v>
      </c>
      <c r="V389" t="s">
        <v>1389</v>
      </c>
      <c r="Z389">
        <v>115.14373620000001</v>
      </c>
      <c r="AA389">
        <v>-8.3613206000000009</v>
      </c>
      <c r="AB389" t="s">
        <v>1390</v>
      </c>
      <c r="AC389" t="s">
        <v>229</v>
      </c>
      <c r="AL389" t="s">
        <v>217</v>
      </c>
      <c r="AM389" t="s">
        <v>1391</v>
      </c>
      <c r="AN389" t="s">
        <v>6</v>
      </c>
      <c r="AO389" s="57">
        <v>46032.517557870371</v>
      </c>
      <c r="AP389" s="57">
        <v>46297.458333333336</v>
      </c>
      <c r="AR389" t="s">
        <v>218</v>
      </c>
      <c r="AS389" t="s">
        <v>85</v>
      </c>
      <c r="AT389" t="s">
        <v>230</v>
      </c>
      <c r="AU389">
        <v>20261002</v>
      </c>
      <c r="AV389" t="s">
        <v>221</v>
      </c>
      <c r="AW389" t="s">
        <v>540</v>
      </c>
      <c r="AX389" t="s">
        <v>222</v>
      </c>
      <c r="BA389" s="57">
        <v>46297.458333333336</v>
      </c>
      <c r="BB389" t="s">
        <v>1391</v>
      </c>
      <c r="BC389">
        <v>2026</v>
      </c>
      <c r="BD389">
        <v>10</v>
      </c>
      <c r="BE389">
        <v>2</v>
      </c>
      <c r="BF389" s="6">
        <f t="shared" si="18"/>
        <v>46297</v>
      </c>
      <c r="BG389">
        <f t="shared" si="19"/>
        <v>-0.45833333333575865</v>
      </c>
      <c r="BH389" t="str">
        <f t="shared" si="20"/>
        <v>COMPLY</v>
      </c>
      <c r="BI389" t="str">
        <f>VLOOKUP(H389,Sheet2!$A$1:$B$270,2,FALSE)</f>
        <v>TABANAN</v>
      </c>
    </row>
    <row r="390" spans="1:61">
      <c r="A390">
        <v>389</v>
      </c>
      <c r="B390">
        <v>1002620541</v>
      </c>
      <c r="C390">
        <v>3</v>
      </c>
      <c r="D390" t="s">
        <v>34</v>
      </c>
      <c r="E390">
        <v>5</v>
      </c>
      <c r="F390" t="s">
        <v>546</v>
      </c>
      <c r="G390" t="s">
        <v>85</v>
      </c>
      <c r="H390" t="s">
        <v>278</v>
      </c>
      <c r="I390" t="s">
        <v>212</v>
      </c>
      <c r="J390" t="s">
        <v>213</v>
      </c>
      <c r="K390" t="s">
        <v>149</v>
      </c>
      <c r="M390" t="s">
        <v>841</v>
      </c>
      <c r="N390" t="s">
        <v>215</v>
      </c>
      <c r="O390" s="57">
        <v>46297.716215277775</v>
      </c>
      <c r="P390" s="57">
        <v>46300.363368055558</v>
      </c>
      <c r="Q390">
        <v>69403343</v>
      </c>
      <c r="S390">
        <v>172413245157</v>
      </c>
      <c r="T390" t="s">
        <v>2791</v>
      </c>
      <c r="U390" t="s">
        <v>2792</v>
      </c>
      <c r="V390" t="s">
        <v>2793</v>
      </c>
      <c r="Z390">
        <v>114.9505413</v>
      </c>
      <c r="AA390">
        <v>-8.4895628999999992</v>
      </c>
      <c r="AB390" t="s">
        <v>2794</v>
      </c>
      <c r="AC390" t="s">
        <v>229</v>
      </c>
      <c r="AL390" t="s">
        <v>217</v>
      </c>
      <c r="AM390" t="s">
        <v>2795</v>
      </c>
      <c r="AN390" t="s">
        <v>6</v>
      </c>
      <c r="AO390" s="57">
        <v>46063.736041666663</v>
      </c>
      <c r="AP390" s="57">
        <v>46299.333333333336</v>
      </c>
      <c r="AQ390" t="s">
        <v>840</v>
      </c>
      <c r="AR390" t="s">
        <v>842</v>
      </c>
      <c r="AS390" t="s">
        <v>85</v>
      </c>
      <c r="AT390" t="s">
        <v>230</v>
      </c>
      <c r="AV390" t="s">
        <v>2796</v>
      </c>
      <c r="AW390" t="s">
        <v>540</v>
      </c>
      <c r="AX390" t="s">
        <v>222</v>
      </c>
      <c r="BA390" s="57">
        <v>46299.333333333336</v>
      </c>
      <c r="BB390" t="s">
        <v>2795</v>
      </c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str">
        <f>VLOOKUP(H390,Sheet2!$A$1:$B$270,2,FALSE)</f>
        <v>TABANAN</v>
      </c>
    </row>
    <row r="391" spans="1:61">
      <c r="A391">
        <v>390</v>
      </c>
      <c r="B391">
        <v>1002620478</v>
      </c>
      <c r="C391">
        <v>3</v>
      </c>
      <c r="D391" t="s">
        <v>34</v>
      </c>
      <c r="E391">
        <v>5</v>
      </c>
      <c r="F391" t="s">
        <v>546</v>
      </c>
      <c r="G391" t="s">
        <v>85</v>
      </c>
      <c r="H391" t="s">
        <v>278</v>
      </c>
      <c r="I391" t="s">
        <v>212</v>
      </c>
      <c r="J391" t="s">
        <v>213</v>
      </c>
      <c r="K391" t="s">
        <v>149</v>
      </c>
      <c r="M391" t="s">
        <v>841</v>
      </c>
      <c r="N391" t="s">
        <v>215</v>
      </c>
      <c r="O391" s="57">
        <v>46297.700023148151</v>
      </c>
      <c r="P391" s="57">
        <v>46300.364270833335</v>
      </c>
      <c r="Q391">
        <v>69403328</v>
      </c>
      <c r="S391">
        <v>172413245152</v>
      </c>
      <c r="T391" t="s">
        <v>2797</v>
      </c>
      <c r="U391" t="s">
        <v>2792</v>
      </c>
      <c r="V391" t="s">
        <v>2798</v>
      </c>
      <c r="Z391">
        <v>114.9505413</v>
      </c>
      <c r="AA391">
        <v>-8.4895628999999992</v>
      </c>
      <c r="AB391" t="s">
        <v>2799</v>
      </c>
      <c r="AC391" t="s">
        <v>229</v>
      </c>
      <c r="AL391" t="s">
        <v>217</v>
      </c>
      <c r="AM391" t="s">
        <v>2795</v>
      </c>
      <c r="AN391" t="s">
        <v>6</v>
      </c>
      <c r="AO391" s="57">
        <v>46063.705462962964</v>
      </c>
      <c r="AP391" s="57">
        <v>46299.333333333336</v>
      </c>
      <c r="AQ391" t="s">
        <v>840</v>
      </c>
      <c r="AR391" t="s">
        <v>842</v>
      </c>
      <c r="AS391" t="s">
        <v>85</v>
      </c>
      <c r="AT391" t="s">
        <v>230</v>
      </c>
      <c r="AV391" t="s">
        <v>2800</v>
      </c>
      <c r="AW391" t="s">
        <v>2801</v>
      </c>
      <c r="AX391" t="s">
        <v>222</v>
      </c>
      <c r="BA391" s="57">
        <v>46299.333333333336</v>
      </c>
      <c r="BB391" t="s">
        <v>2795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str">
        <f>VLOOKUP(H391,Sheet2!$A$1:$B$270,2,FALSE)</f>
        <v>TABANAN</v>
      </c>
    </row>
    <row r="392" spans="1:61">
      <c r="A392">
        <v>391</v>
      </c>
      <c r="B392">
        <v>1002620582</v>
      </c>
      <c r="C392">
        <v>3</v>
      </c>
      <c r="D392" t="s">
        <v>34</v>
      </c>
      <c r="E392">
        <v>5</v>
      </c>
      <c r="F392" t="s">
        <v>546</v>
      </c>
      <c r="G392" t="s">
        <v>85</v>
      </c>
      <c r="H392" t="s">
        <v>278</v>
      </c>
      <c r="I392" t="s">
        <v>212</v>
      </c>
      <c r="J392" t="s">
        <v>213</v>
      </c>
      <c r="K392" t="s">
        <v>149</v>
      </c>
      <c r="M392" t="s">
        <v>841</v>
      </c>
      <c r="N392" t="s">
        <v>215</v>
      </c>
      <c r="O392" s="57">
        <v>46297.729687500003</v>
      </c>
      <c r="P392" s="57">
        <v>46300.363888888889</v>
      </c>
      <c r="Q392">
        <v>69403357</v>
      </c>
      <c r="S392">
        <v>172413245160</v>
      </c>
      <c r="T392" t="s">
        <v>2802</v>
      </c>
      <c r="U392" t="s">
        <v>2803</v>
      </c>
      <c r="V392" t="s">
        <v>2804</v>
      </c>
      <c r="Z392">
        <v>114.9505413</v>
      </c>
      <c r="AA392">
        <v>-8.4895628999999992</v>
      </c>
      <c r="AB392" t="s">
        <v>2794</v>
      </c>
      <c r="AC392" t="s">
        <v>229</v>
      </c>
      <c r="AL392" t="s">
        <v>217</v>
      </c>
      <c r="AM392" t="s">
        <v>2795</v>
      </c>
      <c r="AN392" t="s">
        <v>6</v>
      </c>
      <c r="AO392" s="57">
        <v>46063.736041666663</v>
      </c>
      <c r="AP392" s="57">
        <v>46299.333333333336</v>
      </c>
      <c r="AQ392" t="s">
        <v>840</v>
      </c>
      <c r="AR392" t="s">
        <v>842</v>
      </c>
      <c r="AS392" t="s">
        <v>85</v>
      </c>
      <c r="AT392" t="s">
        <v>230</v>
      </c>
      <c r="AV392" t="s">
        <v>2805</v>
      </c>
      <c r="AW392" t="s">
        <v>540</v>
      </c>
      <c r="AX392" t="s">
        <v>222</v>
      </c>
      <c r="BA392" s="57">
        <v>46299.333333333336</v>
      </c>
      <c r="BB392" t="s">
        <v>2795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str">
        <f>VLOOKUP(H392,Sheet2!$A$1:$B$270,2,FALSE)</f>
        <v>TABANAN</v>
      </c>
    </row>
    <row r="393" spans="1:61">
      <c r="A393">
        <v>392</v>
      </c>
      <c r="B393">
        <v>1002620552</v>
      </c>
      <c r="C393">
        <v>3</v>
      </c>
      <c r="D393" t="s">
        <v>34</v>
      </c>
      <c r="E393">
        <v>5</v>
      </c>
      <c r="F393" t="s">
        <v>546</v>
      </c>
      <c r="G393" t="s">
        <v>85</v>
      </c>
      <c r="H393" t="s">
        <v>278</v>
      </c>
      <c r="I393" t="s">
        <v>212</v>
      </c>
      <c r="J393" t="s">
        <v>213</v>
      </c>
      <c r="K393" t="s">
        <v>149</v>
      </c>
      <c r="M393" t="s">
        <v>841</v>
      </c>
      <c r="N393" t="s">
        <v>215</v>
      </c>
      <c r="O393" s="57">
        <v>46297.719340277778</v>
      </c>
      <c r="P393" s="57">
        <v>46300.36178240741</v>
      </c>
      <c r="Q393">
        <v>69403354</v>
      </c>
      <c r="S393">
        <v>172413245158</v>
      </c>
      <c r="T393" t="s">
        <v>2797</v>
      </c>
      <c r="U393" t="s">
        <v>2806</v>
      </c>
      <c r="V393" t="s">
        <v>2807</v>
      </c>
      <c r="Z393">
        <v>114.9505413</v>
      </c>
      <c r="AA393">
        <v>-8.4895628999999992</v>
      </c>
      <c r="AB393" t="s">
        <v>2794</v>
      </c>
      <c r="AC393" t="s">
        <v>229</v>
      </c>
      <c r="AL393" t="s">
        <v>217</v>
      </c>
      <c r="AM393" t="s">
        <v>2795</v>
      </c>
      <c r="AN393" t="s">
        <v>6</v>
      </c>
      <c r="AO393" s="57">
        <v>46063.736041666663</v>
      </c>
      <c r="AP393" s="57">
        <v>46299.333333333336</v>
      </c>
      <c r="AQ393" t="s">
        <v>840</v>
      </c>
      <c r="AR393" t="s">
        <v>842</v>
      </c>
      <c r="AS393" t="s">
        <v>85</v>
      </c>
      <c r="AT393" t="s">
        <v>230</v>
      </c>
      <c r="AV393" t="s">
        <v>2808</v>
      </c>
      <c r="AW393" t="s">
        <v>540</v>
      </c>
      <c r="AX393" t="s">
        <v>222</v>
      </c>
      <c r="BA393" s="57">
        <v>46299.333333333336</v>
      </c>
      <c r="BB393" t="s">
        <v>2795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str">
        <f>VLOOKUP(H393,Sheet2!$A$1:$B$270,2,FALSE)</f>
        <v>TABANAN</v>
      </c>
    </row>
    <row r="394" spans="1:61">
      <c r="A394">
        <v>393</v>
      </c>
      <c r="B394">
        <v>1002620445</v>
      </c>
      <c r="C394">
        <v>3</v>
      </c>
      <c r="D394" t="s">
        <v>34</v>
      </c>
      <c r="E394">
        <v>5</v>
      </c>
      <c r="F394" t="s">
        <v>546</v>
      </c>
      <c r="G394" t="s">
        <v>85</v>
      </c>
      <c r="H394" t="s">
        <v>278</v>
      </c>
      <c r="I394" t="s">
        <v>212</v>
      </c>
      <c r="J394" t="s">
        <v>213</v>
      </c>
      <c r="K394" t="s">
        <v>149</v>
      </c>
      <c r="M394" t="s">
        <v>841</v>
      </c>
      <c r="N394" t="s">
        <v>215</v>
      </c>
      <c r="O394" s="57">
        <v>46297.688645833332</v>
      </c>
      <c r="P394" s="57">
        <v>46300.362986111111</v>
      </c>
      <c r="Q394">
        <v>69403301</v>
      </c>
      <c r="S394">
        <v>172413245150</v>
      </c>
      <c r="T394" t="s">
        <v>2809</v>
      </c>
      <c r="U394" t="s">
        <v>2810</v>
      </c>
      <c r="V394" t="s">
        <v>2811</v>
      </c>
      <c r="Z394">
        <v>114.9505413</v>
      </c>
      <c r="AA394">
        <v>-8.4895628999999992</v>
      </c>
      <c r="AB394" t="s">
        <v>2799</v>
      </c>
      <c r="AC394" t="s">
        <v>229</v>
      </c>
      <c r="AL394" t="s">
        <v>217</v>
      </c>
      <c r="AM394" t="s">
        <v>2795</v>
      </c>
      <c r="AN394" t="s">
        <v>6</v>
      </c>
      <c r="AO394" s="57">
        <v>46063.694699074076</v>
      </c>
      <c r="AP394" s="57">
        <v>46299.333333333336</v>
      </c>
      <c r="AQ394" t="s">
        <v>840</v>
      </c>
      <c r="AR394" t="s">
        <v>842</v>
      </c>
      <c r="AS394" t="s">
        <v>85</v>
      </c>
      <c r="AT394" t="s">
        <v>230</v>
      </c>
      <c r="AV394" t="s">
        <v>2812</v>
      </c>
      <c r="AW394" t="s">
        <v>2157</v>
      </c>
      <c r="AX394" t="s">
        <v>222</v>
      </c>
      <c r="BA394" s="57">
        <v>46299.333333333336</v>
      </c>
      <c r="BB394" t="s">
        <v>2795</v>
      </c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str">
        <f>VLOOKUP(H394,Sheet2!$A$1:$B$270,2,FALSE)</f>
        <v>TABANAN</v>
      </c>
    </row>
    <row r="395" spans="1:61">
      <c r="A395">
        <v>394</v>
      </c>
      <c r="B395">
        <v>1002620534</v>
      </c>
      <c r="C395">
        <v>3</v>
      </c>
      <c r="D395" t="s">
        <v>34</v>
      </c>
      <c r="E395">
        <v>5</v>
      </c>
      <c r="F395" t="s">
        <v>546</v>
      </c>
      <c r="G395" t="s">
        <v>85</v>
      </c>
      <c r="H395" t="s">
        <v>278</v>
      </c>
      <c r="I395" t="s">
        <v>212</v>
      </c>
      <c r="J395" t="s">
        <v>213</v>
      </c>
      <c r="K395" t="s">
        <v>149</v>
      </c>
      <c r="M395" t="s">
        <v>841</v>
      </c>
      <c r="N395" t="s">
        <v>215</v>
      </c>
      <c r="O395" s="57">
        <v>46297.713541666664</v>
      </c>
      <c r="P395" s="57">
        <v>46300.362511574072</v>
      </c>
      <c r="Q395">
        <v>69403340</v>
      </c>
      <c r="S395">
        <v>172413245156</v>
      </c>
      <c r="T395" t="s">
        <v>2797</v>
      </c>
      <c r="U395" t="s">
        <v>2792</v>
      </c>
      <c r="V395" t="s">
        <v>2813</v>
      </c>
      <c r="Z395">
        <v>114.9505413</v>
      </c>
      <c r="AA395">
        <v>-8.4895628999999992</v>
      </c>
      <c r="AB395" t="s">
        <v>2794</v>
      </c>
      <c r="AC395" t="s">
        <v>229</v>
      </c>
      <c r="AL395" t="s">
        <v>217</v>
      </c>
      <c r="AM395" t="s">
        <v>2795</v>
      </c>
      <c r="AN395" t="s">
        <v>6</v>
      </c>
      <c r="AO395" s="57">
        <v>46063.716145833336</v>
      </c>
      <c r="AP395" s="57">
        <v>46299.333333333336</v>
      </c>
      <c r="AQ395" t="s">
        <v>840</v>
      </c>
      <c r="AR395" t="s">
        <v>842</v>
      </c>
      <c r="AS395" t="s">
        <v>85</v>
      </c>
      <c r="AT395" t="s">
        <v>230</v>
      </c>
      <c r="AV395" t="s">
        <v>2814</v>
      </c>
      <c r="AW395" t="s">
        <v>2815</v>
      </c>
      <c r="AX395" t="s">
        <v>222</v>
      </c>
      <c r="BA395" s="57">
        <v>46299.333333333336</v>
      </c>
      <c r="BB395" t="s">
        <v>2795</v>
      </c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str">
        <f>VLOOKUP(H395,Sheet2!$A$1:$B$270,2,FALSE)</f>
        <v>TABANAN</v>
      </c>
    </row>
    <row r="396" spans="1:61">
      <c r="A396">
        <v>395</v>
      </c>
      <c r="B396">
        <v>1002620492</v>
      </c>
      <c r="C396">
        <v>3</v>
      </c>
      <c r="D396" t="s">
        <v>34</v>
      </c>
      <c r="E396">
        <v>5</v>
      </c>
      <c r="F396" t="s">
        <v>546</v>
      </c>
      <c r="G396" t="s">
        <v>85</v>
      </c>
      <c r="H396" t="s">
        <v>278</v>
      </c>
      <c r="I396" t="s">
        <v>212</v>
      </c>
      <c r="J396" t="s">
        <v>213</v>
      </c>
      <c r="K396" t="s">
        <v>149</v>
      </c>
      <c r="M396" t="s">
        <v>895</v>
      </c>
      <c r="N396" t="s">
        <v>215</v>
      </c>
      <c r="O396" s="57">
        <v>46297.703900462962</v>
      </c>
      <c r="P396" s="57">
        <v>46299.33666666667</v>
      </c>
      <c r="Q396">
        <v>69403323</v>
      </c>
      <c r="S396">
        <v>172413245153</v>
      </c>
      <c r="T396" t="s">
        <v>2797</v>
      </c>
      <c r="U396" t="s">
        <v>2792</v>
      </c>
      <c r="V396" t="s">
        <v>2816</v>
      </c>
      <c r="Z396">
        <v>114.9505413</v>
      </c>
      <c r="AA396">
        <v>-8.4895628999999992</v>
      </c>
      <c r="AB396" t="s">
        <v>2799</v>
      </c>
      <c r="AC396" t="s">
        <v>229</v>
      </c>
      <c r="AL396" t="s">
        <v>217</v>
      </c>
      <c r="AM396" t="s">
        <v>2817</v>
      </c>
      <c r="AN396" t="s">
        <v>6</v>
      </c>
      <c r="AO396" s="57">
        <v>46063.705462962964</v>
      </c>
      <c r="AP396" s="57">
        <v>46299.333333333336</v>
      </c>
      <c r="AR396" t="s">
        <v>886</v>
      </c>
      <c r="AS396" t="s">
        <v>85</v>
      </c>
      <c r="AT396" t="s">
        <v>230</v>
      </c>
      <c r="AV396" t="s">
        <v>896</v>
      </c>
      <c r="AW396" t="s">
        <v>2157</v>
      </c>
      <c r="AX396" t="s">
        <v>222</v>
      </c>
      <c r="BA396" s="57">
        <v>46299.333333333336</v>
      </c>
      <c r="BB396" t="s">
        <v>2817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str">
        <f>VLOOKUP(H396,Sheet2!$A$1:$B$270,2,FALSE)</f>
        <v>TABANAN</v>
      </c>
    </row>
    <row r="397" spans="1:61">
      <c r="A397">
        <v>396</v>
      </c>
      <c r="B397">
        <v>1002620569</v>
      </c>
      <c r="C397">
        <v>3</v>
      </c>
      <c r="D397" t="s">
        <v>34</v>
      </c>
      <c r="E397">
        <v>5</v>
      </c>
      <c r="F397" t="s">
        <v>546</v>
      </c>
      <c r="G397" t="s">
        <v>85</v>
      </c>
      <c r="H397" t="s">
        <v>278</v>
      </c>
      <c r="I397" t="s">
        <v>212</v>
      </c>
      <c r="J397" t="s">
        <v>213</v>
      </c>
      <c r="K397" t="s">
        <v>149</v>
      </c>
      <c r="M397" t="s">
        <v>895</v>
      </c>
      <c r="N397" t="s">
        <v>215</v>
      </c>
      <c r="O397" s="57">
        <v>46297.725034722222</v>
      </c>
      <c r="P397" s="57">
        <v>46299.336712962962</v>
      </c>
      <c r="Q397">
        <v>69403369</v>
      </c>
      <c r="S397">
        <v>172413245159</v>
      </c>
      <c r="T397" t="s">
        <v>2818</v>
      </c>
      <c r="U397" t="s">
        <v>2819</v>
      </c>
      <c r="V397" t="s">
        <v>2820</v>
      </c>
      <c r="Z397">
        <v>114.9505413</v>
      </c>
      <c r="AA397">
        <v>-8.4895628999999992</v>
      </c>
      <c r="AB397" t="s">
        <v>2794</v>
      </c>
      <c r="AC397" t="s">
        <v>229</v>
      </c>
      <c r="AL397" t="s">
        <v>217</v>
      </c>
      <c r="AM397" t="s">
        <v>2795</v>
      </c>
      <c r="AN397" t="s">
        <v>6</v>
      </c>
      <c r="AO397" s="57">
        <v>46063.736041666663</v>
      </c>
      <c r="AP397" s="57">
        <v>46299.333333333336</v>
      </c>
      <c r="AR397" t="s">
        <v>886</v>
      </c>
      <c r="AS397" t="s">
        <v>85</v>
      </c>
      <c r="AT397" t="s">
        <v>230</v>
      </c>
      <c r="AV397" t="s">
        <v>896</v>
      </c>
      <c r="AW397" t="s">
        <v>2815</v>
      </c>
      <c r="AX397" t="s">
        <v>222</v>
      </c>
      <c r="BA397" s="57">
        <v>46299.333333333336</v>
      </c>
      <c r="BB397" t="s">
        <v>2795</v>
      </c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str">
        <f>VLOOKUP(H397,Sheet2!$A$1:$B$270,2,FALSE)</f>
        <v>TABANAN</v>
      </c>
    </row>
    <row r="398" spans="1:61">
      <c r="A398">
        <v>397</v>
      </c>
      <c r="B398">
        <v>1002620470</v>
      </c>
      <c r="C398">
        <v>3</v>
      </c>
      <c r="D398" t="s">
        <v>34</v>
      </c>
      <c r="E398">
        <v>5</v>
      </c>
      <c r="F398" t="s">
        <v>546</v>
      </c>
      <c r="G398" t="s">
        <v>85</v>
      </c>
      <c r="H398" t="s">
        <v>278</v>
      </c>
      <c r="I398" t="s">
        <v>212</v>
      </c>
      <c r="J398" t="s">
        <v>213</v>
      </c>
      <c r="K398" t="s">
        <v>149</v>
      </c>
      <c r="M398" t="s">
        <v>895</v>
      </c>
      <c r="N398" t="s">
        <v>215</v>
      </c>
      <c r="O398" s="57">
        <v>46297.697337962964</v>
      </c>
      <c r="P398" s="57">
        <v>46299.336574074077</v>
      </c>
      <c r="Q398">
        <v>69403325</v>
      </c>
      <c r="S398">
        <v>172413245151</v>
      </c>
      <c r="T398" t="s">
        <v>2791</v>
      </c>
      <c r="U398" t="s">
        <v>2792</v>
      </c>
      <c r="V398" t="s">
        <v>2821</v>
      </c>
      <c r="Z398">
        <v>114.9505413</v>
      </c>
      <c r="AA398">
        <v>-8.4895628999999992</v>
      </c>
      <c r="AB398" t="s">
        <v>2799</v>
      </c>
      <c r="AC398" t="s">
        <v>229</v>
      </c>
      <c r="AL398" t="s">
        <v>217</v>
      </c>
      <c r="AM398" t="s">
        <v>2795</v>
      </c>
      <c r="AN398" t="s">
        <v>6</v>
      </c>
      <c r="AO398" s="57">
        <v>46063.705462962964</v>
      </c>
      <c r="AP398" s="57">
        <v>46299.333333333336</v>
      </c>
      <c r="AR398" t="s">
        <v>886</v>
      </c>
      <c r="AS398" t="s">
        <v>85</v>
      </c>
      <c r="AT398" t="s">
        <v>230</v>
      </c>
      <c r="AV398" t="s">
        <v>896</v>
      </c>
      <c r="AW398" t="s">
        <v>2801</v>
      </c>
      <c r="AX398" t="s">
        <v>222</v>
      </c>
      <c r="BA398" s="57">
        <v>46299.333333333336</v>
      </c>
      <c r="BB398" t="s">
        <v>2795</v>
      </c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str">
        <f>VLOOKUP(H398,Sheet2!$A$1:$B$270,2,FALSE)</f>
        <v>TABANAN</v>
      </c>
    </row>
    <row r="399" spans="1:61">
      <c r="A399">
        <v>398</v>
      </c>
      <c r="B399">
        <v>1002620518</v>
      </c>
      <c r="C399">
        <v>3</v>
      </c>
      <c r="D399" t="s">
        <v>34</v>
      </c>
      <c r="E399">
        <v>5</v>
      </c>
      <c r="F399" t="s">
        <v>546</v>
      </c>
      <c r="G399" t="s">
        <v>85</v>
      </c>
      <c r="H399" t="s">
        <v>278</v>
      </c>
      <c r="I399" t="s">
        <v>212</v>
      </c>
      <c r="J399" t="s">
        <v>213</v>
      </c>
      <c r="K399" t="s">
        <v>149</v>
      </c>
      <c r="M399" t="s">
        <v>895</v>
      </c>
      <c r="N399" t="s">
        <v>215</v>
      </c>
      <c r="O399" s="57">
        <v>46297.709803240738</v>
      </c>
      <c r="P399" s="57">
        <v>46299.33666666667</v>
      </c>
      <c r="Q399">
        <v>69403349</v>
      </c>
      <c r="S399">
        <v>172413245155</v>
      </c>
      <c r="T399" t="s">
        <v>2791</v>
      </c>
      <c r="U399" t="s">
        <v>2792</v>
      </c>
      <c r="V399" t="s">
        <v>2822</v>
      </c>
      <c r="Z399">
        <v>114.9505413</v>
      </c>
      <c r="AA399">
        <v>-8.4895628999999992</v>
      </c>
      <c r="AB399" t="s">
        <v>2799</v>
      </c>
      <c r="AC399" t="s">
        <v>229</v>
      </c>
      <c r="AL399" t="s">
        <v>217</v>
      </c>
      <c r="AM399" t="s">
        <v>2795</v>
      </c>
      <c r="AN399" t="s">
        <v>6</v>
      </c>
      <c r="AO399" s="57">
        <v>46063.716145833336</v>
      </c>
      <c r="AP399" s="57">
        <v>46299.333333333336</v>
      </c>
      <c r="AR399" t="s">
        <v>886</v>
      </c>
      <c r="AS399" t="s">
        <v>85</v>
      </c>
      <c r="AT399" t="s">
        <v>230</v>
      </c>
      <c r="AV399" t="s">
        <v>896</v>
      </c>
      <c r="AW399" t="s">
        <v>2157</v>
      </c>
      <c r="AX399" t="s">
        <v>222</v>
      </c>
      <c r="BA399" s="57">
        <v>46299.333333333336</v>
      </c>
      <c r="BB399" t="s">
        <v>2795</v>
      </c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str">
        <f>VLOOKUP(H399,Sheet2!$A$1:$B$270,2,FALSE)</f>
        <v>TABANAN</v>
      </c>
    </row>
    <row r="400" spans="1:61">
      <c r="A400">
        <v>399</v>
      </c>
      <c r="B400">
        <v>1002620504</v>
      </c>
      <c r="C400">
        <v>3</v>
      </c>
      <c r="D400" t="s">
        <v>34</v>
      </c>
      <c r="E400">
        <v>5</v>
      </c>
      <c r="F400" t="s">
        <v>546</v>
      </c>
      <c r="G400" t="s">
        <v>85</v>
      </c>
      <c r="H400" t="s">
        <v>278</v>
      </c>
      <c r="I400" t="s">
        <v>212</v>
      </c>
      <c r="J400" t="s">
        <v>213</v>
      </c>
      <c r="K400" t="s">
        <v>149</v>
      </c>
      <c r="M400" t="s">
        <v>895</v>
      </c>
      <c r="N400" t="s">
        <v>215</v>
      </c>
      <c r="O400" s="57">
        <v>46297.706620370373</v>
      </c>
      <c r="P400" s="57">
        <v>46299.336481481485</v>
      </c>
      <c r="Q400">
        <v>69403334</v>
      </c>
      <c r="S400">
        <v>172413245154</v>
      </c>
      <c r="T400" t="s">
        <v>2791</v>
      </c>
      <c r="U400" t="s">
        <v>2792</v>
      </c>
      <c r="V400" t="s">
        <v>2823</v>
      </c>
      <c r="Z400">
        <v>114.9505413</v>
      </c>
      <c r="AA400">
        <v>-8.4895628999999992</v>
      </c>
      <c r="AB400" t="s">
        <v>2799</v>
      </c>
      <c r="AC400" t="s">
        <v>229</v>
      </c>
      <c r="AL400" t="s">
        <v>217</v>
      </c>
      <c r="AM400" t="s">
        <v>2795</v>
      </c>
      <c r="AN400" t="s">
        <v>6</v>
      </c>
      <c r="AO400" s="57">
        <v>46063.716145833336</v>
      </c>
      <c r="AP400" s="57">
        <v>46299.333333333336</v>
      </c>
      <c r="AR400" t="s">
        <v>886</v>
      </c>
      <c r="AS400" t="s">
        <v>85</v>
      </c>
      <c r="AT400" t="s">
        <v>230</v>
      </c>
      <c r="AV400" t="s">
        <v>896</v>
      </c>
      <c r="AW400" t="s">
        <v>2157</v>
      </c>
      <c r="AX400" t="s">
        <v>222</v>
      </c>
      <c r="BA400" s="57">
        <v>46299.333333333336</v>
      </c>
      <c r="BB400" t="s">
        <v>2795</v>
      </c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str">
        <f>VLOOKUP(H400,Sheet2!$A$1:$B$270,2,FALSE)</f>
        <v>TABANAN</v>
      </c>
    </row>
    <row r="401" spans="1:61">
      <c r="A401">
        <v>400</v>
      </c>
      <c r="B401">
        <v>1002619183</v>
      </c>
      <c r="C401">
        <v>3</v>
      </c>
      <c r="D401" t="s">
        <v>34</v>
      </c>
      <c r="E401">
        <v>5</v>
      </c>
      <c r="F401" t="s">
        <v>546</v>
      </c>
      <c r="G401" t="s">
        <v>85</v>
      </c>
      <c r="H401" t="s">
        <v>278</v>
      </c>
      <c r="I401" t="s">
        <v>212</v>
      </c>
      <c r="J401" t="s">
        <v>213</v>
      </c>
      <c r="K401" t="s">
        <v>149</v>
      </c>
      <c r="M401" t="s">
        <v>224</v>
      </c>
      <c r="N401" t="s">
        <v>215</v>
      </c>
      <c r="O401" s="57">
        <v>46297.407152777778</v>
      </c>
      <c r="P401" s="57">
        <v>46298.485879629632</v>
      </c>
      <c r="Q401">
        <v>69402795</v>
      </c>
      <c r="S401">
        <v>172413245144</v>
      </c>
      <c r="T401" t="s">
        <v>2824</v>
      </c>
      <c r="U401" t="s">
        <v>2810</v>
      </c>
      <c r="V401" t="s">
        <v>2825</v>
      </c>
      <c r="Z401">
        <v>114.9505413</v>
      </c>
      <c r="AA401">
        <v>-8.4895628999999992</v>
      </c>
      <c r="AB401" t="s">
        <v>2826</v>
      </c>
      <c r="AC401" t="s">
        <v>229</v>
      </c>
      <c r="AL401" t="s">
        <v>217</v>
      </c>
      <c r="AM401" t="s">
        <v>2827</v>
      </c>
      <c r="AN401" t="s">
        <v>6</v>
      </c>
      <c r="AO401" s="57">
        <v>46063.42392361111</v>
      </c>
      <c r="AP401" s="57">
        <v>46298.458333333336</v>
      </c>
      <c r="AR401" t="s">
        <v>18</v>
      </c>
      <c r="AS401" t="s">
        <v>85</v>
      </c>
      <c r="AT401" t="s">
        <v>220</v>
      </c>
      <c r="AV401" t="s">
        <v>226</v>
      </c>
      <c r="AW401" t="s">
        <v>540</v>
      </c>
      <c r="AX401" t="s">
        <v>222</v>
      </c>
      <c r="BA401" s="57">
        <v>46298.458333333336</v>
      </c>
      <c r="BB401" t="s">
        <v>2827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str">
        <f>VLOOKUP(H401,Sheet2!$A$1:$B$270,2,FALSE)</f>
        <v>TABANAN</v>
      </c>
    </row>
    <row r="402" spans="1:61">
      <c r="A402">
        <v>401</v>
      </c>
      <c r="B402">
        <v>1002617925</v>
      </c>
      <c r="C402">
        <v>3</v>
      </c>
      <c r="D402" t="s">
        <v>34</v>
      </c>
      <c r="E402">
        <v>5</v>
      </c>
      <c r="F402" t="s">
        <v>553</v>
      </c>
      <c r="G402" t="s">
        <v>86</v>
      </c>
      <c r="H402" t="s">
        <v>271</v>
      </c>
      <c r="I402" t="s">
        <v>212</v>
      </c>
      <c r="J402" t="s">
        <v>213</v>
      </c>
      <c r="K402" t="s">
        <v>149</v>
      </c>
      <c r="M402" t="s">
        <v>895</v>
      </c>
      <c r="N402" t="s">
        <v>215</v>
      </c>
      <c r="O402" s="57">
        <v>46296.575636574074</v>
      </c>
      <c r="P402" s="57">
        <v>46297.488009259258</v>
      </c>
      <c r="Q402">
        <v>69402378</v>
      </c>
      <c r="S402">
        <v>172418758061</v>
      </c>
      <c r="T402" t="s">
        <v>1392</v>
      </c>
      <c r="U402" t="s">
        <v>1393</v>
      </c>
      <c r="V402" t="s">
        <v>1394</v>
      </c>
      <c r="Z402">
        <v>115.2218709</v>
      </c>
      <c r="AA402">
        <v>-8.6356625999999999</v>
      </c>
      <c r="AB402" t="s">
        <v>1395</v>
      </c>
      <c r="AC402" t="s">
        <v>225</v>
      </c>
      <c r="AL402" t="s">
        <v>217</v>
      </c>
      <c r="AM402" t="s">
        <v>1396</v>
      </c>
      <c r="AN402" t="s">
        <v>6</v>
      </c>
      <c r="AO402" s="57">
        <v>46032.579872685186</v>
      </c>
      <c r="AP402" s="57">
        <v>46297.458333333336</v>
      </c>
      <c r="AR402" t="s">
        <v>886</v>
      </c>
      <c r="AS402" t="s">
        <v>86</v>
      </c>
      <c r="AT402" t="s">
        <v>220</v>
      </c>
      <c r="AV402" t="s">
        <v>896</v>
      </c>
      <c r="AW402" t="s">
        <v>853</v>
      </c>
      <c r="AX402" t="s">
        <v>222</v>
      </c>
      <c r="BA402" s="57">
        <v>46297.458333333336</v>
      </c>
      <c r="BB402" t="s">
        <v>1396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str">
        <f>VLOOKUP(H402,Sheet2!$A$1:$B$270,2,FALSE)</f>
        <v>UBUNG</v>
      </c>
    </row>
    <row r="403" spans="1:61">
      <c r="A403">
        <v>402</v>
      </c>
      <c r="B403">
        <v>1002616933</v>
      </c>
      <c r="C403">
        <v>3</v>
      </c>
      <c r="D403" t="s">
        <v>34</v>
      </c>
      <c r="E403">
        <v>5</v>
      </c>
      <c r="F403" t="s">
        <v>553</v>
      </c>
      <c r="G403" t="s">
        <v>86</v>
      </c>
      <c r="H403" t="s">
        <v>271</v>
      </c>
      <c r="I403" t="s">
        <v>212</v>
      </c>
      <c r="J403" t="s">
        <v>213</v>
      </c>
      <c r="K403" t="s">
        <v>149</v>
      </c>
      <c r="M403" t="s">
        <v>224</v>
      </c>
      <c r="N403" t="s">
        <v>215</v>
      </c>
      <c r="O403" s="57">
        <v>46296.365520833337</v>
      </c>
      <c r="P403" s="57">
        <v>46296.370104166665</v>
      </c>
      <c r="Q403">
        <v>69401252</v>
      </c>
      <c r="S403">
        <v>172418758695</v>
      </c>
      <c r="T403" t="s">
        <v>944</v>
      </c>
      <c r="U403" t="s">
        <v>945</v>
      </c>
      <c r="V403" t="s">
        <v>1399</v>
      </c>
      <c r="Z403">
        <v>115.209762709739</v>
      </c>
      <c r="AA403">
        <v>-8.65767524401166</v>
      </c>
      <c r="AB403" t="s">
        <v>946</v>
      </c>
      <c r="AC403" t="s">
        <v>229</v>
      </c>
      <c r="AL403" t="s">
        <v>217</v>
      </c>
      <c r="AM403" t="s">
        <v>1400</v>
      </c>
      <c r="AN403" t="s">
        <v>6</v>
      </c>
      <c r="AO403" s="57">
        <v>46032.392847222225</v>
      </c>
      <c r="AR403" t="s">
        <v>18</v>
      </c>
      <c r="AS403" t="s">
        <v>86</v>
      </c>
      <c r="AT403" t="s">
        <v>342</v>
      </c>
      <c r="AV403" t="s">
        <v>226</v>
      </c>
      <c r="AW403" t="s">
        <v>904</v>
      </c>
      <c r="AX403" t="s">
        <v>222</v>
      </c>
      <c r="BA403" s="57">
        <v>46296.291666666664</v>
      </c>
      <c r="BB403" t="s">
        <v>1400</v>
      </c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str">
        <f>VLOOKUP(H403,Sheet2!$A$1:$B$270,2,FALSE)</f>
        <v>UBUNG</v>
      </c>
    </row>
    <row r="404" spans="1:61">
      <c r="A404">
        <v>403</v>
      </c>
      <c r="B404">
        <v>1002616976</v>
      </c>
      <c r="C404">
        <v>3</v>
      </c>
      <c r="D404" t="s">
        <v>34</v>
      </c>
      <c r="E404">
        <v>5</v>
      </c>
      <c r="F404" t="s">
        <v>553</v>
      </c>
      <c r="G404" t="s">
        <v>86</v>
      </c>
      <c r="H404" t="s">
        <v>271</v>
      </c>
      <c r="I404" t="s">
        <v>212</v>
      </c>
      <c r="J404" t="s">
        <v>213</v>
      </c>
      <c r="K404" t="s">
        <v>149</v>
      </c>
      <c r="M404" t="s">
        <v>76</v>
      </c>
      <c r="N404" t="s">
        <v>215</v>
      </c>
      <c r="O404" s="57">
        <v>46296.374502314815</v>
      </c>
      <c r="P404" s="57">
        <v>46297.457881944443</v>
      </c>
      <c r="Q404">
        <v>69402057</v>
      </c>
      <c r="S404">
        <v>172418758697</v>
      </c>
      <c r="T404" t="s">
        <v>944</v>
      </c>
      <c r="U404" t="s">
        <v>945</v>
      </c>
      <c r="V404" t="s">
        <v>1397</v>
      </c>
      <c r="Z404">
        <v>115.2095704</v>
      </c>
      <c r="AA404">
        <v>-8.6576401000000001</v>
      </c>
      <c r="AB404" t="s">
        <v>946</v>
      </c>
      <c r="AC404" t="s">
        <v>229</v>
      </c>
      <c r="AL404" t="s">
        <v>217</v>
      </c>
      <c r="AM404" t="s">
        <v>1398</v>
      </c>
      <c r="AN404" t="s">
        <v>6</v>
      </c>
      <c r="AO404" s="57">
        <v>46032.392847222225</v>
      </c>
      <c r="AP404" s="57">
        <v>46297.333333333336</v>
      </c>
      <c r="AR404" t="s">
        <v>218</v>
      </c>
      <c r="AS404" t="s">
        <v>86</v>
      </c>
      <c r="AT404" t="s">
        <v>230</v>
      </c>
      <c r="AU404">
        <v>20261002</v>
      </c>
      <c r="AV404" t="s">
        <v>221</v>
      </c>
      <c r="AW404" t="s">
        <v>540</v>
      </c>
      <c r="AX404" t="s">
        <v>222</v>
      </c>
      <c r="BA404" s="57">
        <v>46297.333333333336</v>
      </c>
      <c r="BB404" t="s">
        <v>1398</v>
      </c>
      <c r="BC404">
        <v>2026</v>
      </c>
      <c r="BD404">
        <v>10</v>
      </c>
      <c r="BE404">
        <v>2</v>
      </c>
      <c r="BF404" s="6">
        <f t="shared" si="18"/>
        <v>46297</v>
      </c>
      <c r="BG404">
        <f t="shared" si="19"/>
        <v>-0.33333333333575865</v>
      </c>
      <c r="BH404" t="str">
        <f t="shared" si="20"/>
        <v>COMPLY</v>
      </c>
      <c r="BI404" t="str">
        <f>VLOOKUP(H404,Sheet2!$A$1:$B$270,2,FALSE)</f>
        <v>UBUNG</v>
      </c>
    </row>
    <row r="405" spans="1:61">
      <c r="A405">
        <v>404</v>
      </c>
      <c r="B405">
        <v>1002619911</v>
      </c>
      <c r="C405">
        <v>3</v>
      </c>
      <c r="D405" t="s">
        <v>34</v>
      </c>
      <c r="E405">
        <v>5</v>
      </c>
      <c r="F405" t="s">
        <v>553</v>
      </c>
      <c r="G405" t="s">
        <v>81</v>
      </c>
      <c r="H405" t="s">
        <v>348</v>
      </c>
      <c r="I405" t="s">
        <v>212</v>
      </c>
      <c r="J405" t="s">
        <v>213</v>
      </c>
      <c r="K405" t="s">
        <v>149</v>
      </c>
      <c r="M405" t="s">
        <v>224</v>
      </c>
      <c r="N405" t="s">
        <v>215</v>
      </c>
      <c r="O405" s="57">
        <v>46297.58798611111</v>
      </c>
      <c r="P405" s="57">
        <v>46299.635439814818</v>
      </c>
      <c r="Q405">
        <v>69403135</v>
      </c>
      <c r="S405">
        <v>172416429347</v>
      </c>
      <c r="T405" t="s">
        <v>2828</v>
      </c>
      <c r="U405" t="s">
        <v>2829</v>
      </c>
      <c r="V405" t="s">
        <v>2830</v>
      </c>
      <c r="Z405">
        <v>115.1830829</v>
      </c>
      <c r="AA405">
        <v>-8.7048287999999996</v>
      </c>
      <c r="AB405" t="s">
        <v>2831</v>
      </c>
      <c r="AC405" t="s">
        <v>229</v>
      </c>
      <c r="AL405" t="s">
        <v>217</v>
      </c>
      <c r="AM405" t="s">
        <v>2832</v>
      </c>
      <c r="AN405" t="s">
        <v>6</v>
      </c>
      <c r="AO405" s="57">
        <v>46063.61105324074</v>
      </c>
      <c r="AP405" s="57">
        <v>46299.625</v>
      </c>
      <c r="AR405" t="s">
        <v>18</v>
      </c>
      <c r="AS405" t="s">
        <v>792</v>
      </c>
      <c r="AT405" t="s">
        <v>220</v>
      </c>
      <c r="AV405" t="s">
        <v>226</v>
      </c>
      <c r="AW405" t="s">
        <v>576</v>
      </c>
      <c r="AX405" t="s">
        <v>222</v>
      </c>
      <c r="BA405" s="57">
        <v>46299.625</v>
      </c>
      <c r="BB405" t="s">
        <v>2832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str">
        <f>VLOOKUP(H405,Sheet2!$A$1:$B$270,2,FALSE)</f>
        <v>JIMBARAN</v>
      </c>
    </row>
    <row r="406" spans="1:61">
      <c r="A406">
        <v>405</v>
      </c>
      <c r="B406">
        <v>1002619261</v>
      </c>
      <c r="C406">
        <v>3</v>
      </c>
      <c r="D406" t="s">
        <v>34</v>
      </c>
      <c r="E406">
        <v>5</v>
      </c>
      <c r="F406" t="s">
        <v>553</v>
      </c>
      <c r="G406" t="s">
        <v>81</v>
      </c>
      <c r="H406" t="s">
        <v>348</v>
      </c>
      <c r="I406" t="s">
        <v>212</v>
      </c>
      <c r="J406" t="s">
        <v>213</v>
      </c>
      <c r="K406" t="s">
        <v>149</v>
      </c>
      <c r="M406" t="s">
        <v>538</v>
      </c>
      <c r="N406" t="s">
        <v>215</v>
      </c>
      <c r="O406" s="57">
        <v>46297.432245370372</v>
      </c>
      <c r="P406" s="57">
        <v>46297.596631944441</v>
      </c>
      <c r="Q406">
        <v>69402843</v>
      </c>
      <c r="S406">
        <v>172416429336</v>
      </c>
      <c r="T406" t="s">
        <v>2833</v>
      </c>
      <c r="U406" t="s">
        <v>2829</v>
      </c>
      <c r="Z406">
        <v>115.1830829</v>
      </c>
      <c r="AA406">
        <v>-8.7048287999999996</v>
      </c>
      <c r="AB406" t="s">
        <v>2831</v>
      </c>
      <c r="AC406" t="s">
        <v>229</v>
      </c>
      <c r="AO406" s="57">
        <v>46063.444386574076</v>
      </c>
      <c r="AR406" t="s">
        <v>6</v>
      </c>
      <c r="AS406" t="s">
        <v>792</v>
      </c>
      <c r="AT406" t="s">
        <v>220</v>
      </c>
      <c r="AV406" t="s">
        <v>2834</v>
      </c>
      <c r="AW406" t="s">
        <v>540</v>
      </c>
      <c r="AX406" t="s">
        <v>222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str">
        <f>VLOOKUP(H406,Sheet2!$A$1:$B$270,2,FALSE)</f>
        <v>JIMBARAN</v>
      </c>
    </row>
    <row r="407" spans="1:61">
      <c r="A407">
        <v>406</v>
      </c>
      <c r="B407">
        <v>1002621473</v>
      </c>
      <c r="C407">
        <v>3</v>
      </c>
      <c r="D407" t="s">
        <v>34</v>
      </c>
      <c r="E407">
        <v>5</v>
      </c>
      <c r="F407" t="s">
        <v>553</v>
      </c>
      <c r="G407" t="s">
        <v>83</v>
      </c>
      <c r="H407" t="s">
        <v>316</v>
      </c>
      <c r="I407" t="s">
        <v>212</v>
      </c>
      <c r="J407" t="s">
        <v>213</v>
      </c>
      <c r="K407" t="s">
        <v>149</v>
      </c>
      <c r="L407" t="s">
        <v>214</v>
      </c>
      <c r="M407" t="s">
        <v>238</v>
      </c>
      <c r="N407" t="s">
        <v>215</v>
      </c>
      <c r="O407" s="57">
        <v>46299.66574074074</v>
      </c>
      <c r="P407" s="57">
        <v>46299.667395833334</v>
      </c>
      <c r="Q407">
        <v>69403960</v>
      </c>
      <c r="S407">
        <v>172401794124</v>
      </c>
      <c r="T407" t="s">
        <v>2835</v>
      </c>
      <c r="U407" t="s">
        <v>2836</v>
      </c>
      <c r="V407" t="s">
        <v>2837</v>
      </c>
      <c r="Z407">
        <v>115.233876292338</v>
      </c>
      <c r="AA407">
        <v>-8.68437292116249</v>
      </c>
      <c r="AB407" t="s">
        <v>2838</v>
      </c>
      <c r="AC407" t="s">
        <v>2839</v>
      </c>
      <c r="AL407" t="s">
        <v>217</v>
      </c>
      <c r="AM407" t="s">
        <v>2840</v>
      </c>
      <c r="AN407" t="s">
        <v>6</v>
      </c>
      <c r="AO407" s="57">
        <v>46122.674062500002</v>
      </c>
      <c r="AP407" s="57">
        <v>46300.625</v>
      </c>
      <c r="AR407" t="s">
        <v>239</v>
      </c>
      <c r="AS407" t="s">
        <v>2841</v>
      </c>
      <c r="AT407" t="s">
        <v>230</v>
      </c>
      <c r="AV407" t="s">
        <v>238</v>
      </c>
      <c r="AW407" t="s">
        <v>2842</v>
      </c>
      <c r="AX407" t="s">
        <v>222</v>
      </c>
      <c r="BA407" s="57">
        <v>46300.625</v>
      </c>
      <c r="BB407" t="s">
        <v>2840</v>
      </c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str">
        <f>VLOOKUP(H407,Sheet2!$A$1:$B$270,2,FALSE)</f>
        <v>SANUR</v>
      </c>
    </row>
    <row r="408" spans="1:61">
      <c r="A408">
        <v>407</v>
      </c>
      <c r="B408">
        <v>1002618140</v>
      </c>
      <c r="C408">
        <v>3</v>
      </c>
      <c r="D408" t="s">
        <v>34</v>
      </c>
      <c r="E408">
        <v>5</v>
      </c>
      <c r="F408" t="s">
        <v>553</v>
      </c>
      <c r="G408" t="s">
        <v>83</v>
      </c>
      <c r="H408" t="s">
        <v>390</v>
      </c>
      <c r="I408" t="s">
        <v>1894</v>
      </c>
      <c r="J408" t="s">
        <v>213</v>
      </c>
      <c r="K408" t="s">
        <v>149</v>
      </c>
      <c r="M408" t="s">
        <v>76</v>
      </c>
      <c r="N408" t="s">
        <v>2843</v>
      </c>
      <c r="O408" s="57">
        <v>46296.610150462962</v>
      </c>
      <c r="P408" s="57">
        <v>46297.450937499998</v>
      </c>
      <c r="Q408">
        <v>69401646</v>
      </c>
      <c r="R408">
        <v>3619581022</v>
      </c>
      <c r="S408">
        <v>172401298392</v>
      </c>
      <c r="T408" t="s">
        <v>2844</v>
      </c>
      <c r="U408" t="s">
        <v>2845</v>
      </c>
      <c r="V408" t="s">
        <v>2846</v>
      </c>
      <c r="Z408">
        <v>115.26216592999999</v>
      </c>
      <c r="AA408">
        <v>-8.6823983459999994</v>
      </c>
      <c r="AB408" t="s">
        <v>2847</v>
      </c>
      <c r="AC408" t="s">
        <v>225</v>
      </c>
      <c r="AL408" t="s">
        <v>217</v>
      </c>
      <c r="AM408" t="s">
        <v>2848</v>
      </c>
      <c r="AN408" t="s">
        <v>6</v>
      </c>
      <c r="AO408" s="57">
        <v>46032.611296296294</v>
      </c>
      <c r="AR408" t="s">
        <v>218</v>
      </c>
      <c r="AS408" t="s">
        <v>83</v>
      </c>
      <c r="AT408" t="s">
        <v>230</v>
      </c>
      <c r="AU408">
        <v>20261002</v>
      </c>
      <c r="AV408" t="s">
        <v>221</v>
      </c>
      <c r="AW408" t="s">
        <v>2849</v>
      </c>
      <c r="AX408" t="s">
        <v>222</v>
      </c>
      <c r="BA408" s="57">
        <v>25569.291666666668</v>
      </c>
      <c r="BB408" t="s">
        <v>2848</v>
      </c>
      <c r="BC408">
        <v>2026</v>
      </c>
      <c r="BD408">
        <v>10</v>
      </c>
      <c r="BE408">
        <v>2</v>
      </c>
      <c r="BF408" s="6">
        <f t="shared" si="18"/>
        <v>46297</v>
      </c>
      <c r="BG408">
        <f t="shared" si="19"/>
        <v>20727.708333333332</v>
      </c>
      <c r="BH408" t="str">
        <f t="shared" si="20"/>
        <v>NOT COMPLY</v>
      </c>
      <c r="BI408" t="str">
        <f>VLOOKUP(H408,Sheet2!$A$1:$B$270,2,FALSE)</f>
        <v>SANUR</v>
      </c>
    </row>
    <row r="409" spans="1:61">
      <c r="A409">
        <v>408</v>
      </c>
      <c r="B409">
        <v>1002617750</v>
      </c>
      <c r="C409">
        <v>3</v>
      </c>
      <c r="D409" t="s">
        <v>34</v>
      </c>
      <c r="E409">
        <v>5</v>
      </c>
      <c r="F409" t="s">
        <v>546</v>
      </c>
      <c r="G409" t="s">
        <v>84</v>
      </c>
      <c r="H409" t="s">
        <v>408</v>
      </c>
      <c r="I409" t="s">
        <v>212</v>
      </c>
      <c r="J409" t="s">
        <v>213</v>
      </c>
      <c r="K409" t="s">
        <v>149</v>
      </c>
      <c r="M409" t="s">
        <v>76</v>
      </c>
      <c r="N409" t="s">
        <v>215</v>
      </c>
      <c r="O409" s="57">
        <v>46296.530219907407</v>
      </c>
      <c r="P409" s="57">
        <v>46297.860289351855</v>
      </c>
      <c r="Q409">
        <v>69402318</v>
      </c>
      <c r="S409">
        <v>172406213398</v>
      </c>
      <c r="T409" t="s">
        <v>1401</v>
      </c>
      <c r="U409" t="s">
        <v>1402</v>
      </c>
      <c r="V409" t="s">
        <v>1403</v>
      </c>
      <c r="Z409">
        <v>115.3283899</v>
      </c>
      <c r="AA409">
        <v>-8.2477935999999996</v>
      </c>
      <c r="AB409" t="s">
        <v>1404</v>
      </c>
      <c r="AC409" t="s">
        <v>229</v>
      </c>
      <c r="AL409" t="s">
        <v>217</v>
      </c>
      <c r="AM409" t="s">
        <v>1405</v>
      </c>
      <c r="AN409" t="s">
        <v>6</v>
      </c>
      <c r="AO409" s="57">
        <v>46032.559305555558</v>
      </c>
      <c r="AP409" s="57">
        <v>46297.625</v>
      </c>
      <c r="AR409" t="s">
        <v>218</v>
      </c>
      <c r="AS409" t="s">
        <v>219</v>
      </c>
      <c r="AT409" t="s">
        <v>220</v>
      </c>
      <c r="AU409">
        <v>20261002</v>
      </c>
      <c r="AV409" t="s">
        <v>221</v>
      </c>
      <c r="AW409" t="s">
        <v>935</v>
      </c>
      <c r="AX409" t="s">
        <v>222</v>
      </c>
      <c r="BA409" s="57">
        <v>46297.625</v>
      </c>
      <c r="BB409" t="s">
        <v>1405</v>
      </c>
      <c r="BC409">
        <v>2026</v>
      </c>
      <c r="BD409">
        <v>10</v>
      </c>
      <c r="BE409">
        <v>2</v>
      </c>
      <c r="BF409" s="6">
        <f t="shared" si="18"/>
        <v>46297</v>
      </c>
      <c r="BG409">
        <f t="shared" si="19"/>
        <v>-0.625</v>
      </c>
      <c r="BH409" t="str">
        <f t="shared" si="20"/>
        <v>COMPLY</v>
      </c>
      <c r="BI409" t="str">
        <f>VLOOKUP(H409,Sheet2!$A$1:$B$270,2,FALSE)</f>
        <v>SINGARAJA</v>
      </c>
    </row>
    <row r="410" spans="1:61">
      <c r="A410">
        <v>409</v>
      </c>
      <c r="B410">
        <v>1002619726</v>
      </c>
      <c r="C410">
        <v>3</v>
      </c>
      <c r="D410" t="s">
        <v>34</v>
      </c>
      <c r="E410">
        <v>5</v>
      </c>
      <c r="F410" t="s">
        <v>546</v>
      </c>
      <c r="G410" t="s">
        <v>79</v>
      </c>
      <c r="H410" t="s">
        <v>459</v>
      </c>
      <c r="I410" t="s">
        <v>212</v>
      </c>
      <c r="J410" t="s">
        <v>213</v>
      </c>
      <c r="K410" t="s">
        <v>149</v>
      </c>
      <c r="M410" t="s">
        <v>895</v>
      </c>
      <c r="N410" t="s">
        <v>215</v>
      </c>
      <c r="O410" s="57">
        <v>46297.548194444447</v>
      </c>
      <c r="P410" s="57">
        <v>46298.640821759262</v>
      </c>
      <c r="Q410">
        <v>69403052</v>
      </c>
      <c r="S410">
        <v>172407214848</v>
      </c>
      <c r="T410" t="s">
        <v>2850</v>
      </c>
      <c r="U410" t="s">
        <v>2851</v>
      </c>
      <c r="V410" t="s">
        <v>2852</v>
      </c>
      <c r="Z410">
        <v>115.3231564</v>
      </c>
      <c r="AA410">
        <v>-8.5493194999999993</v>
      </c>
      <c r="AB410" t="s">
        <v>2853</v>
      </c>
      <c r="AC410" t="s">
        <v>229</v>
      </c>
      <c r="AL410" t="s">
        <v>217</v>
      </c>
      <c r="AM410" t="s">
        <v>2854</v>
      </c>
      <c r="AN410" t="s">
        <v>6</v>
      </c>
      <c r="AO410" s="57">
        <v>46063.549375000002</v>
      </c>
      <c r="AP410" s="57">
        <v>46298.625</v>
      </c>
      <c r="AR410" t="s">
        <v>886</v>
      </c>
      <c r="AS410" t="s">
        <v>79</v>
      </c>
      <c r="AT410" t="s">
        <v>230</v>
      </c>
      <c r="AV410" t="s">
        <v>896</v>
      </c>
      <c r="AW410" t="s">
        <v>540</v>
      </c>
      <c r="AX410" t="s">
        <v>222</v>
      </c>
      <c r="BA410" s="57">
        <v>46298.625</v>
      </c>
      <c r="BB410" t="s">
        <v>2854</v>
      </c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str">
        <f>VLOOKUP(H410,Sheet2!$A$1:$B$270,2,FALSE)</f>
        <v>GIANYAR</v>
      </c>
    </row>
    <row r="411" spans="1:61">
      <c r="A411">
        <v>410</v>
      </c>
      <c r="B411">
        <v>1002620148</v>
      </c>
      <c r="C411">
        <v>3</v>
      </c>
      <c r="D411" t="s">
        <v>34</v>
      </c>
      <c r="E411">
        <v>5</v>
      </c>
      <c r="F411" t="s">
        <v>546</v>
      </c>
      <c r="G411" t="s">
        <v>79</v>
      </c>
      <c r="H411" t="s">
        <v>459</v>
      </c>
      <c r="I411" t="s">
        <v>212</v>
      </c>
      <c r="J411" t="s">
        <v>213</v>
      </c>
      <c r="K411" t="s">
        <v>149</v>
      </c>
      <c r="M411" t="s">
        <v>895</v>
      </c>
      <c r="N411" t="s">
        <v>215</v>
      </c>
      <c r="O411" s="57">
        <v>46297.627303240741</v>
      </c>
      <c r="P411" s="57">
        <v>46300.337094907409</v>
      </c>
      <c r="Q411">
        <v>69403198</v>
      </c>
      <c r="S411">
        <v>172407215204</v>
      </c>
      <c r="T411" t="s">
        <v>2855</v>
      </c>
      <c r="U411" t="s">
        <v>2856</v>
      </c>
      <c r="V411" t="s">
        <v>2857</v>
      </c>
      <c r="Z411">
        <v>115.33344959999999</v>
      </c>
      <c r="AA411">
        <v>-8.5427497999999993</v>
      </c>
      <c r="AB411" t="s">
        <v>2858</v>
      </c>
      <c r="AC411" t="s">
        <v>229</v>
      </c>
      <c r="AL411" t="s">
        <v>217</v>
      </c>
      <c r="AM411" t="s">
        <v>2859</v>
      </c>
      <c r="AN411" t="s">
        <v>6</v>
      </c>
      <c r="AO411" s="57">
        <v>46063.652951388889</v>
      </c>
      <c r="AP411" s="57">
        <v>46300.333333333336</v>
      </c>
      <c r="AR411" t="s">
        <v>886</v>
      </c>
      <c r="AS411" t="s">
        <v>79</v>
      </c>
      <c r="AT411" t="s">
        <v>230</v>
      </c>
      <c r="AV411" t="s">
        <v>896</v>
      </c>
      <c r="AW411" t="s">
        <v>2157</v>
      </c>
      <c r="AX411" t="s">
        <v>222</v>
      </c>
      <c r="BA411" s="57">
        <v>46300.333333333336</v>
      </c>
      <c r="BB411" t="s">
        <v>2859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str">
        <f>VLOOKUP(H411,Sheet2!$A$1:$B$270,2,FALSE)</f>
        <v>GIANYAR</v>
      </c>
    </row>
    <row r="412" spans="1:61">
      <c r="A412">
        <v>411</v>
      </c>
      <c r="B412">
        <v>1002619348</v>
      </c>
      <c r="C412">
        <v>3</v>
      </c>
      <c r="D412" t="s">
        <v>34</v>
      </c>
      <c r="E412">
        <v>5</v>
      </c>
      <c r="F412" t="s">
        <v>546</v>
      </c>
      <c r="G412" t="s">
        <v>79</v>
      </c>
      <c r="H412" t="s">
        <v>459</v>
      </c>
      <c r="I412" t="s">
        <v>212</v>
      </c>
      <c r="J412" t="s">
        <v>213</v>
      </c>
      <c r="K412" t="s">
        <v>149</v>
      </c>
      <c r="M412" t="s">
        <v>895</v>
      </c>
      <c r="N412" t="s">
        <v>215</v>
      </c>
      <c r="O412" s="57">
        <v>46297.440694444442</v>
      </c>
      <c r="P412" s="57">
        <v>46298.336712962962</v>
      </c>
      <c r="Q412">
        <v>69402864</v>
      </c>
      <c r="S412">
        <v>172407214846</v>
      </c>
      <c r="T412" t="s">
        <v>2860</v>
      </c>
      <c r="U412" t="s">
        <v>2861</v>
      </c>
      <c r="V412" t="s">
        <v>2862</v>
      </c>
      <c r="Z412">
        <v>115.3345219</v>
      </c>
      <c r="AA412">
        <v>-8.5517137999999999</v>
      </c>
      <c r="AB412" t="s">
        <v>2863</v>
      </c>
      <c r="AC412" t="s">
        <v>229</v>
      </c>
      <c r="AL412" t="s">
        <v>217</v>
      </c>
      <c r="AM412" t="s">
        <v>1156</v>
      </c>
      <c r="AN412" t="s">
        <v>6</v>
      </c>
      <c r="AO412" s="57">
        <v>46063.444386574076</v>
      </c>
      <c r="AP412" s="57">
        <v>46298.333333333336</v>
      </c>
      <c r="AR412" t="s">
        <v>886</v>
      </c>
      <c r="AS412" t="s">
        <v>79</v>
      </c>
      <c r="AT412" t="s">
        <v>230</v>
      </c>
      <c r="AV412" t="s">
        <v>896</v>
      </c>
      <c r="AW412" t="s">
        <v>2815</v>
      </c>
      <c r="AX412" t="s">
        <v>222</v>
      </c>
      <c r="BA412" s="57">
        <v>46298.333333333336</v>
      </c>
      <c r="BB412" t="s">
        <v>1156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str">
        <f>VLOOKUP(H412,Sheet2!$A$1:$B$270,2,FALSE)</f>
        <v>GIANYAR</v>
      </c>
    </row>
    <row r="413" spans="1:61">
      <c r="A413">
        <v>412</v>
      </c>
      <c r="B413">
        <v>1002621371</v>
      </c>
      <c r="C413">
        <v>3</v>
      </c>
      <c r="D413" t="s">
        <v>34</v>
      </c>
      <c r="E413">
        <v>5</v>
      </c>
      <c r="F413" t="s">
        <v>546</v>
      </c>
      <c r="G413" t="s">
        <v>79</v>
      </c>
      <c r="H413" t="s">
        <v>459</v>
      </c>
      <c r="I413" t="s">
        <v>212</v>
      </c>
      <c r="J413" t="s">
        <v>213</v>
      </c>
      <c r="K413" t="s">
        <v>149</v>
      </c>
      <c r="M413" t="s">
        <v>1647</v>
      </c>
      <c r="N413" t="s">
        <v>215</v>
      </c>
      <c r="O413" s="57">
        <v>46299.539398148147</v>
      </c>
      <c r="P413" s="57">
        <v>46299.587523148148</v>
      </c>
      <c r="Q413">
        <v>69403887</v>
      </c>
      <c r="S413">
        <v>172407215032</v>
      </c>
      <c r="T413" t="s">
        <v>2864</v>
      </c>
      <c r="U413" t="s">
        <v>2865</v>
      </c>
      <c r="V413" t="s">
        <v>2866</v>
      </c>
      <c r="Z413">
        <v>115.3299674</v>
      </c>
      <c r="AA413">
        <v>-8.5350801000000001</v>
      </c>
      <c r="AB413" t="s">
        <v>2867</v>
      </c>
      <c r="AC413" t="s">
        <v>229</v>
      </c>
      <c r="AL413" t="s">
        <v>217</v>
      </c>
      <c r="AM413" t="s">
        <v>2868</v>
      </c>
      <c r="AN413" t="s">
        <v>6</v>
      </c>
      <c r="AO413" s="57">
        <v>46122.549178240741</v>
      </c>
      <c r="AP413" s="57">
        <v>46300.458333333336</v>
      </c>
      <c r="AS413" t="s">
        <v>79</v>
      </c>
      <c r="AT413" t="s">
        <v>230</v>
      </c>
      <c r="AV413" t="s">
        <v>1647</v>
      </c>
      <c r="AW413" t="s">
        <v>2157</v>
      </c>
      <c r="AX413" t="s">
        <v>222</v>
      </c>
      <c r="BA413" s="57">
        <v>46300.458333333336</v>
      </c>
      <c r="BB413" t="s">
        <v>2868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str">
        <f>VLOOKUP(H413,Sheet2!$A$1:$B$270,2,FALSE)</f>
        <v>GIANYAR</v>
      </c>
    </row>
    <row r="414" spans="1:61">
      <c r="A414">
        <v>413</v>
      </c>
      <c r="B414">
        <v>1002621378</v>
      </c>
      <c r="C414">
        <v>3</v>
      </c>
      <c r="D414" t="s">
        <v>34</v>
      </c>
      <c r="E414">
        <v>5</v>
      </c>
      <c r="F414" t="s">
        <v>546</v>
      </c>
      <c r="G414" t="s">
        <v>79</v>
      </c>
      <c r="H414" t="s">
        <v>459</v>
      </c>
      <c r="I414" t="s">
        <v>212</v>
      </c>
      <c r="J414" t="s">
        <v>213</v>
      </c>
      <c r="K414" t="s">
        <v>149</v>
      </c>
      <c r="M414" t="s">
        <v>1716</v>
      </c>
      <c r="N414" t="s">
        <v>215</v>
      </c>
      <c r="O414" s="57">
        <v>46299.543599537035</v>
      </c>
      <c r="P414" s="57">
        <v>46299.659826388888</v>
      </c>
      <c r="Q414">
        <v>69403881</v>
      </c>
      <c r="S414">
        <v>172407215034</v>
      </c>
      <c r="T414" t="s">
        <v>2869</v>
      </c>
      <c r="U414" t="s">
        <v>2870</v>
      </c>
      <c r="Z414">
        <v>115.327792869205</v>
      </c>
      <c r="AA414">
        <v>-8.5251278300011801</v>
      </c>
      <c r="AB414" t="s">
        <v>2871</v>
      </c>
      <c r="AC414" t="s">
        <v>229</v>
      </c>
      <c r="AO414" s="57">
        <v>46122.549178240741</v>
      </c>
      <c r="AR414" t="s">
        <v>5</v>
      </c>
      <c r="AS414" t="s">
        <v>79</v>
      </c>
      <c r="AT414" t="s">
        <v>230</v>
      </c>
      <c r="AV414" t="s">
        <v>2872</v>
      </c>
      <c r="AW414" t="s">
        <v>540</v>
      </c>
      <c r="AX414" t="s">
        <v>222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str">
        <f>VLOOKUP(H414,Sheet2!$A$1:$B$270,2,FALSE)</f>
        <v>GIANYAR</v>
      </c>
    </row>
    <row r="415" spans="1:61">
      <c r="A415">
        <v>414</v>
      </c>
      <c r="B415">
        <v>1002619149</v>
      </c>
      <c r="C415">
        <v>3</v>
      </c>
      <c r="D415" t="s">
        <v>34</v>
      </c>
      <c r="E415">
        <v>5</v>
      </c>
      <c r="F415" t="s">
        <v>546</v>
      </c>
      <c r="G415" t="s">
        <v>79</v>
      </c>
      <c r="H415" t="s">
        <v>281</v>
      </c>
      <c r="I415" t="s">
        <v>212</v>
      </c>
      <c r="J415" t="s">
        <v>213</v>
      </c>
      <c r="K415" t="s">
        <v>149</v>
      </c>
      <c r="M415" t="s">
        <v>76</v>
      </c>
      <c r="N415" t="s">
        <v>215</v>
      </c>
      <c r="O415" s="57">
        <v>46297.4</v>
      </c>
      <c r="P415" s="57">
        <v>46297.736018518517</v>
      </c>
      <c r="Q415">
        <v>69402788</v>
      </c>
      <c r="S415">
        <v>172408248401</v>
      </c>
      <c r="T415" t="s">
        <v>2873</v>
      </c>
      <c r="U415" t="s">
        <v>2874</v>
      </c>
      <c r="V415" t="s">
        <v>2875</v>
      </c>
      <c r="Z415">
        <v>115.2497039</v>
      </c>
      <c r="AA415">
        <v>-8.4707056000000005</v>
      </c>
      <c r="AB415" t="s">
        <v>2876</v>
      </c>
      <c r="AC415" t="s">
        <v>284</v>
      </c>
      <c r="AL415" t="s">
        <v>217</v>
      </c>
      <c r="AM415" t="s">
        <v>2877</v>
      </c>
      <c r="AN415" t="s">
        <v>6</v>
      </c>
      <c r="AO415" s="57">
        <v>46063.403113425928</v>
      </c>
      <c r="AP415" s="57">
        <v>46298.333333333336</v>
      </c>
      <c r="AR415" t="s">
        <v>218</v>
      </c>
      <c r="AS415" t="s">
        <v>585</v>
      </c>
      <c r="AT415" t="s">
        <v>230</v>
      </c>
      <c r="AU415">
        <v>20261002</v>
      </c>
      <c r="AV415" t="s">
        <v>221</v>
      </c>
      <c r="AW415" t="s">
        <v>541</v>
      </c>
      <c r="AX415" t="s">
        <v>222</v>
      </c>
      <c r="BA415" s="57">
        <v>46298.333333333336</v>
      </c>
      <c r="BB415" t="s">
        <v>2877</v>
      </c>
      <c r="BC415">
        <v>2026</v>
      </c>
      <c r="BD415">
        <v>10</v>
      </c>
      <c r="BE415">
        <v>2</v>
      </c>
      <c r="BF415" s="6">
        <f t="shared" si="18"/>
        <v>46297</v>
      </c>
      <c r="BG415">
        <f t="shared" si="19"/>
        <v>-1.3333333333357587</v>
      </c>
      <c r="BH415" t="str">
        <f t="shared" si="20"/>
        <v>COMPLY</v>
      </c>
      <c r="BI415" t="str">
        <f>VLOOKUP(H415,Sheet2!$A$1:$B$270,2,FALSE)</f>
        <v>GIANYAR</v>
      </c>
    </row>
    <row r="416" spans="1:61">
      <c r="O416" s="57"/>
      <c r="P416" s="57"/>
      <c r="AO416" s="57"/>
      <c r="BA416" s="57"/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e">
        <f>VLOOKUP(H416,Sheet2!$A$1:$B$270,2,FALSE)</f>
        <v>#N/A</v>
      </c>
    </row>
    <row r="417" spans="15:61">
      <c r="O417" s="57"/>
      <c r="P417" s="57"/>
      <c r="AO417" s="57"/>
      <c r="AP417" s="57"/>
      <c r="BA417" s="57"/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e">
        <f>VLOOKUP(H417,Sheet2!$A$1:$B$270,2,FALSE)</f>
        <v>#N/A</v>
      </c>
    </row>
    <row r="418" spans="15:61">
      <c r="O418" s="57"/>
      <c r="P418" s="57"/>
      <c r="AO418" s="57"/>
      <c r="AP418" s="57"/>
      <c r="BA418" s="57"/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e">
        <f>VLOOKUP(H418,Sheet2!$A$1:$B$270,2,FALSE)</f>
        <v>#N/A</v>
      </c>
    </row>
    <row r="419" spans="15:61">
      <c r="O419" s="57"/>
      <c r="P419" s="57"/>
      <c r="AO419" s="57"/>
      <c r="AP419" s="57"/>
      <c r="BA419" s="57"/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5:61">
      <c r="O420" s="57"/>
      <c r="P420" s="57"/>
      <c r="AO420" s="57"/>
      <c r="AP420" s="57"/>
      <c r="BA420" s="57"/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e">
        <f>VLOOKUP(H420,Sheet2!$A$1:$B$270,2,FALSE)</f>
        <v>#N/A</v>
      </c>
    </row>
    <row r="421" spans="15:61">
      <c r="O421" s="57"/>
      <c r="P421" s="57"/>
      <c r="AO421" s="57"/>
      <c r="BA421" s="57"/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e">
        <f>VLOOKUP(H421,Sheet2!$A$1:$B$270,2,FALSE)</f>
        <v>#N/A</v>
      </c>
    </row>
    <row r="422" spans="15:61">
      <c r="O422" s="57"/>
      <c r="P422" s="57"/>
      <c r="AO422" s="57"/>
      <c r="BA422" s="57"/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e">
        <f>VLOOKUP(H422,Sheet2!$A$1:$B$270,2,FALSE)</f>
        <v>#N/A</v>
      </c>
    </row>
    <row r="423" spans="15:61">
      <c r="O423" s="57"/>
      <c r="P423" s="57"/>
      <c r="AO423" s="57"/>
      <c r="BA423" s="57"/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e">
        <f>VLOOKUP(H423,Sheet2!$A$1:$B$270,2,FALSE)</f>
        <v>#N/A</v>
      </c>
    </row>
    <row r="424" spans="15:61">
      <c r="O424" s="57"/>
      <c r="P424" s="57"/>
      <c r="AO424" s="57"/>
      <c r="BA424" s="57"/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5:61">
      <c r="O425" s="57"/>
      <c r="P425" s="57"/>
      <c r="AO425" s="57"/>
      <c r="BA425" s="57"/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5:61">
      <c r="O426" s="57"/>
      <c r="P426" s="57"/>
      <c r="AO426" s="57"/>
      <c r="BA426" s="57"/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5:61">
      <c r="O427" s="57"/>
      <c r="P427" s="57"/>
      <c r="BA427" s="57"/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e">
        <f>VLOOKUP(H427,Sheet2!$A$1:$B$270,2,FALSE)</f>
        <v>#N/A</v>
      </c>
    </row>
    <row r="428" spans="15:61">
      <c r="O428" s="57"/>
      <c r="P428" s="57"/>
      <c r="BA428" s="57"/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e">
        <f>VLOOKUP(H428,Sheet2!$A$1:$B$270,2,FALSE)</f>
        <v>#N/A</v>
      </c>
    </row>
    <row r="429" spans="15:61">
      <c r="O429" s="57"/>
      <c r="P429" s="57"/>
      <c r="BA429" s="57"/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5:61">
      <c r="O430" s="57"/>
      <c r="P430" s="57"/>
      <c r="BA430" s="57"/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5:61">
      <c r="O431" s="57"/>
      <c r="P431" s="57"/>
      <c r="BA431" s="57"/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e">
        <f>VLOOKUP(H431,Sheet2!$A$1:$B$270,2,FALSE)</f>
        <v>#N/A</v>
      </c>
    </row>
    <row r="432" spans="15:61">
      <c r="O432" s="57"/>
      <c r="P432" s="57"/>
      <c r="BA432" s="57"/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e">
        <f>VLOOKUP(H432,Sheet2!$A$1:$B$270,2,FALSE)</f>
        <v>#N/A</v>
      </c>
    </row>
    <row r="433" spans="15:61">
      <c r="O433" s="57"/>
      <c r="P433" s="57"/>
      <c r="AP433" s="57"/>
      <c r="BA433" s="57"/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e">
        <f>VLOOKUP(H433,Sheet2!$A$1:$B$270,2,FALSE)</f>
        <v>#N/A</v>
      </c>
    </row>
    <row r="434" spans="15:61">
      <c r="O434" s="57"/>
      <c r="P434" s="57"/>
      <c r="BA434" s="57"/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e">
        <f>VLOOKUP(H434,Sheet2!$A$1:$B$270,2,FALSE)</f>
        <v>#N/A</v>
      </c>
    </row>
    <row r="435" spans="15:61">
      <c r="O435" s="57"/>
      <c r="P435" s="57"/>
      <c r="BA435" s="57"/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5:61">
      <c r="O436" s="57"/>
      <c r="P436" s="57"/>
      <c r="BA436" s="57"/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e">
        <f>VLOOKUP(H436,Sheet2!$A$1:$B$270,2,FALSE)</f>
        <v>#N/A</v>
      </c>
    </row>
    <row r="437" spans="15:61">
      <c r="O437" s="57"/>
      <c r="P437" s="57"/>
      <c r="AP437" s="57"/>
      <c r="BA437" s="57"/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e">
        <f>VLOOKUP(H437,Sheet2!$A$1:$B$270,2,FALSE)</f>
        <v>#N/A</v>
      </c>
    </row>
    <row r="438" spans="15:61">
      <c r="O438" s="57"/>
      <c r="P438" s="57"/>
      <c r="BA438" s="57"/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5:61">
      <c r="O439" s="57"/>
      <c r="P439" s="57"/>
      <c r="BA439" s="57"/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e">
        <f>VLOOKUP(H439,Sheet2!$A$1:$B$270,2,FALSE)</f>
        <v>#N/A</v>
      </c>
    </row>
    <row r="440" spans="15:61">
      <c r="O440" s="57"/>
      <c r="P440" s="57"/>
      <c r="BA440" s="57"/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e">
        <f>VLOOKUP(H440,Sheet2!$A$1:$B$270,2,FALSE)</f>
        <v>#N/A</v>
      </c>
    </row>
    <row r="441" spans="15:61">
      <c r="O441" s="57"/>
      <c r="P441" s="57"/>
      <c r="BA441" s="57"/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5:61">
      <c r="O442" s="57"/>
      <c r="P442" s="57"/>
      <c r="BA442" s="57"/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5:61">
      <c r="O443" s="57"/>
      <c r="P443" s="57"/>
      <c r="AP443" s="57"/>
      <c r="BA443" s="57"/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e">
        <f>VLOOKUP(H443,Sheet2!$A$1:$B$270,2,FALSE)</f>
        <v>#N/A</v>
      </c>
    </row>
    <row r="444" spans="15:61">
      <c r="O444" s="57"/>
      <c r="P444" s="57"/>
      <c r="AP444" s="57"/>
      <c r="BA444" s="57"/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e">
        <f>VLOOKUP(H444,Sheet2!$A$1:$B$270,2,FALSE)</f>
        <v>#N/A</v>
      </c>
    </row>
    <row r="445" spans="15:61">
      <c r="O445" s="57"/>
      <c r="P445" s="57"/>
      <c r="AP445" s="57"/>
      <c r="BA445" s="57"/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e">
        <f>VLOOKUP(H445,Sheet2!$A$1:$B$270,2,FALSE)</f>
        <v>#N/A</v>
      </c>
    </row>
    <row r="446" spans="15:61">
      <c r="O446" s="57"/>
      <c r="P446" s="57"/>
      <c r="AO446" s="57"/>
      <c r="BA446" s="57"/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e">
        <f>VLOOKUP(H446,Sheet2!$A$1:$B$270,2,FALSE)</f>
        <v>#N/A</v>
      </c>
    </row>
    <row r="447" spans="15:61">
      <c r="O447" s="57"/>
      <c r="P447" s="57"/>
      <c r="AO447" s="57"/>
      <c r="BA447" s="57"/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e">
        <f>VLOOKUP(H447,Sheet2!$A$1:$B$270,2,FALSE)</f>
        <v>#N/A</v>
      </c>
    </row>
    <row r="448" spans="15:61">
      <c r="O448" s="57"/>
      <c r="P448" s="57"/>
      <c r="AO448" s="57"/>
      <c r="BA448" s="57"/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e">
        <f>VLOOKUP(H448,Sheet2!$A$1:$B$270,2,FALSE)</f>
        <v>#N/A</v>
      </c>
    </row>
    <row r="449" spans="15:61">
      <c r="O449" s="57"/>
      <c r="P449" s="57"/>
      <c r="AO449" s="57"/>
      <c r="BA449" s="57"/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e">
        <f>VLOOKUP(H449,Sheet2!$A$1:$B$270,2,FALSE)</f>
        <v>#N/A</v>
      </c>
    </row>
    <row r="450" spans="15:61">
      <c r="O450" s="57"/>
      <c r="P450" s="57"/>
      <c r="AO450" s="57"/>
      <c r="AP450" s="57"/>
      <c r="BA450" s="57"/>
      <c r="BF450" s="6" t="e">
        <f t="shared" ref="BF450:BF513" si="21">DATE(BC450,BD450,BE450)</f>
        <v>#NUM!</v>
      </c>
      <c r="BG450" t="e">
        <f t="shared" ref="BG450:BG513" si="22">BF450-BA450</f>
        <v>#NUM!</v>
      </c>
      <c r="BH450" t="e">
        <f t="shared" ref="BH450:BH513" si="23">IF(BG450=1,"COMPLY",IF(BG450&lt;1,"COMPLY","NOT COMPLY"))</f>
        <v>#NUM!</v>
      </c>
      <c r="BI450" t="e">
        <f>VLOOKUP(H450,Sheet2!$A$1:$B$270,2,FALSE)</f>
        <v>#N/A</v>
      </c>
    </row>
    <row r="451" spans="15:61">
      <c r="O451" s="57"/>
      <c r="P451" s="57"/>
      <c r="AO451" s="57"/>
      <c r="BA451" s="57"/>
      <c r="BF451" s="6" t="e">
        <f t="shared" si="21"/>
        <v>#NUM!</v>
      </c>
      <c r="BG451" t="e">
        <f t="shared" si="22"/>
        <v>#NUM!</v>
      </c>
      <c r="BH451" t="e">
        <f t="shared" si="23"/>
        <v>#NUM!</v>
      </c>
      <c r="BI451" t="e">
        <f>VLOOKUP(H451,Sheet2!$A$1:$B$270,2,FALSE)</f>
        <v>#N/A</v>
      </c>
    </row>
    <row r="452" spans="15:61">
      <c r="O452" s="57"/>
      <c r="P452" s="57"/>
      <c r="AO452" s="57"/>
      <c r="BA452" s="57"/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e">
        <f>VLOOKUP(H452,Sheet2!$A$1:$B$270,2,FALSE)</f>
        <v>#N/A</v>
      </c>
    </row>
    <row r="453" spans="15:61">
      <c r="O453" s="57"/>
      <c r="P453" s="57"/>
      <c r="AO453" s="57"/>
      <c r="BA453" s="57"/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e">
        <f>VLOOKUP(H453,Sheet2!$A$1:$B$270,2,FALSE)</f>
        <v>#N/A</v>
      </c>
    </row>
    <row r="454" spans="15:61">
      <c r="O454" s="57"/>
      <c r="P454" s="57"/>
      <c r="AO454" s="57"/>
      <c r="BA454" s="57"/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e">
        <f>VLOOKUP(H454,Sheet2!$A$1:$B$270,2,FALSE)</f>
        <v>#N/A</v>
      </c>
    </row>
    <row r="455" spans="15:61">
      <c r="O455" s="57"/>
      <c r="P455" s="57"/>
      <c r="AO455" s="57"/>
      <c r="BA455" s="57"/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e">
        <f>VLOOKUP(H455,Sheet2!$A$1:$B$270,2,FALSE)</f>
        <v>#N/A</v>
      </c>
    </row>
    <row r="456" spans="15:61">
      <c r="O456" s="57"/>
      <c r="P456" s="57"/>
      <c r="AO456" s="57"/>
      <c r="BA456" s="57"/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e">
        <f>VLOOKUP(H456,Sheet2!$A$1:$B$270,2,FALSE)</f>
        <v>#N/A</v>
      </c>
    </row>
    <row r="457" spans="15:61">
      <c r="O457" s="57"/>
      <c r="P457" s="57"/>
      <c r="AO457" s="57"/>
      <c r="BA457" s="57"/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5:61">
      <c r="O458" s="57"/>
      <c r="P458" s="57"/>
      <c r="AO458" s="57"/>
      <c r="BA458" s="57"/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e">
        <f>VLOOKUP(H458,Sheet2!$A$1:$B$270,2,FALSE)</f>
        <v>#N/A</v>
      </c>
    </row>
    <row r="459" spans="15:61">
      <c r="O459" s="57"/>
      <c r="P459" s="57"/>
      <c r="BA459" s="57"/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5:61">
      <c r="O460" s="57"/>
      <c r="P460" s="57"/>
      <c r="BA460" s="57"/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e">
        <f>VLOOKUP(H460,Sheet2!$A$1:$B$270,2,FALSE)</f>
        <v>#N/A</v>
      </c>
    </row>
    <row r="461" spans="15:61">
      <c r="O461" s="57"/>
      <c r="P461" s="57"/>
      <c r="BA461" s="57"/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e">
        <f>VLOOKUP(H461,Sheet2!$A$1:$B$270,2,FALSE)</f>
        <v>#N/A</v>
      </c>
    </row>
    <row r="462" spans="15:61">
      <c r="O462" s="57"/>
      <c r="P462" s="57"/>
      <c r="BA462" s="57"/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e">
        <f>VLOOKUP(H462,Sheet2!$A$1:$B$270,2,FALSE)</f>
        <v>#N/A</v>
      </c>
    </row>
    <row r="463" spans="15:61">
      <c r="O463" s="57"/>
      <c r="P463" s="57"/>
      <c r="BA463" s="57"/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e">
        <f>VLOOKUP(H463,Sheet2!$A$1:$B$270,2,FALSE)</f>
        <v>#N/A</v>
      </c>
    </row>
    <row r="464" spans="15:61">
      <c r="O464" s="57"/>
      <c r="P464" s="57"/>
      <c r="BA464" s="57"/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e">
        <f>VLOOKUP(H464,Sheet2!$A$1:$B$270,2,FALSE)</f>
        <v>#N/A</v>
      </c>
    </row>
    <row r="465" spans="15:61">
      <c r="O465" s="57"/>
      <c r="P465" s="57"/>
      <c r="BA465" s="57"/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e">
        <f>VLOOKUP(H465,Sheet2!$A$1:$B$270,2,FALSE)</f>
        <v>#N/A</v>
      </c>
    </row>
    <row r="466" spans="15:61">
      <c r="O466" s="57"/>
      <c r="P466" s="57"/>
      <c r="BA466" s="57"/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e">
        <f>VLOOKUP(H466,Sheet2!$A$1:$B$270,2,FALSE)</f>
        <v>#N/A</v>
      </c>
    </row>
    <row r="467" spans="15:61">
      <c r="O467" s="57"/>
      <c r="P467" s="57"/>
      <c r="BA467" s="57"/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5:61">
      <c r="O468" s="57"/>
      <c r="P468" s="57"/>
      <c r="BA468" s="57"/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e">
        <f>VLOOKUP(H468,Sheet2!$A$1:$B$270,2,FALSE)</f>
        <v>#N/A</v>
      </c>
    </row>
    <row r="469" spans="15:61">
      <c r="O469" s="57"/>
      <c r="P469" s="57"/>
      <c r="BA469" s="57"/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e">
        <f>VLOOKUP(H469,Sheet2!$A$1:$B$270,2,FALSE)</f>
        <v>#N/A</v>
      </c>
    </row>
    <row r="470" spans="15:61">
      <c r="O470" s="57"/>
      <c r="P470" s="57"/>
      <c r="BA470" s="57"/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5:61">
      <c r="O471" s="57"/>
      <c r="P471" s="57"/>
      <c r="BA471" s="57"/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5:61">
      <c r="O472" s="57"/>
      <c r="P472" s="57"/>
      <c r="BA472" s="57"/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e">
        <f>VLOOKUP(H472,Sheet2!$A$1:$B$270,2,FALSE)</f>
        <v>#N/A</v>
      </c>
    </row>
    <row r="473" spans="15:61">
      <c r="O473" s="57"/>
      <c r="P473" s="57"/>
      <c r="BA473" s="57"/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5:61">
      <c r="O474" s="57"/>
      <c r="P474" s="57"/>
      <c r="BA474" s="57"/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e">
        <f>VLOOKUP(H474,Sheet2!$A$1:$B$270,2,FALSE)</f>
        <v>#N/A</v>
      </c>
    </row>
    <row r="475" spans="15:61">
      <c r="O475" s="57"/>
      <c r="P475" s="57"/>
      <c r="BA475" s="57"/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5:61">
      <c r="O476" s="57"/>
      <c r="P476" s="57"/>
      <c r="BA476" s="57"/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5:61">
      <c r="O477" s="57"/>
      <c r="P477" s="57"/>
      <c r="BA477" s="57"/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5:61">
      <c r="O478" s="57"/>
      <c r="P478" s="57"/>
      <c r="BA478" s="57"/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5:61">
      <c r="O479" s="57"/>
      <c r="P479" s="57"/>
      <c r="BA479" s="57"/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5:61">
      <c r="O480" s="57"/>
      <c r="P480" s="57"/>
      <c r="BA480" s="57"/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e">
        <f>VLOOKUP(H480,Sheet2!$A$1:$B$270,2,FALSE)</f>
        <v>#N/A</v>
      </c>
    </row>
    <row r="481" spans="15:61">
      <c r="O481" s="57"/>
      <c r="P481" s="57"/>
      <c r="BA481" s="57"/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e">
        <f>VLOOKUP(H481,Sheet2!$A$1:$B$270,2,FALSE)</f>
        <v>#N/A</v>
      </c>
    </row>
    <row r="482" spans="15:61">
      <c r="O482" s="57"/>
      <c r="P482" s="57"/>
      <c r="BA482" s="57"/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e">
        <f>VLOOKUP(H482,Sheet2!$A$1:$B$270,2,FALSE)</f>
        <v>#N/A</v>
      </c>
    </row>
    <row r="483" spans="15:61">
      <c r="O483" s="57"/>
      <c r="P483" s="57"/>
      <c r="BA483" s="57"/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e">
        <f>VLOOKUP(H483,Sheet2!$A$1:$B$270,2,FALSE)</f>
        <v>#N/A</v>
      </c>
    </row>
    <row r="484" spans="15:61">
      <c r="O484" s="57"/>
      <c r="P484" s="57"/>
      <c r="BA484" s="57"/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e">
        <f>VLOOKUP(H484,Sheet2!$A$1:$B$270,2,FALSE)</f>
        <v>#N/A</v>
      </c>
    </row>
    <row r="485" spans="15:61">
      <c r="O485" s="57"/>
      <c r="P485" s="57"/>
      <c r="BA485" s="57"/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5:61">
      <c r="O486" s="57"/>
      <c r="P486" s="57"/>
      <c r="AP486" s="57"/>
      <c r="BA486" s="57"/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e">
        <f>VLOOKUP(H486,Sheet2!$A$1:$B$270,2,FALSE)</f>
        <v>#N/A</v>
      </c>
    </row>
    <row r="487" spans="15:61">
      <c r="O487" s="57"/>
      <c r="P487" s="57"/>
      <c r="AO487" s="57"/>
      <c r="AP487" s="57"/>
      <c r="BA487" s="57"/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e">
        <f>VLOOKUP(H487,Sheet2!$A$1:$B$270,2,FALSE)</f>
        <v>#N/A</v>
      </c>
    </row>
    <row r="488" spans="15:61">
      <c r="O488" s="57"/>
      <c r="P488" s="57"/>
      <c r="AO488" s="57"/>
      <c r="AP488" s="57"/>
      <c r="BA488" s="57"/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e">
        <f>VLOOKUP(H488,Sheet2!$A$1:$B$270,2,FALSE)</f>
        <v>#N/A</v>
      </c>
    </row>
    <row r="489" spans="15:61">
      <c r="O489" s="57"/>
      <c r="P489" s="57"/>
      <c r="AO489" s="57"/>
      <c r="AP489" s="57"/>
      <c r="BA489" s="57"/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5:61">
      <c r="O490" s="57"/>
      <c r="P490" s="57"/>
      <c r="AO490" s="57"/>
      <c r="AP490" s="57"/>
      <c r="BA490" s="57"/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e">
        <f>VLOOKUP(H490,Sheet2!$A$1:$B$270,2,FALSE)</f>
        <v>#N/A</v>
      </c>
    </row>
    <row r="491" spans="15:61">
      <c r="O491" s="57"/>
      <c r="P491" s="57"/>
      <c r="AO491" s="57"/>
      <c r="AP491" s="57"/>
      <c r="BA491" s="57"/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5:61">
      <c r="O492" s="57"/>
      <c r="P492" s="57"/>
      <c r="AP492" s="57"/>
      <c r="BA492" s="57"/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5:61">
      <c r="O493" s="57"/>
      <c r="P493" s="57"/>
      <c r="AP493" s="57"/>
      <c r="BA493" s="57"/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e">
        <f>VLOOKUP(H493,Sheet2!$A$1:$B$270,2,FALSE)</f>
        <v>#N/A</v>
      </c>
    </row>
    <row r="494" spans="15:61">
      <c r="O494" s="57"/>
      <c r="P494" s="57"/>
      <c r="AP494" s="57"/>
      <c r="BA494" s="57"/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e">
        <f>VLOOKUP(H494,Sheet2!$A$1:$B$270,2,FALSE)</f>
        <v>#N/A</v>
      </c>
    </row>
    <row r="495" spans="15:61">
      <c r="O495" s="57"/>
      <c r="P495" s="57"/>
      <c r="AP495" s="57"/>
      <c r="BA495" s="57"/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5:61">
      <c r="O496" s="57"/>
      <c r="P496" s="57"/>
      <c r="BA496" s="57"/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e">
        <f>VLOOKUP(H496,Sheet2!$A$1:$B$270,2,FALSE)</f>
        <v>#N/A</v>
      </c>
    </row>
    <row r="497" spans="15:61">
      <c r="O497" s="57"/>
      <c r="P497" s="57"/>
      <c r="AP497" s="57"/>
      <c r="BA497" s="57"/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5:61">
      <c r="O498" s="57"/>
      <c r="P498" s="57"/>
      <c r="AP498" s="57"/>
      <c r="BA498" s="57"/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5:61">
      <c r="O499" s="57"/>
      <c r="P499" s="57"/>
      <c r="AP499" s="57"/>
      <c r="BA499" s="57"/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e">
        <f>VLOOKUP(H499,Sheet2!$A$1:$B$270,2,FALSE)</f>
        <v>#N/A</v>
      </c>
    </row>
    <row r="500" spans="15:61">
      <c r="O500" s="57"/>
      <c r="P500" s="57"/>
      <c r="AP500" s="57"/>
      <c r="BA500" s="57"/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5:61">
      <c r="O501" s="57"/>
      <c r="P501" s="57"/>
      <c r="AP501" s="57"/>
      <c r="BA501" s="57"/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5:61">
      <c r="O502" s="57"/>
      <c r="P502" s="57"/>
      <c r="AP502" s="57"/>
      <c r="BA502" s="57"/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5:61">
      <c r="O503" s="57"/>
      <c r="P503" s="57"/>
      <c r="AM503" s="58"/>
      <c r="AO503" s="57"/>
      <c r="BA503" s="57"/>
      <c r="BB503" s="58"/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5:61">
      <c r="O504" s="57"/>
      <c r="P504" s="57"/>
      <c r="AO504" s="57"/>
      <c r="BA504" s="57"/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5:61">
      <c r="O505" s="57"/>
      <c r="P505" s="57"/>
      <c r="AO505" s="57"/>
      <c r="BA505" s="57"/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e">
        <f>VLOOKUP(H505,Sheet2!$A$1:$B$270,2,FALSE)</f>
        <v>#N/A</v>
      </c>
    </row>
    <row r="506" spans="15:61">
      <c r="O506" s="57"/>
      <c r="P506" s="57"/>
      <c r="AO506" s="57"/>
      <c r="BA506" s="57"/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5:61">
      <c r="O507" s="57"/>
      <c r="P507" s="57"/>
      <c r="AO507" s="57"/>
      <c r="BA507" s="57"/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e">
        <f>VLOOKUP(H507,Sheet2!$A$1:$B$270,2,FALSE)</f>
        <v>#N/A</v>
      </c>
    </row>
    <row r="508" spans="15:61">
      <c r="O508" s="57"/>
      <c r="P508" s="57"/>
      <c r="BA508" s="57"/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5:61">
      <c r="O509" s="57"/>
      <c r="P509" s="57"/>
      <c r="BA509" s="57"/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5:61">
      <c r="O510" s="57"/>
      <c r="P510" s="57"/>
      <c r="AP510" s="57"/>
      <c r="BA510" s="57"/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5:61">
      <c r="O511" s="57"/>
      <c r="P511" s="57"/>
      <c r="AP511" s="57"/>
      <c r="BA511" s="57"/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5:61">
      <c r="O512" s="57"/>
      <c r="P512" s="57"/>
      <c r="AP512" s="57"/>
      <c r="BA512" s="57"/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e">
        <f>VLOOKUP(H512,Sheet2!$A$1:$B$270,2,FALSE)</f>
        <v>#N/A</v>
      </c>
    </row>
    <row r="513" spans="15:61">
      <c r="O513" s="57"/>
      <c r="P513" s="57"/>
      <c r="AP513" s="57"/>
      <c r="BA513" s="57"/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5:61">
      <c r="O514" s="57"/>
      <c r="P514" s="57"/>
      <c r="AP514" s="57"/>
      <c r="BA514" s="57"/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e">
        <f>VLOOKUP(H514,Sheet2!$A$1:$B$270,2,FALSE)</f>
        <v>#N/A</v>
      </c>
    </row>
    <row r="515" spans="15:61">
      <c r="O515" s="57"/>
      <c r="P515" s="57"/>
      <c r="AP515" s="57"/>
      <c r="BA515" s="57"/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e">
        <f>VLOOKUP(H515,Sheet2!$A$1:$B$270,2,FALSE)</f>
        <v>#N/A</v>
      </c>
    </row>
    <row r="516" spans="15:61">
      <c r="O516" s="57"/>
      <c r="P516" s="57"/>
      <c r="AP516" s="57"/>
      <c r="BA516" s="57"/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5:61">
      <c r="O517" s="57"/>
      <c r="P517" s="57"/>
      <c r="AP517" s="57"/>
      <c r="BA517" s="57"/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5:61">
      <c r="O518" s="57"/>
      <c r="P518" s="57"/>
      <c r="AP518" s="57"/>
      <c r="BA518" s="57"/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e">
        <f>VLOOKUP(H518,Sheet2!$A$1:$B$270,2,FALSE)</f>
        <v>#N/A</v>
      </c>
    </row>
    <row r="519" spans="15:61">
      <c r="O519" s="57"/>
      <c r="P519" s="57"/>
      <c r="AP519" s="57"/>
      <c r="BA519" s="57"/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e">
        <f>VLOOKUP(H519,Sheet2!$A$1:$B$270,2,FALSE)</f>
        <v>#N/A</v>
      </c>
    </row>
    <row r="520" spans="15:61">
      <c r="O520" s="57"/>
      <c r="P520" s="57"/>
      <c r="AP520" s="57"/>
      <c r="BA520" s="57"/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e">
        <f>VLOOKUP(H520,Sheet2!$A$1:$B$270,2,FALSE)</f>
        <v>#N/A</v>
      </c>
    </row>
    <row r="521" spans="15:61">
      <c r="O521" s="57"/>
      <c r="P521" s="57"/>
      <c r="AP521" s="57"/>
      <c r="BA521" s="57"/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e">
        <f>VLOOKUP(H521,Sheet2!$A$1:$B$270,2,FALSE)</f>
        <v>#N/A</v>
      </c>
    </row>
    <row r="522" spans="15:61">
      <c r="O522" s="57"/>
      <c r="P522" s="57"/>
      <c r="BA522" s="57"/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e">
        <f>VLOOKUP(H522,Sheet2!$A$1:$B$270,2,FALSE)</f>
        <v>#N/A</v>
      </c>
    </row>
    <row r="523" spans="15:61">
      <c r="O523" s="57"/>
      <c r="P523" s="57"/>
      <c r="AP523" s="57"/>
      <c r="BA523" s="57"/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e">
        <f>VLOOKUP(H523,Sheet2!$A$1:$B$270,2,FALSE)</f>
        <v>#N/A</v>
      </c>
    </row>
    <row r="524" spans="15:61">
      <c r="O524" s="57"/>
      <c r="P524" s="57"/>
      <c r="BA524" s="57"/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5:61">
      <c r="O525" s="57"/>
      <c r="P525" s="57"/>
      <c r="AP525" s="57"/>
      <c r="BA525" s="57"/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5:61">
      <c r="O526" s="57"/>
      <c r="P526" s="57"/>
      <c r="AP526" s="57"/>
      <c r="BA526" s="57"/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e">
        <f>VLOOKUP(H526,Sheet2!$A$1:$B$270,2,FALSE)</f>
        <v>#N/A</v>
      </c>
    </row>
    <row r="527" spans="15:61">
      <c r="O527" s="57"/>
      <c r="P527" s="57"/>
      <c r="BA527" s="57"/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e">
        <f>VLOOKUP(H527,Sheet2!$A$1:$B$270,2,FALSE)</f>
        <v>#N/A</v>
      </c>
    </row>
    <row r="528" spans="15:61">
      <c r="O528" s="57"/>
      <c r="P528" s="57"/>
      <c r="AP528" s="57"/>
      <c r="BA528" s="57"/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e">
        <f>VLOOKUP(H528,Sheet2!$A$1:$B$270,2,FALSE)</f>
        <v>#N/A</v>
      </c>
    </row>
    <row r="529" spans="15:61">
      <c r="O529" s="57"/>
      <c r="P529" s="57"/>
      <c r="BA529" s="57"/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e">
        <f>VLOOKUP(H529,Sheet2!$A$1:$B$270,2,FALSE)</f>
        <v>#N/A</v>
      </c>
    </row>
    <row r="530" spans="15:61">
      <c r="O530" s="57"/>
      <c r="P530" s="57"/>
      <c r="AP530" s="57"/>
      <c r="BA530" s="57"/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5:61">
      <c r="O531" s="57"/>
      <c r="P531" s="57"/>
      <c r="BA531" s="57"/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5:61">
      <c r="O532" s="57"/>
      <c r="P532" s="57"/>
      <c r="AO532" s="57"/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5:61">
      <c r="O533" s="57"/>
      <c r="P533" s="57"/>
      <c r="AP533" s="57"/>
      <c r="BA533" s="57"/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e">
        <f>VLOOKUP(H533,Sheet2!$A$1:$B$270,2,FALSE)</f>
        <v>#N/A</v>
      </c>
    </row>
    <row r="534" spans="15:61">
      <c r="O534" s="57"/>
      <c r="P534" s="57"/>
      <c r="AO534" s="57"/>
      <c r="AP534" s="57"/>
      <c r="BA534" s="57"/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e">
        <f>VLOOKUP(H534,Sheet2!$A$1:$B$270,2,FALSE)</f>
        <v>#N/A</v>
      </c>
    </row>
    <row r="535" spans="15:61">
      <c r="O535" s="57"/>
      <c r="P535" s="57"/>
      <c r="AO535" s="57"/>
      <c r="AP535" s="57"/>
      <c r="BA535" s="57"/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e">
        <f>VLOOKUP(H535,Sheet2!$A$1:$B$270,2,FALSE)</f>
        <v>#N/A</v>
      </c>
    </row>
    <row r="536" spans="15:61">
      <c r="O536" s="57"/>
      <c r="P536" s="57"/>
      <c r="AO536" s="57"/>
      <c r="AP536" s="57"/>
      <c r="BA536" s="57"/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e">
        <f>VLOOKUP(H536,Sheet2!$A$1:$B$270,2,FALSE)</f>
        <v>#N/A</v>
      </c>
    </row>
    <row r="537" spans="15:61">
      <c r="O537" s="57"/>
      <c r="P537" s="57"/>
      <c r="AO537" s="57"/>
      <c r="AP537" s="57"/>
      <c r="BA537" s="57"/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e">
        <f>VLOOKUP(H537,Sheet2!$A$1:$B$270,2,FALSE)</f>
        <v>#N/A</v>
      </c>
    </row>
    <row r="538" spans="15:61">
      <c r="O538" s="57"/>
      <c r="P538" s="57"/>
      <c r="AO538" s="57"/>
      <c r="AP538" s="57"/>
      <c r="BA538" s="57"/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5:61">
      <c r="O539" s="57"/>
      <c r="P539" s="57"/>
      <c r="AP539" s="57"/>
      <c r="BA539" s="57"/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e">
        <f>VLOOKUP(H539,Sheet2!$A$1:$B$270,2,FALSE)</f>
        <v>#N/A</v>
      </c>
    </row>
    <row r="540" spans="15:61">
      <c r="O540" s="57"/>
      <c r="P540" s="57"/>
      <c r="AP540" s="57"/>
      <c r="BA540" s="57"/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5:61">
      <c r="O541" s="57"/>
      <c r="P541" s="57"/>
      <c r="AP541" s="57"/>
      <c r="BA541" s="57"/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5:61">
      <c r="O542" s="57"/>
      <c r="P542" s="57"/>
      <c r="AP542" s="57"/>
      <c r="BA542" s="57"/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5:61">
      <c r="O543" s="57"/>
      <c r="P543" s="57"/>
      <c r="BA543" s="57"/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5:61">
      <c r="O544" s="57"/>
      <c r="P544" s="57"/>
      <c r="BA544" s="57"/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5:61">
      <c r="O545" s="57"/>
      <c r="P545" s="57"/>
      <c r="AP545" s="57"/>
      <c r="BA545" s="57"/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e">
        <f>VLOOKUP(H545,Sheet2!$A$1:$B$270,2,FALSE)</f>
        <v>#N/A</v>
      </c>
    </row>
    <row r="546" spans="15:61">
      <c r="O546" s="57"/>
      <c r="P546" s="57"/>
      <c r="AO546" s="57"/>
      <c r="BA546" s="57"/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5:61">
      <c r="O547" s="57"/>
      <c r="P547" s="57"/>
      <c r="AO547" s="57"/>
      <c r="BA547" s="57"/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5:61">
      <c r="O548" s="57"/>
      <c r="P548" s="57"/>
      <c r="AO548" s="57"/>
      <c r="BA548" s="57"/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e">
        <f>VLOOKUP(H548,Sheet2!$A$1:$B$270,2,FALSE)</f>
        <v>#N/A</v>
      </c>
    </row>
    <row r="549" spans="15:61">
      <c r="O549" s="57"/>
      <c r="P549" s="57"/>
      <c r="AO549" s="57"/>
      <c r="BA549" s="57"/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5:61">
      <c r="O550" s="57"/>
      <c r="P550" s="57"/>
      <c r="AO550" s="57"/>
      <c r="BA550" s="57"/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e">
        <f>VLOOKUP(H550,Sheet2!$A$1:$B$270,2,FALSE)</f>
        <v>#N/A</v>
      </c>
    </row>
    <row r="551" spans="15:61">
      <c r="O551" s="57"/>
      <c r="P551" s="57"/>
      <c r="BA551" s="57"/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5:61">
      <c r="O552" s="57"/>
      <c r="P552" s="57"/>
      <c r="AP552" s="57"/>
      <c r="BA552" s="57"/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5:61">
      <c r="O553" s="57"/>
      <c r="P553" s="57"/>
      <c r="BA553" s="57"/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e">
        <f>VLOOKUP(H553,Sheet2!$A$1:$B$270,2,FALSE)</f>
        <v>#N/A</v>
      </c>
    </row>
    <row r="554" spans="15:61">
      <c r="O554" s="57"/>
      <c r="P554" s="57"/>
      <c r="BA554" s="57"/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e">
        <f>VLOOKUP(H554,Sheet2!$A$1:$B$270,2,FALSE)</f>
        <v>#N/A</v>
      </c>
    </row>
    <row r="555" spans="15:61">
      <c r="O555" s="57"/>
      <c r="P555" s="57"/>
      <c r="AP555" s="57"/>
      <c r="BA555" s="57"/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5:61">
      <c r="O556" s="57"/>
      <c r="P556" s="57"/>
      <c r="BA556" s="57"/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5:61">
      <c r="O557" s="57"/>
      <c r="P557" s="57"/>
      <c r="BA557" s="57"/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e">
        <f>VLOOKUP(H557,Sheet2!$A$1:$B$270,2,FALSE)</f>
        <v>#N/A</v>
      </c>
    </row>
    <row r="558" spans="15:61">
      <c r="O558" s="57"/>
      <c r="P558" s="57"/>
      <c r="BA558" s="57"/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e">
        <f>VLOOKUP(H558,Sheet2!$A$1:$B$270,2,FALSE)</f>
        <v>#N/A</v>
      </c>
    </row>
    <row r="559" spans="15:61">
      <c r="O559" s="57"/>
      <c r="P559" s="57"/>
      <c r="BA559" s="57"/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5:61">
      <c r="O560" s="57"/>
      <c r="P560" s="57"/>
      <c r="AP560" s="57"/>
      <c r="BA560" s="57"/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5:61">
      <c r="O561" s="57"/>
      <c r="P561" s="57"/>
      <c r="BA561" s="57"/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5:61">
      <c r="O562" s="57"/>
      <c r="P562" s="57"/>
      <c r="AP562" s="57"/>
      <c r="BA562" s="57"/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5:61">
      <c r="O563" s="57"/>
      <c r="P563" s="57"/>
      <c r="AP563" s="57"/>
      <c r="BA563" s="57"/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5:61">
      <c r="O564" s="57"/>
      <c r="P564" s="57"/>
      <c r="AP564" s="57"/>
      <c r="BA564" s="57"/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e">
        <f>VLOOKUP(H564,Sheet2!$A$1:$B$270,2,FALSE)</f>
        <v>#N/A</v>
      </c>
    </row>
    <row r="565" spans="15:61">
      <c r="O565" s="57"/>
      <c r="P565" s="57"/>
      <c r="AP565" s="57"/>
      <c r="BA565" s="57"/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e">
        <f>VLOOKUP(H565,Sheet2!$A$1:$B$270,2,FALSE)</f>
        <v>#N/A</v>
      </c>
    </row>
    <row r="566" spans="15:61">
      <c r="O566" s="57"/>
      <c r="P566" s="57"/>
      <c r="AP566" s="57"/>
      <c r="BA566" s="57"/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5:61">
      <c r="O567" s="57"/>
      <c r="P567" s="57"/>
      <c r="BA567" s="57"/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5:61">
      <c r="O568" s="57"/>
      <c r="P568" s="57"/>
      <c r="AP568" s="57"/>
      <c r="BA568" s="57"/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e">
        <f>VLOOKUP(H568,Sheet2!$A$1:$B$270,2,FALSE)</f>
        <v>#N/A</v>
      </c>
    </row>
    <row r="569" spans="15:61">
      <c r="O569" s="57"/>
      <c r="P569" s="57"/>
      <c r="AP569" s="57"/>
      <c r="BA569" s="57"/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e">
        <f>VLOOKUP(H569,Sheet2!$A$1:$B$270,2,FALSE)</f>
        <v>#N/A</v>
      </c>
    </row>
    <row r="570" spans="15:61">
      <c r="O570" s="57"/>
      <c r="P570" s="57"/>
      <c r="AP570" s="57"/>
      <c r="BA570" s="57"/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e">
        <f>VLOOKUP(H570,Sheet2!$A$1:$B$270,2,FALSE)</f>
        <v>#N/A</v>
      </c>
    </row>
    <row r="571" spans="15:61">
      <c r="O571" s="57"/>
      <c r="P571" s="57"/>
      <c r="AO571" s="57"/>
      <c r="AP571" s="57"/>
      <c r="BA571" s="57"/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e">
        <f>VLOOKUP(H571,Sheet2!$A$1:$B$270,2,FALSE)</f>
        <v>#N/A</v>
      </c>
    </row>
    <row r="572" spans="15:61">
      <c r="O572" s="57"/>
      <c r="P572" s="57"/>
      <c r="BA572" s="57"/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5:61">
      <c r="O573" s="57"/>
      <c r="P573" s="57"/>
      <c r="AO573" s="57"/>
      <c r="AP573" s="57"/>
      <c r="BA573" s="57"/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e">
        <f>VLOOKUP(H573,Sheet2!$A$1:$B$270,2,FALSE)</f>
        <v>#N/A</v>
      </c>
    </row>
    <row r="574" spans="15:61">
      <c r="O574" s="57"/>
      <c r="P574" s="57"/>
      <c r="AO574" s="57"/>
      <c r="AP574" s="57"/>
      <c r="BA574" s="57"/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5:61">
      <c r="O575" s="57"/>
      <c r="P575" s="57"/>
      <c r="AO575" s="57"/>
      <c r="AP575" s="57"/>
      <c r="BA575" s="57"/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5:61">
      <c r="O576" s="57"/>
      <c r="P576" s="57"/>
      <c r="AO576" s="57"/>
      <c r="AP576" s="57"/>
      <c r="BA576" s="57"/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5:61">
      <c r="O577" s="57"/>
      <c r="P577" s="57"/>
      <c r="AO577" s="57"/>
      <c r="AP577" s="57"/>
      <c r="BA577" s="57"/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5:61">
      <c r="O578" s="57"/>
      <c r="P578" s="57"/>
      <c r="AP578" s="57"/>
      <c r="BA578" s="57"/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5:61">
      <c r="O579" s="57"/>
      <c r="P579" s="57"/>
      <c r="AP579" s="57"/>
      <c r="BA579" s="57"/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5:61">
      <c r="O580" s="57"/>
      <c r="P580" s="57"/>
      <c r="AP580" s="57"/>
      <c r="BA580" s="57"/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5:61">
      <c r="O581" s="57"/>
      <c r="P581" s="57"/>
      <c r="AP581" s="57"/>
      <c r="BA581" s="57"/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5:61">
      <c r="O582" s="57"/>
      <c r="P582" s="57"/>
      <c r="AP582" s="57"/>
      <c r="BA582" s="57"/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e">
        <f>VLOOKUP(H582,Sheet2!$A$1:$B$270,2,FALSE)</f>
        <v>#N/A</v>
      </c>
    </row>
    <row r="583" spans="15:61">
      <c r="O583" s="57"/>
      <c r="P583" s="57"/>
      <c r="AO583" s="57"/>
      <c r="AP583" s="57"/>
      <c r="BA583" s="57"/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5:61">
      <c r="O584" s="57"/>
      <c r="P584" s="57"/>
      <c r="AO584" s="57"/>
      <c r="AP584" s="57"/>
      <c r="BA584" s="57"/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5:61">
      <c r="O585" s="57"/>
      <c r="P585" s="57"/>
      <c r="AP585" s="57"/>
      <c r="BA585" s="57"/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5:61">
      <c r="O586" s="57"/>
      <c r="P586" s="57"/>
      <c r="AP586" s="57"/>
      <c r="BA586" s="57"/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5:61">
      <c r="O587" s="57"/>
      <c r="P587" s="57"/>
      <c r="AO587" s="57"/>
      <c r="AP587" s="57"/>
      <c r="BA587" s="57"/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5:61">
      <c r="O588" s="57"/>
      <c r="P588" s="57"/>
      <c r="AO588" s="57"/>
      <c r="AP588" s="57"/>
      <c r="BA588" s="57"/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5:61">
      <c r="O589" s="57"/>
      <c r="P589" s="57"/>
      <c r="AP589" s="57"/>
      <c r="BA589" s="57"/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5:61">
      <c r="O590" s="57"/>
      <c r="P590" s="57"/>
      <c r="AP590" s="57"/>
      <c r="BA590" s="57"/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5:61">
      <c r="O591" s="57"/>
      <c r="P591" s="57"/>
      <c r="AP591" s="57"/>
      <c r="BA591" s="57"/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e">
        <f>VLOOKUP(H591,Sheet2!$A$1:$B$270,2,FALSE)</f>
        <v>#N/A</v>
      </c>
    </row>
    <row r="592" spans="15:61">
      <c r="O592" s="57"/>
      <c r="P592" s="57"/>
      <c r="AO592" s="57"/>
      <c r="AP592" s="57"/>
      <c r="BA592" s="57"/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5:61">
      <c r="O593" s="57"/>
      <c r="P593" s="57"/>
      <c r="AP593" s="57"/>
      <c r="BA593" s="57"/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5:61">
      <c r="O594" s="57"/>
      <c r="P594" s="57"/>
      <c r="BA594" s="57"/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5:61">
      <c r="O595" s="57"/>
      <c r="P595" s="57"/>
      <c r="AP595" s="57"/>
      <c r="BA595" s="57"/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5:61">
      <c r="O596" s="57"/>
      <c r="P596" s="57"/>
      <c r="AP596" s="57"/>
      <c r="BA596" s="57"/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5:61">
      <c r="O597" s="57"/>
      <c r="P597" s="57"/>
      <c r="AO597" s="57"/>
      <c r="AP597" s="57"/>
      <c r="BA597" s="57"/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e">
        <f>VLOOKUP(H597,Sheet2!$A$1:$B$270,2,FALSE)</f>
        <v>#N/A</v>
      </c>
    </row>
    <row r="598" spans="15:61">
      <c r="O598" s="57"/>
      <c r="P598" s="57"/>
      <c r="AO598" s="57"/>
      <c r="AP598" s="57"/>
      <c r="BA598" s="57"/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e">
        <f>VLOOKUP(H598,Sheet2!$A$1:$B$270,2,FALSE)</f>
        <v>#N/A</v>
      </c>
    </row>
    <row r="599" spans="15:61">
      <c r="O599" s="57"/>
      <c r="P599" s="57"/>
      <c r="AO599" s="57"/>
      <c r="BA599" s="57"/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e">
        <f>VLOOKUP(H599,Sheet2!$A$1:$B$270,2,FALSE)</f>
        <v>#N/A</v>
      </c>
    </row>
    <row r="600" spans="15:61">
      <c r="O600" s="57"/>
      <c r="P600" s="57"/>
      <c r="AO600" s="57"/>
      <c r="BA600" s="57"/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5:61">
      <c r="O601" s="57"/>
      <c r="P601" s="57"/>
      <c r="AP601" s="57"/>
      <c r="BA601" s="57"/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5:61">
      <c r="O602" s="57"/>
      <c r="P602" s="57"/>
      <c r="AP602" s="57"/>
      <c r="BA602" s="57"/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5:61">
      <c r="O603" s="57"/>
      <c r="P603" s="57"/>
      <c r="AP603" s="57"/>
      <c r="BA603" s="57"/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5:61">
      <c r="O604" s="57"/>
      <c r="P604" s="57"/>
      <c r="AP604" s="57"/>
      <c r="BA604" s="57"/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5:61">
      <c r="O605" s="57"/>
      <c r="P605" s="57"/>
      <c r="BA605" s="57"/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5:61">
      <c r="O606" s="57"/>
      <c r="P606" s="57"/>
      <c r="AP606" s="57"/>
      <c r="BA606" s="57"/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5:61">
      <c r="O607" s="57"/>
      <c r="P607" s="57"/>
      <c r="AP607" s="57"/>
      <c r="BA607" s="57"/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5:61">
      <c r="O608" s="57"/>
      <c r="P608" s="57"/>
      <c r="AP608" s="57"/>
      <c r="BA608" s="57"/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5:61">
      <c r="O609" s="57"/>
      <c r="P609" s="57"/>
      <c r="BA609" s="57"/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5:61">
      <c r="O610" s="57"/>
      <c r="P610" s="57"/>
      <c r="AP610" s="57"/>
      <c r="BA610" s="57"/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5:61">
      <c r="O611" s="57"/>
      <c r="P611" s="57"/>
      <c r="AO611" s="57"/>
      <c r="AP611" s="57"/>
      <c r="BA611" s="57"/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5:61">
      <c r="O612" s="57"/>
      <c r="P612" s="57"/>
      <c r="AO612" s="57"/>
      <c r="AP612" s="57"/>
      <c r="BA612" s="57"/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5:61">
      <c r="O613" s="57"/>
      <c r="P613" s="57"/>
      <c r="AO613" s="57"/>
      <c r="AP613" s="57"/>
      <c r="BA613" s="57"/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5:61">
      <c r="O614" s="57"/>
      <c r="P614" s="57"/>
      <c r="AO614" s="57"/>
      <c r="AP614" s="57"/>
      <c r="BA614" s="57"/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e">
        <f>VLOOKUP(H614,Sheet2!$A$1:$B$270,2,FALSE)</f>
        <v>#N/A</v>
      </c>
    </row>
    <row r="615" spans="15:61">
      <c r="O615" s="57"/>
      <c r="P615" s="57"/>
      <c r="AO615" s="57"/>
      <c r="AP615" s="57"/>
      <c r="BA615" s="57"/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5:61">
      <c r="O616" s="57"/>
      <c r="P616" s="57"/>
      <c r="AO616" s="57"/>
      <c r="AP616" s="57"/>
      <c r="BA616" s="57"/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5:61">
      <c r="O617" s="57"/>
      <c r="P617" s="57"/>
      <c r="AO617" s="57"/>
      <c r="AP617" s="57"/>
      <c r="BA617" s="57"/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5:61">
      <c r="O618" s="57"/>
      <c r="P618" s="57"/>
      <c r="AP618" s="57"/>
      <c r="BA618" s="57"/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5:61">
      <c r="O619" s="57"/>
      <c r="P619" s="57"/>
      <c r="AP619" s="57"/>
      <c r="BA619" s="57"/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5:61">
      <c r="O620" s="57"/>
      <c r="P620" s="57"/>
      <c r="AO620" s="57"/>
      <c r="AP620" s="57"/>
      <c r="BA620" s="57"/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5:61">
      <c r="O621" s="57"/>
      <c r="P621" s="57"/>
      <c r="AP621" s="57"/>
      <c r="BA621" s="57"/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5:61">
      <c r="O622" s="57"/>
      <c r="P622" s="57"/>
      <c r="AP622" s="57"/>
      <c r="BA622" s="57"/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5:61">
      <c r="O623" s="57"/>
      <c r="P623" s="57"/>
      <c r="AO623" s="57"/>
      <c r="AP623" s="57"/>
      <c r="BA623" s="57"/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5:61">
      <c r="O624" s="57"/>
      <c r="P624" s="57"/>
      <c r="AO624" s="57"/>
      <c r="AP624" s="57"/>
      <c r="BA624" s="57"/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5:61">
      <c r="O625" s="57"/>
      <c r="P625" s="57"/>
      <c r="AO625" s="57"/>
      <c r="AP625" s="57"/>
      <c r="BA625" s="57"/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5:61">
      <c r="O626" s="57"/>
      <c r="P626" s="57"/>
      <c r="AO626" s="57"/>
      <c r="AP626" s="57"/>
      <c r="BA626" s="57"/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5:61">
      <c r="O627" s="57"/>
      <c r="P627" s="57"/>
      <c r="AO627" s="57"/>
      <c r="AP627" s="57"/>
      <c r="BA627" s="57"/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5:61">
      <c r="O628" s="57"/>
      <c r="P628" s="57"/>
      <c r="AO628" s="57"/>
      <c r="AP628" s="57"/>
      <c r="BA628" s="57"/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5:61">
      <c r="O629" s="57"/>
      <c r="P629" s="57"/>
      <c r="AO629" s="57"/>
      <c r="AP629" s="57"/>
      <c r="BA629" s="57"/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5:61">
      <c r="O630" s="57"/>
      <c r="P630" s="57"/>
      <c r="AO630" s="57"/>
      <c r="AP630" s="57"/>
      <c r="BA630" s="57"/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5:61">
      <c r="O631" s="57"/>
      <c r="P631" s="57"/>
      <c r="AP631" s="57"/>
      <c r="BA631" s="57"/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5:61">
      <c r="O632" s="57"/>
      <c r="P632" s="57"/>
      <c r="AP632" s="57"/>
      <c r="BA632" s="57"/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5:61">
      <c r="O633" s="57"/>
      <c r="P633" s="57"/>
      <c r="BA633" s="57"/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5:61">
      <c r="O634" s="57"/>
      <c r="P634" s="57"/>
      <c r="AP634" s="57"/>
      <c r="BA634" s="57"/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5:61">
      <c r="O635" s="57"/>
      <c r="P635" s="57"/>
      <c r="AP635" s="57"/>
      <c r="BA635" s="57"/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5:61">
      <c r="O636" s="57"/>
      <c r="P636" s="57"/>
      <c r="BA636" s="57"/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5:61">
      <c r="O637" s="57"/>
      <c r="P637" s="57"/>
      <c r="AP637" s="57"/>
      <c r="BA637" s="57"/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e">
        <f>VLOOKUP(H637,Sheet2!$A$1:$B$270,2,FALSE)</f>
        <v>#N/A</v>
      </c>
    </row>
    <row r="638" spans="15:61">
      <c r="O638" s="57"/>
      <c r="P638" s="57"/>
      <c r="AO638" s="57"/>
      <c r="AP638" s="57"/>
      <c r="BA638" s="57"/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5:61">
      <c r="O639" s="57"/>
      <c r="P639" s="57"/>
      <c r="AP639" s="57"/>
      <c r="BA639" s="57"/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5:61">
      <c r="O640" s="57"/>
      <c r="P640" s="57"/>
      <c r="BA640" s="57"/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5:61">
      <c r="O641" s="57"/>
      <c r="P641" s="57"/>
      <c r="AO641" s="57"/>
      <c r="AP641" s="57"/>
      <c r="BA641" s="57"/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e">
        <f>VLOOKUP(H641,Sheet2!$A$1:$B$270,2,FALSE)</f>
        <v>#N/A</v>
      </c>
    </row>
    <row r="642" spans="15:61">
      <c r="O642" s="57"/>
      <c r="P642" s="57"/>
      <c r="AO642" s="57"/>
      <c r="AP642" s="57"/>
      <c r="BA642" s="57"/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e">
        <f>VLOOKUP(H642,Sheet2!$A$1:$B$270,2,FALSE)</f>
        <v>#N/A</v>
      </c>
    </row>
    <row r="643" spans="15:61">
      <c r="O643" s="57"/>
      <c r="P643" s="57"/>
      <c r="AO643" s="57"/>
      <c r="AP643" s="57"/>
      <c r="BA643" s="57"/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e">
        <f>VLOOKUP(H643,Sheet2!$A$1:$B$270,2,FALSE)</f>
        <v>#N/A</v>
      </c>
    </row>
    <row r="644" spans="15:61">
      <c r="O644" s="57"/>
      <c r="P644" s="57"/>
      <c r="AO644" s="57"/>
      <c r="BA644" s="57"/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5:61">
      <c r="O645" s="57"/>
      <c r="P645" s="57"/>
      <c r="AO645" s="57"/>
      <c r="BA645" s="57"/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5:61">
      <c r="O646" s="57"/>
      <c r="P646" s="57"/>
      <c r="AO646" s="57"/>
      <c r="AP646" s="57"/>
      <c r="BA646" s="57"/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e">
        <f>VLOOKUP(H646,Sheet2!$A$1:$B$270,2,FALSE)</f>
        <v>#N/A</v>
      </c>
    </row>
    <row r="647" spans="15:61">
      <c r="O647" s="57"/>
      <c r="P647" s="57"/>
      <c r="AP647" s="57"/>
      <c r="BA647" s="57"/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5:61">
      <c r="O648" s="57"/>
      <c r="P648" s="57"/>
      <c r="AP648" s="57"/>
      <c r="BA648" s="57"/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5:61">
      <c r="O649" s="57"/>
      <c r="P649" s="57"/>
      <c r="AP649" s="57"/>
      <c r="BA649" s="57"/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5:61">
      <c r="O650" s="57"/>
      <c r="P650" s="57"/>
      <c r="BA650" s="57"/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5:61">
      <c r="O651" s="57"/>
      <c r="P651" s="57"/>
      <c r="AP651" s="57"/>
      <c r="BA651" s="57"/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5:61">
      <c r="O652" s="57"/>
      <c r="P652" s="57"/>
      <c r="AP652" s="57"/>
      <c r="BA652" s="57"/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5:61">
      <c r="O653" s="57"/>
      <c r="P653" s="57"/>
      <c r="AP653" s="57"/>
      <c r="BA653" s="57"/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5:61">
      <c r="O654" s="57"/>
      <c r="P654" s="57"/>
      <c r="AP654" s="57"/>
      <c r="BA654" s="57"/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5:61">
      <c r="O655" s="57"/>
      <c r="P655" s="57"/>
      <c r="AP655" s="57"/>
      <c r="BA655" s="57"/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5:61">
      <c r="O656" s="57"/>
      <c r="P656" s="57"/>
      <c r="AP656" s="57"/>
      <c r="BA656" s="57"/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e">
        <f>VLOOKUP(H656,Sheet2!$A$1:$B$270,2,FALSE)</f>
        <v>#N/A</v>
      </c>
    </row>
    <row r="657" spans="15:61">
      <c r="O657" s="57"/>
      <c r="P657" s="57"/>
      <c r="AP657" s="57"/>
      <c r="BA657" s="57"/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5:61">
      <c r="O658" s="57"/>
      <c r="P658" s="57"/>
      <c r="BA658" s="57"/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5:61">
      <c r="O659" s="57"/>
      <c r="P659" s="57"/>
      <c r="AP659" s="57"/>
      <c r="BA659" s="57"/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5:61">
      <c r="O660" s="57"/>
      <c r="P660" s="57"/>
      <c r="AP660" s="57"/>
      <c r="BA660" s="57"/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e">
        <f>VLOOKUP(H660,Sheet2!$A$1:$B$270,2,FALSE)</f>
        <v>#N/A</v>
      </c>
    </row>
    <row r="661" spans="15:61">
      <c r="O661" s="57"/>
      <c r="P661" s="57"/>
      <c r="AP661" s="57"/>
      <c r="BA661" s="57"/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5:61">
      <c r="O662" s="57"/>
      <c r="P662" s="57"/>
      <c r="AP662" s="57"/>
      <c r="BA662" s="57"/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5:61">
      <c r="O663" s="57"/>
      <c r="P663" s="57"/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5:61">
      <c r="O664" s="57"/>
      <c r="P664" s="57"/>
      <c r="AO664" s="57"/>
      <c r="AP664" s="57"/>
      <c r="BA664" s="57"/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5:61">
      <c r="O665" s="57"/>
      <c r="P665" s="57"/>
      <c r="AP665" s="57"/>
      <c r="BA665" s="57"/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5:61">
      <c r="O666" s="57"/>
      <c r="P666" s="57"/>
      <c r="AP666" s="57"/>
      <c r="BA666" s="57"/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5:61">
      <c r="O667" s="57"/>
      <c r="P667" s="57"/>
      <c r="AO667" s="57"/>
      <c r="AP667" s="57"/>
      <c r="BA667" s="57"/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5:61">
      <c r="O668" s="57"/>
      <c r="P668" s="57"/>
      <c r="AO668" s="57"/>
      <c r="AP668" s="57"/>
      <c r="BA668" s="57"/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5:61">
      <c r="O669" s="57"/>
      <c r="P669" s="57"/>
      <c r="AP669" s="57"/>
      <c r="BA669" s="57"/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5:61">
      <c r="O670" s="57"/>
      <c r="P670" s="57"/>
      <c r="BA670" s="57"/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5:61">
      <c r="O671" s="57"/>
      <c r="P671" s="57"/>
      <c r="AO671" s="57"/>
      <c r="AP671" s="57"/>
      <c r="BA671" s="57"/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5:61">
      <c r="O672" s="57"/>
      <c r="P672" s="57"/>
      <c r="AO672" s="57"/>
      <c r="BA672" s="57"/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5:61">
      <c r="O673" s="57"/>
      <c r="P673" s="57"/>
      <c r="AO673" s="57"/>
      <c r="BA673" s="57"/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5:61">
      <c r="O674" s="57"/>
      <c r="P674" s="57"/>
      <c r="AP674" s="57"/>
      <c r="BA674" s="57"/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e">
        <f>VLOOKUP(H674,Sheet2!$A$1:$B$270,2,FALSE)</f>
        <v>#N/A</v>
      </c>
    </row>
    <row r="675" spans="15:61">
      <c r="O675" s="57"/>
      <c r="P675" s="57"/>
      <c r="AP675" s="57"/>
      <c r="BA675" s="57"/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e">
        <f>VLOOKUP(H675,Sheet2!$A$1:$B$270,2,FALSE)</f>
        <v>#N/A</v>
      </c>
    </row>
    <row r="676" spans="15:61">
      <c r="O676" s="57"/>
      <c r="P676" s="57"/>
      <c r="AP676" s="57"/>
      <c r="BA676" s="57"/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e">
        <f>VLOOKUP(H676,Sheet2!$A$1:$B$270,2,FALSE)</f>
        <v>#N/A</v>
      </c>
    </row>
    <row r="677" spans="15:61">
      <c r="O677" s="57"/>
      <c r="P677" s="57"/>
      <c r="AP677" s="57"/>
      <c r="BA677" s="57"/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5:61">
      <c r="O678" s="57"/>
      <c r="P678" s="57"/>
      <c r="AP678" s="57"/>
      <c r="BA678" s="57"/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5:61">
      <c r="O679" s="57"/>
      <c r="P679" s="57"/>
      <c r="BA679" s="57"/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e">
        <f>VLOOKUP(H679,Sheet2!$A$1:$B$270,2,FALSE)</f>
        <v>#N/A</v>
      </c>
    </row>
    <row r="680" spans="15:61">
      <c r="O680" s="57"/>
      <c r="P680" s="57"/>
      <c r="AO680" s="57"/>
      <c r="AP680" s="57"/>
      <c r="BA680" s="57"/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5:61">
      <c r="O681" s="57"/>
      <c r="P681" s="57"/>
      <c r="AP681" s="57"/>
      <c r="BA681" s="57"/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5:61">
      <c r="O682" s="57"/>
      <c r="P682" s="57"/>
      <c r="AP682" s="57"/>
      <c r="BA682" s="57"/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e">
        <f>VLOOKUP(H682,Sheet2!$A$1:$B$270,2,FALSE)</f>
        <v>#N/A</v>
      </c>
    </row>
    <row r="683" spans="15:61">
      <c r="O683" s="57"/>
      <c r="P683" s="57"/>
      <c r="AP683" s="57"/>
      <c r="BA683" s="57"/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5:61">
      <c r="O684" s="57"/>
      <c r="P684" s="57"/>
      <c r="AO684" s="57"/>
      <c r="AP684" s="57"/>
      <c r="BA684" s="57"/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5:61">
      <c r="O685" s="57"/>
      <c r="P685" s="57"/>
      <c r="AP685" s="57"/>
      <c r="BA685" s="57"/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e">
        <f>VLOOKUP(H685,Sheet2!$A$1:$B$270,2,FALSE)</f>
        <v>#N/A</v>
      </c>
    </row>
    <row r="686" spans="15:61">
      <c r="O686" s="57"/>
      <c r="P686" s="57"/>
      <c r="AP686" s="57"/>
      <c r="BA686" s="57"/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5:61">
      <c r="O687" s="57"/>
      <c r="P687" s="57"/>
      <c r="AP687" s="57"/>
      <c r="BA687" s="57"/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5:61">
      <c r="O688" s="57"/>
      <c r="P688" s="57"/>
      <c r="AP688" s="57"/>
      <c r="BA688" s="57"/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5:61">
      <c r="O689" s="57"/>
      <c r="P689" s="57"/>
      <c r="BA689" s="57"/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5:61">
      <c r="O690" s="57"/>
      <c r="P690" s="57"/>
      <c r="AP690" s="57"/>
      <c r="BA690" s="57"/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e">
        <f>VLOOKUP(H690,Sheet2!$A$1:$B$270,2,FALSE)</f>
        <v>#N/A</v>
      </c>
    </row>
    <row r="691" spans="15:61">
      <c r="O691" s="57"/>
      <c r="P691" s="57"/>
      <c r="AP691" s="57"/>
      <c r="BA691" s="57"/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e">
        <f>VLOOKUP(H691,Sheet2!$A$1:$B$270,2,FALSE)</f>
        <v>#N/A</v>
      </c>
    </row>
    <row r="692" spans="15:61">
      <c r="O692" s="57"/>
      <c r="P692" s="57"/>
      <c r="AP692" s="57"/>
      <c r="BA692" s="57"/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e">
        <f>VLOOKUP(H692,Sheet2!$A$1:$B$270,2,FALSE)</f>
        <v>#N/A</v>
      </c>
    </row>
    <row r="693" spans="15:61">
      <c r="O693" s="57"/>
      <c r="P693" s="57"/>
      <c r="AP693" s="57"/>
      <c r="BA693" s="57"/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5:61">
      <c r="O694" s="57"/>
      <c r="P694" s="57"/>
      <c r="AP694" s="57"/>
      <c r="BA694" s="57"/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5:61">
      <c r="O695" s="57"/>
      <c r="P695" s="57"/>
      <c r="BA695" s="57"/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5:61">
      <c r="O696" s="57"/>
      <c r="P696" s="57"/>
      <c r="AP696" s="57"/>
      <c r="BA696" s="57"/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5:61">
      <c r="O697" s="57"/>
      <c r="P697" s="57"/>
      <c r="AO697" s="57"/>
      <c r="AP697" s="57"/>
      <c r="BA697" s="57"/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5:61">
      <c r="O698" s="57"/>
      <c r="P698" s="57"/>
      <c r="AO698" s="57"/>
      <c r="AP698" s="57"/>
      <c r="BA698" s="57"/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5:61">
      <c r="O699" s="57"/>
      <c r="P699" s="57"/>
      <c r="AO699" s="57"/>
      <c r="BA699" s="57"/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5:61">
      <c r="O700" s="57"/>
      <c r="P700" s="57"/>
      <c r="AO700" s="57"/>
      <c r="AP700" s="57"/>
      <c r="BA700" s="57"/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5:61">
      <c r="O701" s="57"/>
      <c r="P701" s="57"/>
      <c r="AP701" s="57"/>
      <c r="BA701" s="57"/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5:61">
      <c r="O702" s="57"/>
      <c r="P702" s="57"/>
      <c r="AP702" s="57"/>
      <c r="BA702" s="57"/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e">
        <f>VLOOKUP(H702,Sheet2!$A$1:$B$270,2,FALSE)</f>
        <v>#N/A</v>
      </c>
    </row>
    <row r="703" spans="15:61">
      <c r="O703" s="57"/>
      <c r="P703" s="57"/>
      <c r="BA703" s="57"/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e">
        <f>VLOOKUP(H703,Sheet2!$A$1:$B$270,2,FALSE)</f>
        <v>#N/A</v>
      </c>
    </row>
    <row r="704" spans="15:61">
      <c r="O704" s="57"/>
      <c r="P704" s="57"/>
      <c r="BA704" s="57"/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5:61">
      <c r="O705" s="57"/>
      <c r="P705" s="57"/>
      <c r="AP705" s="57"/>
      <c r="BA705" s="57"/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5:61">
      <c r="O706" s="57"/>
      <c r="P706" s="57"/>
      <c r="AP706" s="57"/>
      <c r="BA706" s="57"/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e">
        <f>VLOOKUP(H706,Sheet2!$A$1:$B$270,2,FALSE)</f>
        <v>#N/A</v>
      </c>
    </row>
    <row r="707" spans="15:61">
      <c r="O707" s="57"/>
      <c r="P707" s="57"/>
      <c r="AP707" s="57"/>
      <c r="BA707" s="57"/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5:61">
      <c r="O708" s="57"/>
      <c r="P708" s="57"/>
      <c r="BA708" s="57"/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e">
        <f>VLOOKUP(H708,Sheet2!$A$1:$B$270,2,FALSE)</f>
        <v>#N/A</v>
      </c>
    </row>
    <row r="709" spans="15:61">
      <c r="O709" s="57"/>
      <c r="P709" s="57"/>
      <c r="AP709" s="57"/>
      <c r="BA709" s="57"/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5:61">
      <c r="O710" s="57"/>
      <c r="P710" s="57"/>
      <c r="AP710" s="57"/>
      <c r="BA710" s="57"/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5:61">
      <c r="O711" s="57"/>
      <c r="P711" s="57"/>
      <c r="AO711" s="57"/>
      <c r="AP711" s="57"/>
      <c r="BA711" s="57"/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5:61">
      <c r="O712" s="57"/>
      <c r="P712" s="57"/>
      <c r="AO712" s="57"/>
      <c r="AP712" s="57"/>
      <c r="BA712" s="57"/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5:61">
      <c r="O713" s="57"/>
      <c r="P713" s="57"/>
      <c r="AO713" s="57"/>
      <c r="AP713" s="57"/>
      <c r="BA713" s="57"/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5:61">
      <c r="O714" s="57"/>
      <c r="P714" s="57"/>
      <c r="AP714" s="57"/>
      <c r="BA714" s="57"/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5:61">
      <c r="O715" s="57"/>
      <c r="P715" s="57"/>
      <c r="BA715" s="57"/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5:61">
      <c r="O716" s="57"/>
      <c r="P716" s="57"/>
      <c r="AP716" s="57"/>
      <c r="BA716" s="57"/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5:61">
      <c r="O717" s="57"/>
      <c r="P717" s="57"/>
      <c r="AO717" s="57"/>
      <c r="BA717" s="57"/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5:61">
      <c r="O718" s="57"/>
      <c r="P718" s="57"/>
      <c r="AO718" s="57"/>
      <c r="BA718" s="57"/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e">
        <f>VLOOKUP(H718,Sheet2!$A$1:$B$270,2,FALSE)</f>
        <v>#N/A</v>
      </c>
    </row>
    <row r="719" spans="15:61">
      <c r="O719" s="57"/>
      <c r="P719" s="57"/>
      <c r="AO719" s="57"/>
      <c r="BA719" s="57"/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5:61">
      <c r="O720" s="57"/>
      <c r="P720" s="57"/>
      <c r="AO720" s="57"/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5:61">
      <c r="O721" s="57"/>
      <c r="P721" s="57"/>
      <c r="AO721" s="57"/>
      <c r="AP721" s="57"/>
      <c r="BA721" s="57"/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e">
        <f>VLOOKUP(H721,Sheet2!$A$1:$B$270,2,FALSE)</f>
        <v>#N/A</v>
      </c>
    </row>
    <row r="722" spans="15:61">
      <c r="O722" s="57"/>
      <c r="P722" s="57"/>
      <c r="AO722" s="57"/>
      <c r="AP722" s="57"/>
      <c r="BA722" s="57"/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e">
        <f>VLOOKUP(H722,Sheet2!$A$1:$B$270,2,FALSE)</f>
        <v>#N/A</v>
      </c>
    </row>
    <row r="723" spans="15:61">
      <c r="O723" s="57"/>
      <c r="P723" s="57"/>
      <c r="AO723" s="57"/>
      <c r="BA723" s="57"/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5:61">
      <c r="O724" s="57"/>
      <c r="P724" s="57"/>
      <c r="AO724" s="57"/>
      <c r="AP724" s="57"/>
      <c r="BA724" s="57"/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5:61">
      <c r="O725" s="57"/>
      <c r="P725" s="57"/>
      <c r="AO725" s="57"/>
      <c r="AP725" s="57"/>
      <c r="BA725" s="57"/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5:61">
      <c r="O726" s="57"/>
      <c r="P726" s="57"/>
      <c r="AP726" s="57"/>
      <c r="BA726" s="57"/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5:61">
      <c r="O727" s="57"/>
      <c r="P727" s="57"/>
      <c r="BA727" s="57"/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e">
        <f>VLOOKUP(H727,Sheet2!$A$1:$B$270,2,FALSE)</f>
        <v>#N/A</v>
      </c>
    </row>
    <row r="728" spans="15:61">
      <c r="O728" s="57"/>
      <c r="P728" s="57"/>
      <c r="AP728" s="57"/>
      <c r="BA728" s="57"/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5:61">
      <c r="O729" s="57"/>
      <c r="P729" s="57"/>
      <c r="AP729" s="57"/>
      <c r="BA729" s="57"/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5:61">
      <c r="O730" s="57"/>
      <c r="P730" s="57"/>
      <c r="AP730" s="57"/>
      <c r="BA730" s="57"/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5:61">
      <c r="O731" s="57"/>
      <c r="P731" s="57"/>
      <c r="AP731" s="57"/>
      <c r="BA731" s="57"/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e">
        <f>VLOOKUP(H731,Sheet2!$A$1:$B$270,2,FALSE)</f>
        <v>#N/A</v>
      </c>
    </row>
    <row r="732" spans="15:61">
      <c r="O732" s="57"/>
      <c r="P732" s="57"/>
      <c r="AP732" s="57"/>
      <c r="BA732" s="57"/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5:61">
      <c r="O733" s="57"/>
      <c r="P733" s="57"/>
      <c r="AP733" s="57"/>
      <c r="BA733" s="57"/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5:61">
      <c r="O734" s="57"/>
      <c r="P734" s="57"/>
      <c r="AP734" s="57"/>
      <c r="BA734" s="57"/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5:61">
      <c r="O735" s="57"/>
      <c r="P735" s="57"/>
      <c r="AP735" s="57"/>
      <c r="BA735" s="57"/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e">
        <f>VLOOKUP(H735,Sheet2!$A$1:$B$270,2,FALSE)</f>
        <v>#N/A</v>
      </c>
    </row>
    <row r="736" spans="15:61">
      <c r="O736" s="57"/>
      <c r="P736" s="57"/>
      <c r="AP736" s="57"/>
      <c r="BA736" s="57"/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5:61">
      <c r="O737" s="57"/>
      <c r="P737" s="57"/>
      <c r="BA737" s="57"/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5:61">
      <c r="O738" s="57"/>
      <c r="P738" s="57"/>
      <c r="AP738" s="57"/>
      <c r="BA738" s="57"/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5:61">
      <c r="O739" s="57"/>
      <c r="P739" s="57"/>
      <c r="AP739" s="57"/>
      <c r="BA739" s="57"/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e">
        <f>VLOOKUP(H739,Sheet2!$A$1:$B$270,2,FALSE)</f>
        <v>#N/A</v>
      </c>
    </row>
    <row r="740" spans="15:61">
      <c r="O740" s="57"/>
      <c r="P740" s="57"/>
      <c r="AP740" s="57"/>
      <c r="BA740" s="57"/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5:61">
      <c r="O741" s="57"/>
      <c r="P741" s="57"/>
      <c r="AP741" s="57"/>
      <c r="BA741" s="57"/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5:61">
      <c r="O742" s="57"/>
      <c r="P742" s="57"/>
      <c r="AO742" s="57"/>
      <c r="BA742" s="57"/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5:61">
      <c r="O743" s="57"/>
      <c r="P743" s="57"/>
      <c r="AP743" s="57"/>
      <c r="BA743" s="57"/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5:61">
      <c r="O744" s="57"/>
      <c r="P744" s="57"/>
      <c r="AO744" s="57"/>
      <c r="AP744" s="57"/>
      <c r="BA744" s="57"/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5:61">
      <c r="O745" s="57"/>
      <c r="P745" s="57"/>
      <c r="AO745" s="57"/>
      <c r="AP745" s="57"/>
      <c r="BA745" s="57"/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5:61">
      <c r="O746" s="57"/>
      <c r="P746" s="57"/>
      <c r="AO746" s="57"/>
      <c r="AP746" s="57"/>
      <c r="BA746" s="57"/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5:61">
      <c r="O747" s="57"/>
      <c r="P747" s="57"/>
      <c r="AO747" s="57"/>
      <c r="AP747" s="57"/>
      <c r="BA747" s="57"/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5:61">
      <c r="O748" s="57"/>
      <c r="P748" s="57"/>
      <c r="AO748" s="57"/>
      <c r="BA748" s="57"/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5:61">
      <c r="O749" s="57"/>
      <c r="P749" s="57"/>
      <c r="BA749" s="57"/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e">
        <f>VLOOKUP(H749,Sheet2!$A$1:$B$270,2,FALSE)</f>
        <v>#N/A</v>
      </c>
    </row>
    <row r="750" spans="15:61">
      <c r="O750" s="57"/>
      <c r="P750" s="57"/>
      <c r="AP750" s="57"/>
      <c r="BA750" s="57"/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5:61">
      <c r="O751" s="57"/>
      <c r="P751" s="57"/>
      <c r="AP751" s="57"/>
      <c r="BA751" s="57"/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5:61">
      <c r="O752" s="57"/>
      <c r="P752" s="57"/>
      <c r="AP752" s="57"/>
      <c r="BA752" s="57"/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5:61">
      <c r="O753" s="57"/>
      <c r="P753" s="57"/>
      <c r="AP753" s="57"/>
      <c r="BA753" s="57"/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5:61">
      <c r="O754" s="57"/>
      <c r="P754" s="57"/>
      <c r="AP754" s="57"/>
      <c r="BA754" s="57"/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e">
        <f>VLOOKUP(H754,Sheet2!$A$1:$B$270,2,FALSE)</f>
        <v>#N/A</v>
      </c>
    </row>
    <row r="755" spans="15:61">
      <c r="O755" s="57"/>
      <c r="P755" s="57"/>
      <c r="AP755" s="57"/>
      <c r="BA755" s="57"/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5:61">
      <c r="O756" s="57"/>
      <c r="P756" s="57"/>
      <c r="AP756" s="57"/>
      <c r="BA756" s="57"/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5:61">
      <c r="O757" s="57"/>
      <c r="P757" s="57"/>
      <c r="AP757" s="57"/>
      <c r="BA757" s="57"/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5:61">
      <c r="O758" s="57"/>
      <c r="P758" s="57"/>
      <c r="AP758" s="57"/>
      <c r="BA758" s="57"/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5:61">
      <c r="O759" s="57"/>
      <c r="P759" s="57"/>
      <c r="AP759" s="57"/>
      <c r="BA759" s="57"/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5:61">
      <c r="O760" s="57"/>
      <c r="P760" s="57"/>
      <c r="AO760" s="57"/>
      <c r="AP760" s="57"/>
      <c r="BA760" s="57"/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5:61">
      <c r="O761" s="57"/>
      <c r="P761" s="57"/>
      <c r="AO761" s="57"/>
      <c r="BA761" s="57"/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5:61">
      <c r="O762" s="57"/>
      <c r="P762" s="57"/>
      <c r="AO762" s="57"/>
      <c r="AP762" s="57"/>
      <c r="BA762" s="57"/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5:61">
      <c r="O763" s="57"/>
      <c r="P763" s="57"/>
      <c r="BA763" s="57"/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5:61">
      <c r="O764" s="57"/>
      <c r="P764" s="57"/>
      <c r="AO764" s="57"/>
      <c r="AP764" s="57"/>
      <c r="BA764" s="57"/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5:61">
      <c r="O765" s="57"/>
      <c r="P765" s="57"/>
      <c r="AP765" s="57"/>
      <c r="BA765" s="57"/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5:61">
      <c r="O766" s="57"/>
      <c r="P766" s="57"/>
      <c r="AO766" s="57"/>
      <c r="AP766" s="57"/>
      <c r="BA766" s="57"/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5:61">
      <c r="O767" s="57"/>
      <c r="P767" s="57"/>
      <c r="AO767" s="57"/>
      <c r="AP767" s="57"/>
      <c r="BA767" s="57"/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5:61">
      <c r="O768" s="57"/>
      <c r="P768" s="57"/>
      <c r="AP768" s="57"/>
      <c r="BA768" s="57"/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e">
        <f>VLOOKUP(H768,Sheet2!$A$1:$B$270,2,FALSE)</f>
        <v>#N/A</v>
      </c>
    </row>
    <row r="769" spans="15:61">
      <c r="O769" s="57"/>
      <c r="P769" s="57"/>
      <c r="AP769" s="57"/>
      <c r="BA769" s="57"/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e">
        <f>VLOOKUP(H769,Sheet2!$A$1:$B$270,2,FALSE)</f>
        <v>#N/A</v>
      </c>
    </row>
    <row r="770" spans="15:61">
      <c r="O770" s="57"/>
      <c r="P770" s="57"/>
      <c r="AO770" s="57"/>
      <c r="AP770" s="57"/>
      <c r="BA770" s="57"/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5:61">
      <c r="O771" s="57"/>
      <c r="P771" s="57"/>
      <c r="AO771" s="57"/>
      <c r="BA771" s="57"/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e">
        <f>VLOOKUP(H771,Sheet2!$A$1:$B$270,2,FALSE)</f>
        <v>#N/A</v>
      </c>
    </row>
    <row r="772" spans="15:61">
      <c r="O772" s="57"/>
      <c r="P772" s="57"/>
      <c r="AO772" s="57"/>
      <c r="BA772" s="57"/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5:61">
      <c r="O773" s="57"/>
      <c r="P773" s="57"/>
      <c r="AO773" s="57"/>
      <c r="AP773" s="57"/>
      <c r="BA773" s="57"/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5:61">
      <c r="O774" s="57"/>
      <c r="P774" s="57"/>
      <c r="AP774" s="57"/>
      <c r="BA774" s="57"/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5:61">
      <c r="O775" s="57"/>
      <c r="P775" s="57"/>
      <c r="AP775" s="57"/>
      <c r="BA775" s="57"/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5:61">
      <c r="O776" s="57"/>
      <c r="P776" s="57"/>
      <c r="AP776" s="57"/>
      <c r="BA776" s="57"/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5:61">
      <c r="O777" s="57"/>
      <c r="P777" s="57"/>
      <c r="AO777" s="57"/>
      <c r="AP777" s="57"/>
      <c r="BA777" s="57"/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e">
        <f>VLOOKUP(H777,Sheet2!$A$1:$B$270,2,FALSE)</f>
        <v>#N/A</v>
      </c>
    </row>
    <row r="778" spans="15:61">
      <c r="O778" s="57"/>
      <c r="P778" s="57"/>
      <c r="AO778" s="57"/>
      <c r="AP778" s="57"/>
      <c r="BA778" s="57"/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5:61">
      <c r="O779" s="57"/>
      <c r="P779" s="57"/>
      <c r="AP779" s="57"/>
      <c r="BA779" s="57"/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5:61">
      <c r="O780" s="57"/>
      <c r="P780" s="57"/>
      <c r="AP780" s="57"/>
      <c r="BA780" s="57"/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5:61">
      <c r="O781" s="57"/>
      <c r="P781" s="57"/>
      <c r="AP781" s="57"/>
      <c r="BA781" s="57"/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5:61">
      <c r="O782" s="57"/>
      <c r="P782" s="57"/>
      <c r="AP782" s="57"/>
      <c r="BA782" s="57"/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5:61">
      <c r="O783" s="57"/>
      <c r="P783" s="57"/>
      <c r="AP783" s="57"/>
      <c r="BA783" s="57"/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5:61">
      <c r="O784" s="57"/>
      <c r="P784" s="57"/>
      <c r="AP784" s="57"/>
      <c r="BA784" s="57"/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5:61">
      <c r="O785" s="57"/>
      <c r="P785" s="57"/>
      <c r="AP785" s="57"/>
      <c r="BA785" s="57"/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5:61">
      <c r="O786" s="57"/>
      <c r="P786" s="57"/>
      <c r="AP786" s="57"/>
      <c r="BA786" s="57"/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5:61">
      <c r="O787" s="57"/>
      <c r="P787" s="57"/>
      <c r="AP787" s="57"/>
      <c r="BA787" s="57"/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5:61">
      <c r="O788" s="57"/>
      <c r="P788" s="57"/>
      <c r="AP788" s="57"/>
      <c r="BA788" s="57"/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5:61">
      <c r="O789" s="57"/>
      <c r="P789" s="57"/>
      <c r="AP789" s="57"/>
      <c r="BA789" s="57"/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5:61">
      <c r="O790" s="57"/>
      <c r="P790" s="57"/>
      <c r="AP790" s="57"/>
      <c r="BA790" s="57"/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5:61">
      <c r="O791" s="57"/>
      <c r="P791" s="57"/>
      <c r="AP791" s="57"/>
      <c r="BA791" s="57"/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5:61">
      <c r="O792" s="57"/>
      <c r="P792" s="57"/>
      <c r="AP792" s="57"/>
      <c r="BA792" s="57"/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5:61">
      <c r="O793" s="57"/>
      <c r="P793" s="57"/>
      <c r="AO793" s="57"/>
      <c r="AP793" s="57"/>
      <c r="BA793" s="57"/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5:61">
      <c r="O794" s="57"/>
      <c r="P794" s="57"/>
      <c r="AP794" s="57"/>
      <c r="BA794" s="57"/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5:61">
      <c r="O795" s="57"/>
      <c r="P795" s="57"/>
      <c r="AO795" s="57"/>
      <c r="AP795" s="57"/>
      <c r="BA795" s="57"/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5:61">
      <c r="O796" s="57"/>
      <c r="P796" s="57"/>
      <c r="AO796" s="57"/>
      <c r="BA796" s="57"/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5:61">
      <c r="O797" s="57"/>
      <c r="P797" s="57"/>
      <c r="AO797" s="57"/>
      <c r="AP797" s="57"/>
      <c r="BA797" s="57"/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5:61">
      <c r="O798" s="57"/>
      <c r="P798" s="57"/>
      <c r="AO798" s="57"/>
      <c r="BA798" s="57"/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5:61">
      <c r="O799" s="57"/>
      <c r="P799" s="57"/>
      <c r="AO799" s="57"/>
      <c r="BA799" s="57"/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5:61">
      <c r="O800" s="57"/>
      <c r="P800" s="57"/>
      <c r="AP800" s="57"/>
      <c r="BA800" s="57"/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5:61">
      <c r="O801" s="57"/>
      <c r="P801" s="57"/>
      <c r="AP801" s="57"/>
      <c r="BA801" s="57"/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5:61">
      <c r="O802" s="57"/>
      <c r="P802" s="57"/>
      <c r="AP802" s="57"/>
      <c r="BA802" s="57"/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5:61">
      <c r="O803" s="57"/>
      <c r="P803" s="57"/>
      <c r="BA803" s="57"/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5:61">
      <c r="O804" s="57"/>
      <c r="P804" s="57"/>
      <c r="AP804" s="57"/>
      <c r="BA804" s="57"/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5:61">
      <c r="O805" s="57"/>
      <c r="P805" s="57"/>
      <c r="AP805" s="57"/>
      <c r="BA805" s="57"/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5:61">
      <c r="O806" s="57"/>
      <c r="P806" s="57"/>
      <c r="AO806" s="57"/>
      <c r="AP806" s="57"/>
      <c r="BA806" s="57"/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5:61">
      <c r="O807" s="57"/>
      <c r="P807" s="57"/>
      <c r="AO807" s="57"/>
      <c r="AP807" s="57"/>
      <c r="BA807" s="57"/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5:61">
      <c r="O808" s="57"/>
      <c r="P808" s="57"/>
      <c r="AO808" s="57"/>
      <c r="AP808" s="57"/>
      <c r="BA808" s="57"/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5:61">
      <c r="O809" s="57"/>
      <c r="P809" s="57"/>
      <c r="BA809" s="57"/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5:61">
      <c r="O810" s="57"/>
      <c r="P810" s="57"/>
      <c r="BA810" s="57"/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5:61">
      <c r="O811" s="57"/>
      <c r="P811" s="57"/>
      <c r="BA811" s="57"/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5:61">
      <c r="O812" s="57"/>
      <c r="P812" s="57"/>
      <c r="AM812" s="58"/>
      <c r="AO812" s="57"/>
      <c r="BA812" s="57"/>
      <c r="BB812" s="58"/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5:61">
      <c r="O813" s="57"/>
      <c r="P813" s="57"/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5:61">
      <c r="O814" s="57"/>
      <c r="P814" s="57"/>
      <c r="AO814" s="57"/>
      <c r="AP814" s="57"/>
      <c r="BA814" s="57"/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5:61">
      <c r="O815" s="57"/>
      <c r="P815" s="57"/>
      <c r="AO815" s="57"/>
      <c r="AP815" s="57"/>
      <c r="BA815" s="57"/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5:61">
      <c r="O816" s="57"/>
      <c r="P816" s="57"/>
      <c r="AP816" s="57"/>
      <c r="BA816" s="57"/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5:61">
      <c r="O817" s="57"/>
      <c r="P817" s="57"/>
      <c r="AP817" s="57"/>
      <c r="BA817" s="57"/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5:61">
      <c r="O818" s="57"/>
      <c r="P818" s="57"/>
      <c r="BA818" s="57"/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5:61">
      <c r="O819" s="57"/>
      <c r="P819" s="57"/>
      <c r="AP819" s="57"/>
      <c r="BA819" s="57"/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5:61">
      <c r="O820" s="57"/>
      <c r="P820" s="57"/>
      <c r="AP820" s="57"/>
      <c r="BA820" s="57"/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5:61">
      <c r="O821" s="57"/>
      <c r="P821" s="57"/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5:61">
      <c r="O822" s="57"/>
      <c r="P822" s="57"/>
      <c r="AO822" s="57"/>
      <c r="AP822" s="57"/>
      <c r="BA822" s="57"/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5:61">
      <c r="O823" s="57"/>
      <c r="P823" s="57"/>
      <c r="AP823" s="57"/>
      <c r="BA823" s="57"/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5:61">
      <c r="O824" s="57"/>
      <c r="P824" s="57"/>
      <c r="AP824" s="57"/>
      <c r="BA824" s="57"/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5:61">
      <c r="O825" s="57"/>
      <c r="P825" s="57"/>
      <c r="AP825" s="57"/>
      <c r="BA825" s="57"/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5:61">
      <c r="O826" s="57"/>
      <c r="P826" s="57"/>
      <c r="AP826" s="57"/>
      <c r="BA826" s="57"/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5:61">
      <c r="O827" s="57"/>
      <c r="P827" s="57"/>
      <c r="AP827" s="57"/>
      <c r="BA827" s="57"/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5:61">
      <c r="O828" s="57"/>
      <c r="P828" s="57"/>
      <c r="AO828" s="57"/>
      <c r="AP828" s="57"/>
      <c r="BA828" s="57"/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5:61">
      <c r="O829" s="57"/>
      <c r="P829" s="57"/>
      <c r="AO829" s="57"/>
      <c r="AP829" s="57"/>
      <c r="BA829" s="57"/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5:61">
      <c r="O830" s="57"/>
      <c r="P830" s="57"/>
      <c r="AO830" s="57"/>
      <c r="AP830" s="57"/>
      <c r="BA830" s="57"/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5:61">
      <c r="O831" s="57"/>
      <c r="P831" s="57"/>
      <c r="AP831" s="57"/>
      <c r="BA831" s="57"/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5:61">
      <c r="O832" s="57"/>
      <c r="P832" s="57"/>
      <c r="AP832" s="57"/>
      <c r="BA832" s="57"/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5:61">
      <c r="O833" s="57"/>
      <c r="P833" s="57"/>
      <c r="AP833" s="57"/>
      <c r="BA833" s="57"/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5:61">
      <c r="O834" s="57"/>
      <c r="P834" s="57"/>
      <c r="AO834" s="57"/>
      <c r="BA834" s="57"/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5:61">
      <c r="O835" s="57"/>
      <c r="P835" s="57"/>
      <c r="AO835" s="57"/>
      <c r="BA835" s="57"/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5:61">
      <c r="O836" s="57"/>
      <c r="P836" s="57"/>
      <c r="AP836" s="57"/>
      <c r="BA836" s="57"/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5:61">
      <c r="O837" s="57"/>
      <c r="P837" s="57"/>
      <c r="BA837" s="57"/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5:61">
      <c r="O838" s="57"/>
      <c r="P838" s="57"/>
      <c r="AP838" s="57"/>
      <c r="BA838" s="57"/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5:61">
      <c r="O839" s="57"/>
      <c r="P839" s="57"/>
      <c r="AP839" s="57"/>
      <c r="BA839" s="57"/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5:61">
      <c r="O840" s="57"/>
      <c r="P840" s="57"/>
      <c r="BA840" s="57"/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5:61">
      <c r="O841" s="57"/>
      <c r="P841" s="57"/>
      <c r="AO841" s="57"/>
      <c r="AP841" s="57"/>
      <c r="BA841" s="57"/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5:61">
      <c r="O842" s="57"/>
      <c r="P842" s="57"/>
      <c r="BA842" s="57"/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5:61">
      <c r="O843" s="57"/>
      <c r="P843" s="57"/>
      <c r="BA843" s="57"/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5:61">
      <c r="O844" s="57"/>
      <c r="P844" s="57"/>
      <c r="AP844" s="57"/>
      <c r="BA844" s="57"/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5:61">
      <c r="O845" s="57"/>
      <c r="P845" s="57"/>
      <c r="AP845" s="57"/>
      <c r="BA845" s="57"/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5:61">
      <c r="O846" s="57"/>
      <c r="P846" s="57"/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5:61">
      <c r="O847" s="57"/>
      <c r="P847" s="57"/>
      <c r="AP847" s="57"/>
      <c r="BA847" s="57"/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5:61">
      <c r="O848" s="57"/>
      <c r="P848" s="57"/>
      <c r="AP848" s="57"/>
      <c r="BA848" s="57"/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5:61">
      <c r="O849" s="57"/>
      <c r="P849" s="57"/>
      <c r="AO849" s="57"/>
      <c r="AP849" s="57"/>
      <c r="BA849" s="57"/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5:61">
      <c r="O850" s="57"/>
      <c r="P850" s="57"/>
      <c r="AO850" s="57"/>
      <c r="AP850" s="57"/>
      <c r="BA850" s="57"/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5:61">
      <c r="O851" s="57"/>
      <c r="P851" s="57"/>
      <c r="AO851" s="57"/>
      <c r="AP851" s="57"/>
      <c r="BA851" s="57"/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5:61">
      <c r="O852" s="57"/>
      <c r="P852" s="57"/>
      <c r="AO852" s="57"/>
      <c r="AP852" s="57"/>
      <c r="BA852" s="57"/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5:61">
      <c r="O853" s="57"/>
      <c r="P853" s="57"/>
      <c r="AO853" s="57"/>
      <c r="AP853" s="57"/>
      <c r="BA853" s="57"/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5:61">
      <c r="O854" s="57"/>
      <c r="P854" s="57"/>
      <c r="AO854" s="57"/>
      <c r="BA854" s="57"/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5:61">
      <c r="O855" s="57"/>
      <c r="P855" s="57"/>
      <c r="AO855" s="57"/>
      <c r="AP855" s="57"/>
      <c r="BA855" s="57"/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5:61">
      <c r="O856" s="57"/>
      <c r="P856" s="57"/>
      <c r="AO856" s="57"/>
      <c r="AP856" s="57"/>
      <c r="BA856" s="57"/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5:61">
      <c r="O857" s="57"/>
      <c r="P857" s="57"/>
      <c r="AO857" s="57"/>
      <c r="BA857" s="57"/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5:61">
      <c r="O858" s="57"/>
      <c r="P858" s="57"/>
      <c r="AO858" s="57"/>
      <c r="AP858" s="57"/>
      <c r="BA858" s="57"/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5:61">
      <c r="O859" s="57"/>
      <c r="P859" s="57"/>
      <c r="AO859" s="57"/>
      <c r="AP859" s="57"/>
      <c r="BA859" s="57"/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5:61">
      <c r="O860" s="57"/>
      <c r="P860" s="57"/>
      <c r="AO860" s="57"/>
      <c r="AP860" s="57"/>
      <c r="BA860" s="57"/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5:61">
      <c r="O861" s="57"/>
      <c r="P861" s="57"/>
      <c r="AO861" s="57"/>
      <c r="AP861" s="57"/>
      <c r="BA861" s="57"/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5:61">
      <c r="O862" s="57"/>
      <c r="P862" s="57"/>
      <c r="AO862" s="57"/>
      <c r="AP862" s="57"/>
      <c r="BA862" s="57"/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5:61">
      <c r="O863" s="57"/>
      <c r="P863" s="57"/>
      <c r="AO863" s="57"/>
      <c r="AP863" s="57"/>
      <c r="BA863" s="57"/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5:61">
      <c r="O864" s="57"/>
      <c r="P864" s="57"/>
      <c r="AO864" s="57"/>
      <c r="AP864" s="57"/>
      <c r="BA864" s="57"/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5:61">
      <c r="O865" s="57"/>
      <c r="P865" s="57"/>
      <c r="AO865" s="57"/>
      <c r="AP865" s="57"/>
      <c r="BA865" s="57"/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5:61">
      <c r="O866" s="57"/>
      <c r="P866" s="57"/>
      <c r="AO866" s="57"/>
      <c r="AP866" s="57"/>
      <c r="BA866" s="57"/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5:61">
      <c r="O867" s="57"/>
      <c r="P867" s="57"/>
      <c r="AO867" s="57"/>
      <c r="AP867" s="57"/>
      <c r="BA867" s="57"/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5:61">
      <c r="O868" s="57"/>
      <c r="P868" s="57"/>
      <c r="AP868" s="57"/>
      <c r="BA868" s="57"/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5:61">
      <c r="O869" s="57"/>
      <c r="P869" s="57"/>
      <c r="AP869" s="57"/>
      <c r="BA869" s="57"/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5:61">
      <c r="O870" s="57"/>
      <c r="P870" s="57"/>
      <c r="BA870" s="57"/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5:61">
      <c r="O871" s="57"/>
      <c r="P871" s="57"/>
      <c r="AP871" s="57"/>
      <c r="BA871" s="57"/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5:61">
      <c r="O872" s="57"/>
      <c r="P872" s="57"/>
      <c r="AP872" s="57"/>
      <c r="BA872" s="57"/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5:61">
      <c r="O873" s="57"/>
      <c r="P873" s="57"/>
      <c r="AP873" s="57"/>
      <c r="BA873" s="57"/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5:61">
      <c r="O874" s="57"/>
      <c r="P874" s="57"/>
      <c r="AP874" s="57"/>
      <c r="BA874" s="57"/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5:61">
      <c r="O875" s="57"/>
      <c r="P875" s="57"/>
      <c r="AP875" s="57"/>
      <c r="BA875" s="57"/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5:61">
      <c r="O876" s="57"/>
      <c r="P876" s="57"/>
      <c r="AP876" s="57"/>
      <c r="BA876" s="57"/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5:61">
      <c r="O877" s="57"/>
      <c r="P877" s="57"/>
      <c r="AP877" s="57"/>
      <c r="BA877" s="57"/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5:61">
      <c r="O878" s="57"/>
      <c r="P878" s="57"/>
      <c r="AP878" s="57"/>
      <c r="BA878" s="57"/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5:61">
      <c r="O879" s="57"/>
      <c r="P879" s="57"/>
      <c r="AP879" s="57"/>
      <c r="BA879" s="57"/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5:61">
      <c r="O880" s="57"/>
      <c r="P880" s="57"/>
      <c r="AP880" s="57"/>
      <c r="BA880" s="57"/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5:61">
      <c r="O881" s="57"/>
      <c r="P881" s="57"/>
      <c r="AP881" s="57"/>
      <c r="BA881" s="57"/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5:61">
      <c r="O882" s="57"/>
      <c r="P882" s="57"/>
      <c r="AP882" s="57"/>
      <c r="BA882" s="57"/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5:61">
      <c r="O883" s="57"/>
      <c r="P883" s="57"/>
      <c r="AP883" s="57"/>
      <c r="BA883" s="57"/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5:61">
      <c r="O884" s="57"/>
      <c r="P884" s="57"/>
      <c r="AP884" s="57"/>
      <c r="BA884" s="57"/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5:61">
      <c r="O885" s="57"/>
      <c r="P885" s="57"/>
      <c r="BA885" s="57"/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5:61">
      <c r="O886" s="57"/>
      <c r="P886" s="57"/>
      <c r="AP886" s="57"/>
      <c r="BA886" s="57"/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5:61">
      <c r="O887" s="57"/>
      <c r="P887" s="57"/>
      <c r="AP887" s="57"/>
      <c r="BA887" s="57"/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5:61">
      <c r="O888" s="57"/>
      <c r="P888" s="57"/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5:61">
      <c r="O889" s="57"/>
      <c r="P889" s="57"/>
      <c r="AO889" s="57"/>
      <c r="BA889" s="57"/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5:61">
      <c r="O890" s="57"/>
      <c r="P890" s="57"/>
      <c r="AO890" s="57"/>
      <c r="AP890" s="57"/>
      <c r="BA890" s="57"/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5:61">
      <c r="O891" s="57"/>
      <c r="P891" s="57"/>
      <c r="BA891" s="57"/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5:61">
      <c r="O892" s="57"/>
      <c r="P892" s="57"/>
      <c r="BA892" s="57"/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5:61">
      <c r="O893" s="57"/>
      <c r="P893" s="57"/>
      <c r="AP893" s="57"/>
      <c r="BA893" s="57"/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5:61">
      <c r="O894" s="57"/>
      <c r="P894" s="57"/>
      <c r="AO894" s="57"/>
      <c r="AP894" s="57"/>
      <c r="BA894" s="57"/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5:61">
      <c r="O895" s="57"/>
      <c r="P895" s="57"/>
      <c r="AO895" s="57"/>
      <c r="AP895" s="57"/>
      <c r="BA895" s="57"/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5:61">
      <c r="O896" s="57"/>
      <c r="P896" s="57"/>
      <c r="AO896" s="57"/>
      <c r="AP896" s="57"/>
      <c r="BA896" s="57"/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5:61">
      <c r="O897" s="57"/>
      <c r="P897" s="57"/>
      <c r="BA897" s="57"/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5:61">
      <c r="O898" s="57"/>
      <c r="P898" s="57"/>
      <c r="AP898" s="57"/>
      <c r="BA898" s="57"/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5:61">
      <c r="O899" s="57"/>
      <c r="P899" s="57"/>
      <c r="AP899" s="57"/>
      <c r="BA899" s="57"/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5:61">
      <c r="O900" s="57"/>
      <c r="P900" s="57"/>
      <c r="AO900" s="57"/>
      <c r="BA900" s="57"/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5:61">
      <c r="O901" s="57"/>
      <c r="P901" s="57"/>
      <c r="AP901" s="57"/>
      <c r="BA901" s="57"/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5:61">
      <c r="O902" s="57"/>
      <c r="P902" s="57"/>
      <c r="AO902" s="57"/>
      <c r="AP902" s="57"/>
      <c r="BA902" s="57"/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5:61">
      <c r="O903" s="57"/>
      <c r="P903" s="57"/>
      <c r="AP903" s="57"/>
      <c r="BA903" s="57"/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5:61">
      <c r="O904" s="57"/>
      <c r="P904" s="57"/>
      <c r="AO904" s="57"/>
      <c r="AP904" s="57"/>
      <c r="BA904" s="57"/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5:61">
      <c r="O905" s="57"/>
      <c r="P905" s="57"/>
      <c r="AP905" s="57"/>
      <c r="BA905" s="57"/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5:61">
      <c r="O906" s="57"/>
      <c r="P906" s="57"/>
      <c r="AP906" s="57"/>
      <c r="BA906" s="57"/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5:61">
      <c r="O907" s="57"/>
      <c r="P907" s="57"/>
      <c r="AP907" s="57"/>
      <c r="BA907" s="57"/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5:61">
      <c r="O908" s="57"/>
      <c r="P908" s="57"/>
      <c r="AO908" s="57"/>
      <c r="AP908" s="57"/>
      <c r="BA908" s="57"/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5:61">
      <c r="O909" s="57"/>
      <c r="P909" s="57"/>
      <c r="AO909" s="57"/>
      <c r="BA909" s="57"/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5:61">
      <c r="O910" s="57"/>
      <c r="P910" s="57"/>
      <c r="AO910" s="57"/>
      <c r="AP910" s="57"/>
      <c r="BA910" s="57"/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5:61">
      <c r="O911" s="57"/>
      <c r="P911" s="57"/>
      <c r="AO911" s="57"/>
      <c r="BA911" s="57"/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5:61">
      <c r="O912" s="57"/>
      <c r="P912" s="57"/>
      <c r="AO912" s="57"/>
      <c r="AP912" s="57"/>
      <c r="BA912" s="57"/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5:61">
      <c r="O913" s="57"/>
      <c r="P913" s="57"/>
      <c r="AO913" s="57"/>
      <c r="AP913" s="57"/>
      <c r="BA913" s="57"/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5:61">
      <c r="O914" s="57"/>
      <c r="P914" s="57"/>
      <c r="AO914" s="57"/>
      <c r="AP914" s="57"/>
      <c r="BA914" s="57"/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5:61">
      <c r="O915" s="57"/>
      <c r="P915" s="57"/>
      <c r="AO915" s="57"/>
      <c r="AP915" s="57"/>
      <c r="BA915" s="57"/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5:61">
      <c r="O916" s="57"/>
      <c r="P916" s="57"/>
      <c r="AO916" s="57"/>
      <c r="AP916" s="57"/>
      <c r="BA916" s="57"/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5:61">
      <c r="O917" s="57"/>
      <c r="P917" s="57"/>
      <c r="AO917" s="57"/>
      <c r="AP917" s="57"/>
      <c r="BA917" s="57"/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5:61">
      <c r="O918" s="57"/>
      <c r="P918" s="57"/>
      <c r="AO918" s="57"/>
      <c r="AP918" s="57"/>
      <c r="BA918" s="57"/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5:61">
      <c r="O919" s="57"/>
      <c r="P919" s="57"/>
      <c r="AO919" s="57"/>
      <c r="AP919" s="57"/>
      <c r="BA919" s="57"/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5:61">
      <c r="O920" s="57"/>
      <c r="P920" s="57"/>
      <c r="AO920" s="57"/>
      <c r="AP920" s="57"/>
      <c r="BA920" s="57"/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5:61">
      <c r="O921" s="57"/>
      <c r="P921" s="57"/>
      <c r="AO921" s="57"/>
      <c r="AP921" s="57"/>
      <c r="BA921" s="57"/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5:61">
      <c r="O922" s="57"/>
      <c r="P922" s="57"/>
      <c r="AP922" s="57"/>
      <c r="BA922" s="57"/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5:61">
      <c r="O923" s="57"/>
      <c r="P923" s="57"/>
      <c r="AP923" s="57"/>
      <c r="BA923" s="57"/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5:61">
      <c r="O924" s="57"/>
      <c r="P924" s="57"/>
      <c r="AP924" s="57"/>
      <c r="BA924" s="57"/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5:61">
      <c r="O925" s="57"/>
      <c r="P925" s="57"/>
      <c r="AP925" s="57"/>
      <c r="BA925" s="57"/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5:61">
      <c r="O926" s="57"/>
      <c r="P926" s="57"/>
      <c r="AP926" s="57"/>
      <c r="BA926" s="57"/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5:61">
      <c r="O927" s="57"/>
      <c r="P927" s="57"/>
      <c r="AP927" s="57"/>
      <c r="BA927" s="57"/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5:61">
      <c r="O928" s="57"/>
      <c r="P928" s="57"/>
      <c r="AP928" s="57"/>
      <c r="BA928" s="57"/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5:61">
      <c r="O929" s="57"/>
      <c r="P929" s="57"/>
      <c r="AP929" s="57"/>
      <c r="BA929" s="57"/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5:61">
      <c r="O930" s="57"/>
      <c r="P930" s="57"/>
      <c r="AP930" s="57"/>
      <c r="BA930" s="57"/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5:61">
      <c r="O931" s="57"/>
      <c r="P931" s="57"/>
      <c r="AP931" s="57"/>
      <c r="BA931" s="57"/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5:61">
      <c r="O932" s="57"/>
      <c r="P932" s="57"/>
      <c r="AP932" s="57"/>
      <c r="BA932" s="57"/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5:61">
      <c r="O933" s="57"/>
      <c r="P933" s="57"/>
      <c r="AP933" s="57"/>
      <c r="BA933" s="57"/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5:61">
      <c r="O934" s="57"/>
      <c r="P934" s="57"/>
      <c r="AM934" s="58"/>
      <c r="BA934" s="57"/>
      <c r="BB934" s="58"/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5:61">
      <c r="O935" s="57"/>
      <c r="P935" s="57"/>
      <c r="AO935" s="57"/>
      <c r="AP935" s="57"/>
      <c r="BA935" s="57"/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5:61">
      <c r="O936" s="57"/>
      <c r="P936" s="57"/>
      <c r="AO936" s="57"/>
      <c r="AP936" s="57"/>
      <c r="BA936" s="57"/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5:61">
      <c r="O937" s="57"/>
      <c r="P937" s="57"/>
      <c r="AO937" s="57"/>
      <c r="AP937" s="57"/>
      <c r="BA937" s="57"/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5:61">
      <c r="O938" s="57"/>
      <c r="P938" s="57"/>
      <c r="AO938" s="57"/>
      <c r="BA938" s="57"/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5:61">
      <c r="O939" s="57"/>
      <c r="P939" s="57"/>
      <c r="AO939" s="57"/>
      <c r="AP939" s="57"/>
      <c r="BA939" s="57"/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5:61">
      <c r="O940" s="57"/>
      <c r="P940" s="57"/>
      <c r="AO940" s="57"/>
      <c r="AP940" s="57"/>
      <c r="BA940" s="57"/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5:61">
      <c r="O941" s="57"/>
      <c r="P941" s="57"/>
      <c r="AO941" s="57"/>
      <c r="AP941" s="57"/>
      <c r="BA941" s="57"/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5:61">
      <c r="O942" s="57"/>
      <c r="P942" s="57"/>
      <c r="AO942" s="57"/>
      <c r="AP942" s="57"/>
      <c r="BA942" s="57"/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5:61">
      <c r="O943" s="57"/>
      <c r="P943" s="57"/>
      <c r="AO943" s="57"/>
      <c r="AP943" s="57"/>
      <c r="BA943" s="57"/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5:61">
      <c r="O944" s="57"/>
      <c r="P944" s="57"/>
      <c r="AO944" s="57"/>
      <c r="BA944" s="57"/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5:61">
      <c r="O945" s="57"/>
      <c r="P945" s="57"/>
      <c r="AO945" s="57"/>
      <c r="BA945" s="57"/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5:61">
      <c r="O946" s="57"/>
      <c r="P946" s="57"/>
      <c r="AP946" s="57"/>
      <c r="BA946" s="57"/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5:61">
      <c r="O947" s="57"/>
      <c r="P947" s="57"/>
      <c r="AP947" s="57"/>
      <c r="BA947" s="57"/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5:61">
      <c r="O948" s="57"/>
      <c r="P948" s="57"/>
      <c r="AO948" s="57"/>
      <c r="BA948" s="57"/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5:61">
      <c r="O949" s="57"/>
      <c r="P949" s="57"/>
      <c r="AO949" s="57"/>
      <c r="BA949" s="57"/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5:61">
      <c r="O950" s="57"/>
      <c r="P950" s="57"/>
      <c r="AO950" s="57"/>
      <c r="AP950" s="57"/>
      <c r="BA950" s="57"/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5:61">
      <c r="O951" s="57"/>
      <c r="P951" s="57"/>
      <c r="BA951" s="57"/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5:61">
      <c r="O952" s="57"/>
      <c r="P952" s="57"/>
      <c r="AP952" s="57"/>
      <c r="BA952" s="57"/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5:61">
      <c r="O953" s="57"/>
      <c r="P953" s="57"/>
      <c r="AP953" s="57"/>
      <c r="BA953" s="57"/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5:61">
      <c r="O954" s="57"/>
      <c r="P954" s="57"/>
      <c r="AO954" s="57"/>
      <c r="AP954" s="57"/>
      <c r="BA954" s="57"/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5:61">
      <c r="O955" s="57"/>
      <c r="P955" s="57"/>
      <c r="AO955" s="57"/>
      <c r="AP955" s="57"/>
      <c r="BA955" s="57"/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5:61">
      <c r="O956" s="57"/>
      <c r="P956" s="57"/>
      <c r="AP956" s="57"/>
      <c r="BA956" s="57"/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e">
        <f>VLOOKUP(H956,Sheet2!$A$1:$B$270,2,FALSE)</f>
        <v>#N/A</v>
      </c>
    </row>
    <row r="957" spans="15:61">
      <c r="O957" s="57"/>
      <c r="P957" s="57"/>
      <c r="AP957" s="57"/>
      <c r="BA957" s="57"/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5:61">
      <c r="O958" s="57"/>
      <c r="P958" s="57"/>
      <c r="AO958" s="57"/>
      <c r="AP958" s="57"/>
      <c r="BA958" s="57"/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5:61">
      <c r="O959" s="57"/>
      <c r="P959" s="57"/>
      <c r="AP959" s="57"/>
      <c r="BA959" s="57"/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5:61">
      <c r="O960" s="57"/>
      <c r="P960" s="57"/>
      <c r="AO960" s="57"/>
      <c r="AP960" s="57"/>
      <c r="BA960" s="57"/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5:61">
      <c r="O961" s="57"/>
      <c r="P961" s="57"/>
      <c r="AO961" s="57"/>
      <c r="BA961" s="57"/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5:61">
      <c r="O962" s="57"/>
      <c r="P962" s="57"/>
      <c r="AO962" s="57"/>
      <c r="AP962" s="57"/>
      <c r="BA962" s="57"/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5:61">
      <c r="O963" s="57"/>
      <c r="P963" s="57"/>
      <c r="AP963" s="57"/>
      <c r="BA963" s="57"/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5:61">
      <c r="O964" s="57"/>
      <c r="P964" s="57"/>
      <c r="AP964" s="57"/>
      <c r="BA964" s="57"/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5:61">
      <c r="O965" s="57"/>
      <c r="P965" s="57"/>
      <c r="AP965" s="57"/>
      <c r="BA965" s="57"/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5:61">
      <c r="O966" s="57"/>
      <c r="P966" s="57"/>
      <c r="AP966" s="57"/>
      <c r="BA966" s="57"/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5:61">
      <c r="O967" s="57"/>
      <c r="P967" s="57"/>
      <c r="AP967" s="57"/>
      <c r="BA967" s="57"/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5:61">
      <c r="O968" s="57"/>
      <c r="P968" s="57"/>
      <c r="AP968" s="57"/>
      <c r="BA968" s="57"/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5:61">
      <c r="O969" s="57"/>
      <c r="P969" s="57"/>
      <c r="AP969" s="57"/>
      <c r="BA969" s="57"/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5:61">
      <c r="O970" s="57"/>
      <c r="P970" s="57"/>
      <c r="AP970" s="57"/>
      <c r="BA970" s="57"/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5:61">
      <c r="O971" s="57"/>
      <c r="P971" s="57"/>
      <c r="AP971" s="57"/>
      <c r="BA971" s="57"/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5:61">
      <c r="O972" s="57"/>
      <c r="P972" s="57"/>
      <c r="AP972" s="57"/>
      <c r="BA972" s="57"/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5:61">
      <c r="O973" s="57"/>
      <c r="P973" s="57"/>
      <c r="AP973" s="57"/>
      <c r="BA973" s="57"/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5:61">
      <c r="O974" s="57"/>
      <c r="P974" s="57"/>
      <c r="AP974" s="57"/>
      <c r="BA974" s="57"/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5:61">
      <c r="O975" s="57"/>
      <c r="P975" s="57"/>
      <c r="AO975" s="57"/>
      <c r="AP975" s="57"/>
      <c r="BA975" s="57"/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5:61">
      <c r="O976" s="57"/>
      <c r="P976" s="57"/>
      <c r="AO976" s="57"/>
      <c r="AP976" s="57"/>
      <c r="BA976" s="57"/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5:61">
      <c r="O977" s="57"/>
      <c r="P977" s="57"/>
      <c r="BA977" s="57"/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5:61">
      <c r="O978" s="57"/>
      <c r="P978" s="57"/>
      <c r="AP978" s="57"/>
      <c r="BA978" s="57"/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5:61">
      <c r="O979" s="57"/>
      <c r="P979" s="57"/>
      <c r="AP979" s="57"/>
      <c r="BA979" s="57"/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5:61">
      <c r="O980" s="57"/>
      <c r="P980" s="57"/>
      <c r="AO980" s="57"/>
      <c r="AP980" s="57"/>
      <c r="BA980" s="57"/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5:61">
      <c r="O981" s="57"/>
      <c r="P981" s="57"/>
      <c r="AO981" s="57"/>
      <c r="AP981" s="57"/>
      <c r="BA981" s="57"/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5:61">
      <c r="O982" s="57"/>
      <c r="P982" s="57"/>
      <c r="AO982" s="57"/>
      <c r="AP982" s="57"/>
      <c r="BA982" s="57"/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5:61">
      <c r="O983" s="57"/>
      <c r="P983" s="57"/>
      <c r="AO983" s="57"/>
      <c r="AP983" s="57"/>
      <c r="BA983" s="57"/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5:61">
      <c r="O984" s="57"/>
      <c r="P984" s="57"/>
      <c r="AO984" s="57"/>
      <c r="AP984" s="57"/>
      <c r="BA984" s="57"/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5:61">
      <c r="O985" s="57"/>
      <c r="P985" s="57"/>
      <c r="AO985" s="57"/>
      <c r="AP985" s="57"/>
      <c r="BA985" s="57"/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5:61">
      <c r="O986" s="57"/>
      <c r="P986" s="57"/>
      <c r="AO986" s="57"/>
      <c r="AP986" s="57"/>
      <c r="BA986" s="57"/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5:61">
      <c r="O987" s="57"/>
      <c r="P987" s="57"/>
      <c r="AO987" s="57"/>
      <c r="AP987" s="57"/>
      <c r="BA987" s="57"/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5:61">
      <c r="O988" s="57"/>
      <c r="P988" s="57"/>
      <c r="AO988" s="57"/>
      <c r="AP988" s="57"/>
      <c r="BA988" s="57"/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5:61">
      <c r="O989" s="57"/>
      <c r="P989" s="57"/>
      <c r="AO989" s="57"/>
      <c r="AP989" s="57"/>
      <c r="BA989" s="57"/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5:61">
      <c r="O990" s="57"/>
      <c r="P990" s="57"/>
      <c r="AO990" s="57"/>
      <c r="AP990" s="57"/>
      <c r="BA990" s="57"/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5:61">
      <c r="O991" s="57"/>
      <c r="P991" s="57"/>
      <c r="AP991" s="57"/>
      <c r="BA991" s="57"/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5:61">
      <c r="O992" s="57"/>
      <c r="P992" s="57"/>
      <c r="AP992" s="57"/>
      <c r="BA992" s="57"/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5:61">
      <c r="O993" s="57"/>
      <c r="P993" s="57"/>
      <c r="AP993" s="57"/>
      <c r="BA993" s="57"/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5:61">
      <c r="O994" s="57"/>
      <c r="P994" s="57"/>
      <c r="AP994" s="57"/>
      <c r="BA994" s="57"/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5:61">
      <c r="O995" s="57"/>
      <c r="P995" s="57"/>
      <c r="AP995" s="57"/>
      <c r="BA995" s="57"/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5:61">
      <c r="O996" s="57"/>
      <c r="P996" s="57"/>
      <c r="AP996" s="57"/>
      <c r="BA996" s="57"/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5:61">
      <c r="O997" s="57"/>
      <c r="P997" s="57"/>
      <c r="AP997" s="57"/>
      <c r="BA997" s="57"/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5:61">
      <c r="O998" s="57"/>
      <c r="P998" s="57"/>
      <c r="AP998" s="57"/>
      <c r="BA998" s="57"/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5:61">
      <c r="O999" s="57"/>
      <c r="P999" s="57"/>
      <c r="AP999" s="57"/>
      <c r="BA999" s="57"/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e">
        <f>VLOOKUP(H999,Sheet2!$A$1:$B$270,2,FALSE)</f>
        <v>#N/A</v>
      </c>
    </row>
    <row r="1000" spans="15:61">
      <c r="O1000" s="57"/>
      <c r="P1000" s="57"/>
      <c r="AP1000" s="57"/>
      <c r="BA1000" s="57"/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5:61">
      <c r="O1001" s="57"/>
      <c r="P1001" s="57"/>
      <c r="AP1001" s="57"/>
      <c r="BA1001" s="57"/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5:61">
      <c r="O1002" s="57"/>
      <c r="P1002" s="57"/>
      <c r="AP1002" s="57"/>
      <c r="BA1002" s="57"/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5:61">
      <c r="O1003" s="57"/>
      <c r="P1003" s="57"/>
      <c r="AP1003" s="57"/>
      <c r="BA1003" s="57"/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5:61">
      <c r="O1004" s="57"/>
      <c r="P1004" s="57"/>
      <c r="AO1004" s="57"/>
      <c r="AP1004" s="57"/>
      <c r="BA1004" s="57"/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5:61">
      <c r="O1005" s="57"/>
      <c r="P1005" s="57"/>
      <c r="AP1005" s="57"/>
      <c r="BA1005" s="57"/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5:61">
      <c r="O1006" s="57"/>
      <c r="P1006" s="57"/>
      <c r="AP1006" s="57"/>
      <c r="BA1006" s="57"/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5:6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5:61">
      <c r="O1008" s="57"/>
      <c r="P1008" s="57"/>
      <c r="AO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>
      <c r="O1009" s="57"/>
      <c r="P1009" s="57"/>
      <c r="AO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>
      <c r="O1011" s="57"/>
      <c r="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>
      <c r="O1014" s="57"/>
      <c r="P1014" s="57"/>
      <c r="AO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>
      <c r="O1019" s="57"/>
      <c r="P1019" s="57"/>
      <c r="AO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>
      <c r="O1020" s="57"/>
      <c r="P1020" s="57"/>
      <c r="AO1020" s="57"/>
      <c r="A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>
      <c r="O1021" s="57"/>
      <c r="P1021" s="57"/>
      <c r="AO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>
      <c r="O1022" s="57"/>
      <c r="P1022" s="57"/>
      <c r="AO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>
      <c r="O1023" s="57"/>
      <c r="P1023" s="57"/>
      <c r="AO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>
      <c r="O1024" s="57"/>
      <c r="P1024" s="57"/>
      <c r="AO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>
      <c r="O1028" s="57"/>
      <c r="P1028" s="57"/>
      <c r="AO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>
      <c r="O1029" s="57"/>
      <c r="P1029" s="57"/>
      <c r="AO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>
      <c r="O1030" s="57"/>
      <c r="P1030" s="57"/>
      <c r="AO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>
      <c r="O1031" s="57"/>
      <c r="P1031" s="57"/>
      <c r="AO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>
      <c r="O1032" s="57"/>
      <c r="P1032" s="57"/>
      <c r="AO1032" s="57"/>
      <c r="A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>
      <c r="O1033" s="57"/>
      <c r="P1033" s="57"/>
      <c r="AO1033" s="57"/>
      <c r="A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>
      <c r="O1034" s="57"/>
      <c r="P1034" s="57"/>
      <c r="AO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>
      <c r="O1035" s="57"/>
      <c r="P1035" s="57"/>
      <c r="AO1035" s="57"/>
      <c r="A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>
      <c r="O1036" s="57"/>
      <c r="P1036" s="57"/>
      <c r="AO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>
      <c r="O1037" s="57"/>
      <c r="P1037" s="57"/>
      <c r="AO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>
      <c r="O1038" s="57"/>
      <c r="P1038" s="57"/>
      <c r="AO1038" s="57"/>
      <c r="A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>
      <c r="O1044" s="57"/>
      <c r="P1044" s="57"/>
      <c r="A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>
      <c r="O1050" s="57"/>
      <c r="P1050" s="57"/>
      <c r="A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>
      <c r="O1051" s="57"/>
      <c r="P1051" s="57"/>
      <c r="A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>
      <c r="O1056" s="57"/>
      <c r="P1056" s="57"/>
      <c r="AO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>
      <c r="O1057" s="57"/>
      <c r="P1057" s="57"/>
      <c r="AO1057" s="57"/>
      <c r="A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>
      <c r="O1058" s="57"/>
      <c r="P1058" s="57"/>
      <c r="AO1058" s="57"/>
      <c r="A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>
      <c r="O1059" s="57"/>
      <c r="P1059" s="57"/>
      <c r="AO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>
      <c r="O1063" s="57"/>
      <c r="P1063" s="57"/>
      <c r="AO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>
      <c r="O1064" s="57"/>
      <c r="P1064" s="57"/>
      <c r="AO1064" s="57"/>
      <c r="A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>
      <c r="O1065" s="57"/>
      <c r="P1065" s="57"/>
      <c r="AO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>
      <c r="O1066" s="57"/>
      <c r="P1066" s="57"/>
      <c r="AO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>
      <c r="O1070" s="57"/>
      <c r="P1070" s="57"/>
      <c r="A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>
      <c r="O1071" s="57"/>
      <c r="P1071" s="57"/>
      <c r="AO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>
      <c r="O1072" s="57"/>
      <c r="P1072" s="57"/>
      <c r="AO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>
      <c r="O1073" s="57"/>
      <c r="P1073" s="57"/>
      <c r="AO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>
      <c r="O1074" s="57"/>
      <c r="P1074" s="57"/>
      <c r="AO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>
      <c r="O1075" s="57"/>
      <c r="P1075" s="57"/>
      <c r="AO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>
      <c r="O1076" s="57"/>
      <c r="P1076" s="57"/>
      <c r="AO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>
      <c r="O1077" s="57"/>
      <c r="P1077" s="57"/>
      <c r="AO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>
      <c r="O1078" s="57"/>
      <c r="P1078" s="57"/>
      <c r="AO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>
      <c r="O1082" s="57"/>
      <c r="P1082" s="57"/>
      <c r="A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>
      <c r="O1083" s="57"/>
      <c r="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>
      <c r="O1084" s="57"/>
      <c r="P1084" s="57"/>
      <c r="A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>
      <c r="O1086" s="57"/>
      <c r="P1086" s="57"/>
      <c r="A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>
      <c r="O1091" s="57"/>
      <c r="P1091" s="57"/>
      <c r="A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>
      <c r="O1096" s="57"/>
      <c r="P1096" s="57"/>
      <c r="A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>
      <c r="O1098" s="57"/>
      <c r="P1098" s="57"/>
      <c r="A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>
      <c r="O1099" s="57"/>
      <c r="P1099" s="57"/>
      <c r="AO1099" s="57"/>
      <c r="A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>
      <c r="O1100" s="57"/>
      <c r="P1100" s="57"/>
      <c r="AO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>
      <c r="O1101" s="57"/>
      <c r="P1101" s="57"/>
      <c r="AO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>
      <c r="O1102" s="57"/>
      <c r="P1102" s="57"/>
      <c r="AO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>
      <c r="O1103" s="57"/>
      <c r="P1103" s="57"/>
      <c r="AO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>
      <c r="O1113" s="57"/>
      <c r="P1113" s="57"/>
      <c r="A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>
      <c r="O1120" s="57"/>
      <c r="P1120" s="57"/>
      <c r="AO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>
      <c r="O1121" s="57"/>
      <c r="P1121" s="57"/>
      <c r="AO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>
      <c r="O1122" s="57"/>
      <c r="P1122" s="57"/>
      <c r="AO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>
      <c r="O1123" s="57"/>
      <c r="P1123" s="57"/>
      <c r="A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>
      <c r="O1124" s="57"/>
      <c r="P1124" s="57"/>
      <c r="A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>
      <c r="O1127" s="57"/>
      <c r="P1127" s="57"/>
      <c r="AO1127" s="57"/>
      <c r="A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>
      <c r="O1128" s="57"/>
      <c r="P1128" s="57"/>
      <c r="AO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>
      <c r="O1129" s="57"/>
      <c r="P1129" s="57"/>
      <c r="AO1129" s="57"/>
      <c r="A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>
      <c r="O1130" s="57"/>
      <c r="P1130" s="57"/>
      <c r="AO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>
      <c r="O1131" s="57"/>
      <c r="P1131" s="57"/>
      <c r="AO1131" s="57"/>
      <c r="A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>
      <c r="O1132" s="57"/>
      <c r="P1132" s="57"/>
      <c r="A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>
      <c r="O1133" s="57"/>
      <c r="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>
      <c r="O1137" s="57"/>
      <c r="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>
      <c r="O1140" s="57"/>
      <c r="P1140" s="57"/>
      <c r="A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>
      <c r="O1143" s="57"/>
      <c r="P1143" s="57"/>
      <c r="AO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>
      <c r="O1144" s="57"/>
      <c r="P1144" s="57"/>
      <c r="AO1144" s="57"/>
      <c r="A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>
      <c r="O1147" s="57"/>
      <c r="P1147" s="57"/>
      <c r="AO1147" s="57"/>
      <c r="A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>
      <c r="O1148" s="57"/>
      <c r="P1148" s="57"/>
      <c r="AO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>
      <c r="O1149" s="57"/>
      <c r="P1149" s="57"/>
      <c r="AO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>
      <c r="O1152" s="57"/>
      <c r="P1152" s="57"/>
      <c r="AO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>
      <c r="O1153" s="57"/>
      <c r="P1153" s="57"/>
      <c r="AO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>
      <c r="O1154" s="57"/>
      <c r="P1154" s="57"/>
      <c r="AP1154" s="57"/>
      <c r="BA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>
      <c r="O1155" s="57"/>
      <c r="P1155" s="57"/>
      <c r="AO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>
      <c r="O1156" s="57"/>
      <c r="P1156" s="57"/>
      <c r="AO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>
      <c r="O1157" s="57"/>
      <c r="P1157" s="57"/>
      <c r="AO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>
      <c r="O1158" s="57"/>
      <c r="P1158" s="57"/>
      <c r="AO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>
      <c r="O1159" s="57"/>
      <c r="P1159" s="57"/>
      <c r="AO1159" s="57"/>
      <c r="A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>
      <c r="O1164" s="57"/>
      <c r="P1164" s="57"/>
      <c r="AO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>
      <c r="O1167" s="57"/>
      <c r="P1167" s="57"/>
      <c r="AO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>
      <c r="O1168" s="57"/>
      <c r="P1168" s="57"/>
      <c r="AO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>
      <c r="O1169" s="57"/>
      <c r="P1169" s="57"/>
      <c r="AO1169" s="57"/>
      <c r="A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>
      <c r="O1170" s="57"/>
      <c r="P1170" s="57"/>
      <c r="AO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>
      <c r="O1171" s="57"/>
      <c r="P1171" s="57"/>
      <c r="AO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>
      <c r="O1172" s="57"/>
      <c r="P1172" s="57"/>
      <c r="AO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>
      <c r="O1173" s="57"/>
      <c r="P1173" s="57"/>
      <c r="AO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>
      <c r="O1174" s="57"/>
      <c r="P1174" s="57"/>
      <c r="A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>
      <c r="O1175" s="57"/>
      <c r="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>
      <c r="O1176" s="57"/>
      <c r="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>
      <c r="O1177" s="57"/>
      <c r="P1177" s="57"/>
      <c r="AO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>
      <c r="O1178" s="57"/>
      <c r="P1178" s="57"/>
      <c r="AO1178" s="57"/>
      <c r="A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>
      <c r="O1179" s="57"/>
      <c r="P1179" s="57"/>
      <c r="A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>
      <c r="O1181" s="57"/>
      <c r="P1181" s="57"/>
      <c r="AO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>
      <c r="O1182" s="57"/>
      <c r="P1182" s="57"/>
      <c r="AO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>
      <c r="O1183" s="57"/>
      <c r="P1183" s="57"/>
      <c r="A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O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A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A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AO1190" s="57"/>
      <c r="A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O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O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AO1195" s="57"/>
      <c r="A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O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O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A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A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A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A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O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A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O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O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O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AO1235" s="57"/>
      <c r="A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O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AO1238" s="57"/>
      <c r="A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AO1239" s="57"/>
      <c r="A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AO1240" s="57"/>
      <c r="A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O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O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O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O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O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A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A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A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AO1265" s="57"/>
      <c r="A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O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O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A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O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O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AO1274" s="57"/>
      <c r="A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O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O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O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AO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O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O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AO1288" s="57"/>
      <c r="A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O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AO1292" s="57"/>
      <c r="A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AO1293" s="57"/>
      <c r="A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O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AO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O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O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O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AO1306" s="57"/>
      <c r="A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O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O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O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O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O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AO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A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O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O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O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O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A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O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O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AO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O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O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O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O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AO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A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A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A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O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O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O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O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O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O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O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O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O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AO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AO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O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O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O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O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O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O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O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O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O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O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O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O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O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O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O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O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AO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AO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O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O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O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O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A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AO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O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O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O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A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O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O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AO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O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O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AO1475" s="57"/>
      <c r="A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O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O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A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A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AO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A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O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O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A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AO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AO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O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O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AO1529" s="57"/>
      <c r="A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O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AO1539" s="57"/>
      <c r="A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AO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O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O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O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O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O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AO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O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O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O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O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O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O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AO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O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AO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O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A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O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O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O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O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O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O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O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A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O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O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O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O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AO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AO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O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AO1629" s="57"/>
      <c r="A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O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O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O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O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O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O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O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AO1657" s="57"/>
      <c r="A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O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O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O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O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AO1664" s="57"/>
      <c r="A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O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O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O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O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O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O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O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O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O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O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O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O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O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O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O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O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O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A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A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O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O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O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O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O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O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O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O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O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O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A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O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O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O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O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O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O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O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O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O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O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O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O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O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O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O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O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O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O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O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O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O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O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O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O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O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O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O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O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O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O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O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O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O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O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O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O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O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O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O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O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O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O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O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AO1987" s="57"/>
      <c r="A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O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O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O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O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O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O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O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A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O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O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O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O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O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O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O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O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O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O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O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O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O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O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O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O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O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O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O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O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O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O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O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O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O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O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O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O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O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O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O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O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O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O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O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O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O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O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O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O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O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A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O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O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O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O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O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O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O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O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O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O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O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O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O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A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O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O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O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AO2219" s="57"/>
      <c r="A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O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O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O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O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O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O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M2243" s="58"/>
      <c r="BA2243" s="57"/>
      <c r="BB2243" s="58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O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A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O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O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O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O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O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A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A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O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A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O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O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O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M2303" s="58"/>
      <c r="BA2303" s="57"/>
      <c r="BB2303" s="58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O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O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O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O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O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O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O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O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O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O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O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O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M2347" s="58"/>
      <c r="BA2347" s="57"/>
      <c r="BB2347" s="58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O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O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M2351" s="58"/>
      <c r="BA2351" s="57"/>
      <c r="BB2351" s="58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O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O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O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O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O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O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O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2026-10-05T02:32:24Z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
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5975415-09B3-4FE3-A33A-1613D30F4634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45" r:id="rId13"/>
    <pivotCache cacheId="51" r:id="rId14"/>
  </pivotCaches>
</workbook>
</file>

<file path=xl/calcChain.xml><?xml version="1.0" encoding="utf-8"?>
<calcChain xmlns="http://schemas.openxmlformats.org/spreadsheetml/2006/main">
  <c r="C1" i="15" l="1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19" i="8"/>
  <c r="G6" i="8"/>
  <c r="G7" i="8"/>
  <c r="G8" i="8"/>
  <c r="G9" i="8"/>
  <c r="G10" i="8"/>
  <c r="G5" i="8"/>
  <c r="C2" i="15"/>
  <c r="C2" i="17" s="1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G206" i="7" s="1"/>
  <c r="BH206" i="7" s="1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S59" i="15" s="1"/>
  <c r="G50" i="8"/>
  <c r="S63" i="15" s="1"/>
  <c r="G49" i="8"/>
  <c r="S61" i="15" s="1"/>
  <c r="G48" i="8"/>
  <c r="S58" i="15" s="1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S65" i="15" l="1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<sst xmlns="http://schemas.openxmlformats.org/spreadsheetml/2006/main" count="7068" uniqueCount="1529">
  <si>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</si>
  <si>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</si>
  <si>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</si>
  <si>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</si>
  <si>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</si>
  <si>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</si>
  <si>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</si>
  <si>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</si>
  <si>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</si>
  <si>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</si>
  <si>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</si>
  <si>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</si>
  <si>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</si>
  <si>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</si>
  <si>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</si>
  <si>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</si>
  <si>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</si>
  <si>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</si>
  <si>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</si>
  <si>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</si>
  <si>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</si>
  <si>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</si>
  <si>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</si>
  <si>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</si>
  <si>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</si>
  <si>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</si>
  <si>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</si>
  <si>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</si>
  <si>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</si>
  <si>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</si>
  <si>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</si>
  <si>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</si>
  <si>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</si>
  <si>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</si>
  <si>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</si>
  <si>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</si>
  <si>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</si>
  <si>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</si>
  <si>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</si>
  <si>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</si>
  <si>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</si>
  <si>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</si>
  <si>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</si>
  <si>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</si>
  <si>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</si>
  <si>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</si>
  <si>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</si>
  <si>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</si>
  <si>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</si>
  <si>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</si>
  <si>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</si>
  <si>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</si>
  <si>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</si>
  <si>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</si>
  <si>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</si>
  <si>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</si>
  <si>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</si>
  <si>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</si>
  <si>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</si>
  <si>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</si>
  <si>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</si>
  <si>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</si>
  <si>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</si>
  <si>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</si>
  <si>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</si>
  <si>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</si>
  <si>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</si>
  <si>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</si>
  <si>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</si>
  <si>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</si>
  <si>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</si>
  <si>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</si>
  <si>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</si>
  <si>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</si>
  <si>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</si>
  <si>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</si>
  <si>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</si>
  <si>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</si>
  <si>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</si>
  <si>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</si>
  <si>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</si>
  <si>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</si>
  <si>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</si>
  <si>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</si>
  <si>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</si>
  <si>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</si>
  <si>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</si>
  <si>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</si>
  <si>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</si>
  <si>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</si>
  <si>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</si>
  <si>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</si>
  <si>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</si>
  <si>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</si>
  <si>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</si>
  <si>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</si>
  <si>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</si>
  <si>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</si>
  <si>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</si>
  <si>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</si>
  <si>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</si>
  <si>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</si>
  <si>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</si>
  <si>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</si>
  <si>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</si>
  <si>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</si>
  <si>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</si>
  <si>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</si>
  <si>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</si>
  <si>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</si>
  <si>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</si>
  <si>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</si>
  <si>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</si>
  <si>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</si>
  <si>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</si>
  <si>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</si>
  <si>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</si>
  <si>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</si>
  <si>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</si>
  <si>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</si>
  <si>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</si>
  <si>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</si>
  <si>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</si>
  <si>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</si>
  <si>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</si>
  <si>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</si>
  <si>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</si>
  <si>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</si>
  <si>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</si>
  <si>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</si>
  <si>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</si>
  <si>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</si>
  <si>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</si>
  <si>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</si>
  <si>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</si>
  <si>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</si>
  <si>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</si>
  <si>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</si>
  <si>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</si>
  <si>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</si>
  <si>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</si>
  <si>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</si>
  <si>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</si>
  <si>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</si>
  <si>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</si>
  <si>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</si>
  <si>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</si>
  <si>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</si>
  <si>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</si>
  <si>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</si>
  <si>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</si>
  <si>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</si>
  <si>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</si>
  <si>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</si>
  <si>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</si>
  <si>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</si>
  <si>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</si>
  <si>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</si>
  <si>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</si>
  <si>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</si>
  <si>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</si>
  <si>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</si>
  <si>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</si>
  <si>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</si>
  <si>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</si>
  <si>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</si>
  <si>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</si>
  <si>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</si>
  <si>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</si>
  <si>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</si>
  <si>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</si>
  <si>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</si>
  <si>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</si>
  <si>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</si>
  <si>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</si>
  <si>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</si>
  <si>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</si>
  <si>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</si>
  <si>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</si>
  <si>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</si>
  <si>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</si>
  <si>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</si>
  <si>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</si>
  <si>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</si>
  <si>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</si>
  <si>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</si>
  <si>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</si>
  <si>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</si>
  <si>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</si>
  <si>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</si>
  <si>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</si>
  <si>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</si>
  <si>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</si>
  <si>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</si>
  <si>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</si>
  <si>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</si>
  <si>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</si>
  <si>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</si>
  <si>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</si>
  <si>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</si>
  <si>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</si>
  <si>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</si>
  <si>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</si>
  <si>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</si>
  <si>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</si>
  <si>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</si>
  <si>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</si>
  <si>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</si>
  <si>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</si>
  <si>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</si>
  <si>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</si>
  <si>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</si>
  <si>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</si>
  <si>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</si>
  <si>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</si>
  <si>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</si>
  <si>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</si>
  <si>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</si>
  <si>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</si>
  <si>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</si>
  <si>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</si>
  <si>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</si>
  <si>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</si>
  <si>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</si>
  <si>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</si>
  <si>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</si>
  <si>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</si>
  <si>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</si>
  <si>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</si>
  <si>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</si>
  <si>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</si>
  <si>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</si>
  <si>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</si>
  <si>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</si>
  <si>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</si>
  <si>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</si>
  <si>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</si>
  <si>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</si>
  <si>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</si>
  <si>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</si>
  <si>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</si>
  <si>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</si>
  <si>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</si>
  <si>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</si>
  <si>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</si>
  <si>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</si>
  <si>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</si>
  <si>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</si>
  <si>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</si>
  <si>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</si>
  <si>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</si>
  <si>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</si>
  <si>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</si>
  <si>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</si>
  <si>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</si>
  <si>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</si>
  <si>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</si>
  <si>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</si>
  <si>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</si>
  <si>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</si>
  <si>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</si>
  <si>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</si>
  <si>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</si>
  <si>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</si>
  <si>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</si>
  <si>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</si>
  <si>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</si>
  <si>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</si>
  <si>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</si>
  <si>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</si>
  <si>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</si>
  <si>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</si>
  <si>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</si>
  <si>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</si>
  <si>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</si>
  <si>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</si>
  <si>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</si>
  <si>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</si>
  <si>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</si>
  <si>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</si>
  <si>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</si>
  <si>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</si>
  <si>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</si>
  <si>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</si>
  <si>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</si>
  <si>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</si>
  <si>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</si>
  <si>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</si>
  <si>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</si>
  <si>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</si>
  <si>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</si>
  <si>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</si>
  <si>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</si>
  <si>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</si>
  <si>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</si>
  <si>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</si>
  <si>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</si>
  <si>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</si>
  <si>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</si>
  <si>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</si>
  <si>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</si>
  <si>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</si>
  <si>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</si>
  <si>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</si>
  <si>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</si>
  <si>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</si>
  <si>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</si>
  <si>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</si>
  <si>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</si>
  <si>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</si>
  <si>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</si>
  <si>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</si>
  <si>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</si>
  <si>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</si>
  <si>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</si>
  <si>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</si>
  <si>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</si>
  <si>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</si>
  <si>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</si>
  <si>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</si>
  <si>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</si>
  <si>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</si>
  <si>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</si>
  <si>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</si>
  <si>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</si>
  <si>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</si>
  <si>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</si>
  <si>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</si>
  <si>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</si>
  <si>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</si>
  <si>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</si>
  <si>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</si>
  <si>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</si>
  <si>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</si>
  <si>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</si>
  <si>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</si>
  <si>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</si>
  <si>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</si>
  <si>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</si>
  <si>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</si>
  <si>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</si>
  <si>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</si>
  <si>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</si>
  <si>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</si>
  <si>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</si>
  <si>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</si>
  <si>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</si>
  <si>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</si>
  <si>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</si>
  <si>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</si>
  <si>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</si>
  <si>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</si>
  <si>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</si>
  <si>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</si>
  <si>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</si>
  <si>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</si>
  <si>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</si>
  <si>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</si>
  <si>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</si>
  <si>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</si>
  <si>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</si>
  <si>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</si>
  <si>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</si>
  <si>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</si>
  <si>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</si>
  <si>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</si>
  <si>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</si>
  <si>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</si>
  <si>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</si>
  <si>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</si>
  <si>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</si>
  <si>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</si>
  <si>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</si>
  <si>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</si>
  <si>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</si>
  <si>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</si>
  <si>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</si>
  <si>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</si>
  <si>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</si>
  <si>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</si>
  <si>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</si>
  <si>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</si>
  <si>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</si>
  <si>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</si>
  <si>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</si>
  <si>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</si>
  <si>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</si>
  <si>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</si>
  <si>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</si>
  <si>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</si>
  <si>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</si>
  <si>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</si>
  <si>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</si>
  <si>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</si>
  <si>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</si>
  <si>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</si>
  <si>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</si>
  <si>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</si>
  <si>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</si>
  <si>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</si>
  <si>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</si>
  <si>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</si>
  <si>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</si>
  <si>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</si>
  <si>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</si>
  <si>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</si>
  <si>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</si>
  <si>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</si>
  <si>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</si>
  <si>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</si>
  <si>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</si>
  <si>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</si>
  <si>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</si>
  <si>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</si>
  <si>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</si>
  <si>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</si>
  <si>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</si>
  <si>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</si>
  <si>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</si>
  <si>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</si>
  <si>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</si>
  <si>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</si>
  <si>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</si>
  <si>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</si>
  <si>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</si>
  <si>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</si>
  <si>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</si>
  <si>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</si>
  <si>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</si>
  <si>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</si>
  <si>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</si>
  <si>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</si>
  <si>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</si>
  <si>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</si>
  <si>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</si>
  <si>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</si>
  <si>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</si>
  <si>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</si>
  <si>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</si>
  <si>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</si>
  <si>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</si>
  <si>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</si>
  <si>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</si>
  <si>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</si>
  <si>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</si>
  <si>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</si>
  <si>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</si>
  <si>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</si>
  <si>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</si>
  <si>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</si>
  <si>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</si>
  <si>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</si>
  <si>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</si>
  <si>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</si>
  <si>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</si>
  <si>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</si>
  <si>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</si>
  <si>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</si>
  <si>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</si>
  <si>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</si>
  <si>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</si>
  <si>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</si>
  <si>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</si>
  <si>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</si>
  <si>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</si>
  <si>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</si>
  <si>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</si>
  <si>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</si>
  <si>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</si>
  <si>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</si>
  <si>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</si>
  <si>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</si>
  <si>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</si>
  <si>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</si>
  <si>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</si>
  <si>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</si>
  <si>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</si>
  <si>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</si>
  <si>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</si>
  <si>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</si>
  <si>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</si>
  <si>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</si>
  <si>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</si>
  <si>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</si>
  <si>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</si>
  <si>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</si>
  <si>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</si>
  <si>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</si>
  <si>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</si>
  <si>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</si>
  <si>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</si>
  <si>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</si>
  <si>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</si>
  <si>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</si>
  <si>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</si>
  <si>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</si>
  <si>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</si>
  <si>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</si>
  <si>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</si>
  <si>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</si>
  <si>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</si>
  <si>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</si>
  <si>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</si>
  <si>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</si>
  <si>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</si>
  <si>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</si>
  <si>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</si>
  <si>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</si>
  <si>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</si>
  <si>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</si>
  <si>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</si>
  <si>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</si>
  <si>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</si>
  <si>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</si>
  <si>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</si>
  <si>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</si>
  <si>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</si>
  <si>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</si>
  <si>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</si>
  <si>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</si>
  <si>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</si>
  <si>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</si>
  <si>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</si>
  <si>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</si>
  <si>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</si>
  <si>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</si>
  <si>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</si>
  <si>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</si>
  <si>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</si>
  <si>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</si>
  <si>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</si>
  <si>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</si>
  <si>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</si>
  <si>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</si>
  <si>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</si>
  <si>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</si>
  <si>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</si>
  <si>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</si>
  <si>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</si>
  <si>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</si>
  <si>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</si>
  <si>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</si>
  <si>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</si>
  <si>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</si>
  <si>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</si>
  <si>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</si>
  <si>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</si>
  <si>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</si>
  <si>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</si>
  <si>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</si>
  <si>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</si>
  <si>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</si>
  <si>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</si>
  <si>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</si>
  <si>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</si>
  <si>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</si>
  <si>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</si>
  <si>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</si>
  <si>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</si>
  <si>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</si>
  <si>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</si>
  <si>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</si>
  <si>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</si>
  <si>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</si>
  <si>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</si>
  <si>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</si>
  <si>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</si>
  <si>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</si>
  <si>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</si>
  <si>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</si>
  <si>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</si>
  <si>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</si>
  <si>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</si>
  <si>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</si>
  <si>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</si>
  <si>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</si>
  <si>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</si>
  <si>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</si>
  <si>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</si>
  <si>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</si>
  <si>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</si>
  <si>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</si>
  <si>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</si>
  <si>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</si>
  <si>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</si>
  <si>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</si>
  <si>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</si>
  <si>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</si>
  <si>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</si>
  <si>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</si>
  <si>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</si>
  <si>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</si>
  <si>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</si>
  <si>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</si>
  <si>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</si>
  <si>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</si>
  <si>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</si>
  <si>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</si>
  <si>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</si>
  <si>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</si>
  <si>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</si>
  <si>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</si>
  <si>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</si>
  <si>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</si>
  <si>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</si>
  <si>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</si>
  <si>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</si>
  <si>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</si>
  <si>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</si>
  <si>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</si>
  <si>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</si>
  <si>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</si>
  <si>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</si>
  <si>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</si>
  <si>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</si>
  <si>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</si>
  <si>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</si>
  <si>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</si>
  <si>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</si>
  <si>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</si>
  <si>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</si>
  <si>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</si>
  <si>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</si>
  <si>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</si>
  <si>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</si>
  <si>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</si>
  <si>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</si>
  <si>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</si>
  <si>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</si>
  <si>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</si>
  <si>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</si>
  <si>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</si>
  <si>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</si>
  <si>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</si>
  <si>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</si>
  <si>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</si>
  <si>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</si>
  <si>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</si>
  <si>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</si>
  <si>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</si>
  <si>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</si>
  <si>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</si>
  <si>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</si>
  <si>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</si>
  <si>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</si>
  <si>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</si>
  <si>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</si>
  <si>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</si>
  <si>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</si>
  <si>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</si>
  <si>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</si>
  <si>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</si>
  <si>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</si>
  <si>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</si>
  <si>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</si>
  <si>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</si>
  <si>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</si>
  <si>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</si>
  <si>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</si>
  <si>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</si>
  <si>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</si>
  <si>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</si>
  <si>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</si>
  <si>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</si>
  <si>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</si>
  <si>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</si>
  <si>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</si>
  <si>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</si>
  <si>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</si>
  <si>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</si>
  <si>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</si>
  <si>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</si>
  <si>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</si>
  <si>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</si>
  <si>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</si>
  <si>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</si>
  <si>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</si>
  <si>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</si>
  <si>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</si>
  <si>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</si>
  <si>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</si>
  <si>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</si>
  <si>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</si>
  <si>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</si>
  <si>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</si>
  <si>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</si>
  <si>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</si>
  <si>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</si>
  <si>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</si>
  <si>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</si>
  <si>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</si>
  <si>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</si>
  <si>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</si>
  <si>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</si>
  <si>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</si>
  <si>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</si>
  <si>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</si>
  <si>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</si>
  <si>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</si>
  <si>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</si>
  <si>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</si>
  <si>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</si>
  <si>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</si>
  <si>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</si>
  <si>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</si>
  <si>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</si>
  <si>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</si>
  <si>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</si>
  <si>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</si>
  <si>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</si>
  <si>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</si>
  <si>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</si>
  <si>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</si>
  <si>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</si>
  <si>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</si>
  <si>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</si>
  <si>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</si>
  <si>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</si>
  <si>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</si>
  <si>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</si>
  <si>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</si>
  <si>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</si>
  <si>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</si>
  <si>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</si>
  <si>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</si>
  <si>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</si>
  <si>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</si>
  <si>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</si>
  <si>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</si>
  <si>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</si>
  <si>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</si>
  <si>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</si>
  <si>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</si>
  <si>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</si>
  <si>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</si>
  <si>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</si>
  <si>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</si>
  <si>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</si>
  <si>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</si>
  <si>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</si>
  <si>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</si>
  <si>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</si>
  <si>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</si>
  <si>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</si>
  <si>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</si>
  <si>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</si>
  <si>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</si>
  <si>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</si>
  <si>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</si>
  <si>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</si>
  <si>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</si>
  <si>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</si>
  <si>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</si>
  <si>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</si>
  <si>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</si>
  <si>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</si>
  <si>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</si>
  <si>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</si>
  <si>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</si>
  <si>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</si>
  <si>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</si>
  <si>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</si>
  <si>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</si>
  <si>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</si>
  <si>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</si>
  <si>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</si>
  <si>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</si>
  <si>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</si>
  <si>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</si>
  <si>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</si>
  <si>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</si>
  <si>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</si>
  <si>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</si>
  <si>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</si>
  <si>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</si>
  <si>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</si>
  <si>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</si>
  <si>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</si>
  <si>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</si>
  <si>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</si>
  <si>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</si>
  <si>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</si>
  <si>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</si>
  <si>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</si>
  <si>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</si>
  <si>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</si>
  <si>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</si>
  <si>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</si>
  <si>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</si>
  <si>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</si>
  <si>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</si>
  <si>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</si>
  <si>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</si>
  <si>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</si>
  <si>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</si>
  <si>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</si>
  <si>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</si>
  <si>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</si>
  <si>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</si>
  <si>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</si>
  <si>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</si>
  <si>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</si>
  <si>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</si>
  <si>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</si>
  <si>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</si>
  <si>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</si>
  <si>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</si>
  <si>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</si>
  <si>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</si>
  <si>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</si>
  <si>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</si>
  <si>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</si>
  <si>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</si>
  <si>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</si>
  <si>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</si>
  <si>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</si>
  <si>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</si>
  <si>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</si>
  <si>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</si>
  <si>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</si>
  <si>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</si>
  <si>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</si>
  <si>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</si>
  <si>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</si>
  <si>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</si>
  <si>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</si>
  <si>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</si>
  <si>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</si>
  <si>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</si>
  <si>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</si>
  <si>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</si>
  <si>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</si>
  <si>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</si>
  <si>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</si>
  <si>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</si>
  <si>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</si>
  <si>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</si>
  <si>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</si>
  <si>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</si>
  <si>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</si>
  <si>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</si>
  <si>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</si>
  <si>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FCC - HD1A - INPROGRESS FOLLOW UP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</si>
  <si>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</si>
  <si>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</si>
  <si>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</si>
  <si>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</si>
  <si>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</si>
  <si>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</si>
  <si>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</si>
  <si>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</si>
  <si>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</si>
  <si>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</si>
  <si>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</si>
  <si>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</si>
  <si>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</si>
  <si>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</si>
  <si>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</si>
  <si>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</si>
  <si>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</si>
  <si>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</si>
  <si>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</si>
  <si>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</si>
  <si>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</si>
  <si>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UNCONTACTED : Mail Box - Memo HANIF NUROHMAN 40981182|MYDITA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</si>
  <si>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</si>
  <si>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</si>
  <si>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</si>
  <si>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</si>
  <si>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</si>
  <si>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</si>
  <si>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</si>
  <si>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</si>
  <si>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</si>
  <si>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</si>
  <si>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</si>
  <si>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</si>
  <si>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</si>
  <si>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</si>
  <si>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</si>
  <si>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</si>
  <si>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</si>
  <si>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</si>
  <si>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</si>
  <si>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</si>
  <si>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</si>
  <si>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</si>
  <si>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</si>
  <si>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</si>
  <si>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</si>
  <si>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</si>
  <si>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</si>
  <si>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</si>
  <si>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</si>
  <si>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</si>
  <si>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</si>
  <si>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</si>
  <si>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</si>
  <si>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</si>
  <si>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</si>
  <si>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</si>
  <si>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</si>
  <si>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</si>
  <si>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</si>
  <si>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</si>
  <si>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</si>
  <si>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</si>
  <si>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</si>
  <si>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</si>
  <si>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</si>
  <si>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</si>
  <si>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</si>
  <si>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</si>
  <si>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</si>
  <si>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</si>
  <si>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</si>
  <si>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</si>
  <si>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</si>
  <si>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</si>
  <si>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</si>
  <si>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</si>
  <si>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</si>
  <si>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</si>
  <si>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</si>
  <si>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</si>
  <si>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</si>
  <si>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</si>
  <si>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</si>
  <si>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</si>
  <si>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</si>
  <si>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</si>
  <si>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</si>
  <si>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</si>
  <si>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</si>
  <si>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</si>
  <si>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</si>
  <si>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</si>
  <si>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</si>
  <si>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</si>
  <si>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</si>
  <si>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</si>
  <si>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</si>
  <si>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</si>
  <si>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</si>
  <si>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</si>
  <si>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</si>
  <si>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2026-08-30 13:00:00 | Nama PIC : bapak burhanudin No HP : 081703686151 Alt :  M Janji : (minggu/30/AGUSTUS/2026) jam Pasang : 09:00 Note : hubungi pelanggan jika ingin kelokasi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</si>
  <si>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</si>
  <si>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</si>
  <si>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</si>
  <si>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</si>
  <si>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</si>
  <si>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</si>
  <si>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</si>
  <si>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</si>
  <si>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</si>
  <si>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</si>
  <si>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</si>
  <si>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</si>
  <si>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</si>
  <si>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</si>
  <si>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</si>
  <si>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</si>
  <si>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</si>
  <si>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</si>
  <si>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</si>
  <si>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</si>
  <si>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ODP-SGG-FAL/33 FAL/D07/33.01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</si>
  <si>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</si>
  <si>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</si>
  <si>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</si>
  <si>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</si>
  <si>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</si>
  <si>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</si>
  <si>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</si>
  <si>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</si>
  <si>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</si>
  <si>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</si>
  <si>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</si>
  <si>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</si>
  <si>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</si>
  <si>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</si>
  <si>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</si>
  <si>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</si>
  <si>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</si>
  <si>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</si>
  <si>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</si>
  <si>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</si>
  <si>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</si>
  <si>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</si>
  <si>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</si>
  <si>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</si>
  <si>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</si>
  <si>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</si>
  <si>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</si>
  <si>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</si>
  <si>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</si>
  <si>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</si>
  <si>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</si>
  <si>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</si>
  <si>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</si>
  <si>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</si>
  <si>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</si>
  <si>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</si>
  <si>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</si>
  <si>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</si>
  <si>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</si>
  <si>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</si>
  <si>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</si>
  <si>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</si>
  <si>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</si>
  <si>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</si>
  <si>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</si>
  <si>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</si>
  <si>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</si>
  <si>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</si>
  <si>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</si>
  <si>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</si>
  <si>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</si>
  <si>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</si>
  <si>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</si>
  <si>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</si>
  <si>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</si>
  <si>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</si>
  <si>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</si>
  <si>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</si>
  <si>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</si>
  <si>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</si>
  <si>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ODP-BJR-FAE/013 FAE/D03/013.01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</si>
  <si>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</si>
  <si>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</si>
  <si>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</si>
  <si>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</si>
  <si>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</si>
  <si>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</si>
  <si>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</si>
  <si>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</si>
  <si>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</si>
  <si>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</si>
  <si>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</si>
  <si>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</si>
  <si>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</si>
  <si>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</si>
  <si>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</si>
  <si>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</si>
  <si>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</si>
  <si>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</si>
  <si>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</si>
  <si>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</si>
  <si>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</si>
  <si>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UNCONTACTED : Telepon Tidak Diangkat - RNA NENG PUTRI MEILINDA PERMATASARI 40981184|MYDITA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</si>
  <si>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</si>
  <si>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</si>
  <si>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</si>
  <si>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</si>
  <si>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</si>
  <si>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FOLLOW UP : Follow Up NENG PUTRI MEILINDA PERMATASARI 40981184|MYDITA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</si>
  <si>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</si>
  <si>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</si>
  <si>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</si>
  <si>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</si>
  <si>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</si>
  <si>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</si>
  <si>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</si>
  <si>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</si>
  <si>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</si>
  <si>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</si>
  <si>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</si>
  <si>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</si>
  <si>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</si>
  <si>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</si>
  <si>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</si>
  <si>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</si>
  <si>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ODP-BJR-FAA/012 FAA/D02/012.01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</si>
  <si>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</si>
  <si>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</si>
  <si>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</si>
  <si>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</si>
  <si>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</si>
  <si>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</si>
  <si>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</si>
  <si>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</si>
  <si>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</si>
  <si>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</si>
  <si>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</si>
  <si>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</si>
  <si>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</si>
  <si>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</si>
  <si>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</si>
  <si>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</si>
  <si>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</si>
  <si>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</si>
  <si>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</si>
  <si>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</si>
  <si>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</si>
  <si>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</si>
  <si>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</si>
  <si>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</si>
  <si>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</si>
  <si>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</si>
  <si>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</si>
  <si>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</si>
  <si>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</si>
  <si>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</si>
  <si>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</si>
  <si>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</si>
  <si>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</si>
  <si>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</si>
  <si>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</si>
  <si>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</si>
  <si>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</si>
  <si>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</si>
  <si>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</si>
  <si>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</si>
  <si>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</si>
  <si>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</si>
  <si>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</si>
  <si>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</si>
  <si>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</si>
  <si>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</si>
  <si>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</si>
  <si>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</si>
  <si>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</si>
  <si>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</si>
  <si>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</si>
  <si>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</si>
  <si>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</si>
  <si>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</si>
  <si>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</si>
  <si>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</si>
  <si>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</si>
  <si>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</si>
  <si>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</si>
  <si>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</si>
  <si>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</si>
  <si>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</si>
  <si>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</si>
  <si>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</si>
  <si>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</si>
  <si>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</si>
  <si>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</si>
  <si>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</si>
  <si>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</si>
  <si>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</si>
  <si>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</si>
  <si>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</si>
  <si>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</si>
  <si>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</si>
  <si>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</si>
  <si>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</si>
  <si>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</si>
  <si>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</si>
  <si>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</si>
  <si>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</si>
  <si>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</si>
  <si>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</si>
  <si>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</si>
  <si>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</si>
  <si>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</si>
  <si>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</si>
  <si>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</si>
  <si>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</si>
  <si>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</si>
  <si>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</si>
  <si>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</si>
  <si>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</si>
  <si>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</si>
  <si>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</si>
  <si>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</si>
  <si>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</si>
  <si>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</si>
  <si>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</si>
  <si>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</si>
  <si>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</si>
  <si>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</si>
  <si>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</si>
  <si>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</si>
  <si>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</si>
  <si>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ODP-SWE-FAL/51 FAL/D05/51.01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</si>
  <si>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</si>
  <si>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</si>
  <si>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</si>
  <si>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</si>
  <si>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</si>
  <si>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</si>
  <si>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</si>
  <si>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</si>
  <si>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</si>
  <si>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</si>
  <si>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</si>
  <si>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</si>
  <si>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</si>
  <si>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</si>
  <si>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</si>
  <si>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</si>
  <si>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</si>
  <si>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</si>
  <si>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</si>
  <si>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</si>
  <si>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</si>
  <si>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</si>
  <si>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</si>
  <si>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</si>
  <si>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</si>
  <si>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</si>
  <si>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</si>
  <si>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</si>
  <si>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</si>
  <si>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</si>
  <si>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</si>
  <si>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</si>
  <si>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</si>
  <si>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</si>
  <si>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</si>
  <si>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</si>
  <si>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</si>
  <si>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</si>
  <si>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</si>
  <si>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</si>
  <si>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</si>
  <si>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</si>
  <si>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</si>
  <si>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</si>
  <si>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</si>
  <si>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</si>
  <si>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</si>
  <si>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</si>
  <si>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</si>
  <si>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</si>
  <si>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</si>
  <si>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</si>
  <si>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</si>
  <si>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</si>
  <si>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</si>
  <si>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</si>
  <si>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</si>
  <si>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ODP-PEC-FE/096 FE/D09/096.01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</si>
  <si>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</si>
  <si>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</si>
  <si>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</si>
  <si>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</si>
  <si>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</si>
  <si>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</si>
  <si>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</si>
  <si>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</si>
  <si>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</si>
  <si>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</si>
  <si>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</si>
  <si>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</si>
  <si>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</si>
  <si>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</si>
  <si>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</si>
  <si>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</si>
  <si>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</si>
  <si>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</si>
  <si>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</si>
  <si>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</si>
  <si>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</si>
  <si>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</si>
  <si>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</si>
  <si>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</si>
  <si>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</si>
  <si>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</si>
  <si>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</si>
  <si>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</si>
  <si>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</si>
  <si>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</si>
  <si>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</si>
  <si>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</si>
  <si>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ODP-KLP-FE/041 FE/D06/041.01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</si>
  <si>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</si>
  <si>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</si>
  <si>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</si>
  <si>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</si>
  <si>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</si>
  <si>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</si>
  <si>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</si>
  <si>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</si>
  <si>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</si>
  <si>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</si>
  <si>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</si>
  <si>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ODP-KEN-FBK/148 FBK/D08/148.01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</si>
  <si>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</si>
  <si>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</si>
  <si>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</si>
  <si>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</si>
  <si>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</si>
  <si>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</si>
  <si>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</si>
  <si>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</si>
  <si>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</si>
  <si>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</si>
  <si>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</si>
  <si>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</si>
  <si>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</si>
  <si>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</si>
  <si>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</si>
  <si>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</si>
  <si>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</si>
  <si>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</si>
  <si>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</si>
  <si>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</si>
  <si>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</si>
  <si>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ODP-BTL-FCK/031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</si>
  <si>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</si>
  <si>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</si>
  <si>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</si>
  <si>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</si>
  <si>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</si>
  <si>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</si>
  <si>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</si>
  <si>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</si>
  <si>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</si>
  <si>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</si>
  <si>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</si>
  <si>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</si>
  <si>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</si>
  <si>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</si>
  <si>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</si>
  <si>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</si>
  <si>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</si>
  <si>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</si>
  <si>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</si>
  <si>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</si>
  <si>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</si>
  <si>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</si>
  <si>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</si>
  <si>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</si>
  <si>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ODP-GER-FAP/41 FAP/D04/41.01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</si>
  <si>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</si>
  <si>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</si>
  <si>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</si>
  <si>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</si>
  <si>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</si>
  <si>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</si>
  <si>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</si>
  <si>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</si>
  <si>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</si>
  <si>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</si>
  <si>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</si>
  <si>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</si>
  <si>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</si>
  <si>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</si>
  <si>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</si>
  <si>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</si>
  <si>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</si>
  <si>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</si>
  <si>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</si>
  <si>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</si>
  <si>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</si>
  <si>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</si>
  <si>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</si>
  <si>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</si>
  <si>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</si>
  <si>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</si>
  <si>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</si>
  <si>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</si>
  <si>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</si>
  <si>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</si>
  <si>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</si>
  <si>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</si>
  <si>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</si>
  <si>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</si>
  <si>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</si>
  <si>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</si>
  <si>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QC MIA - SEND QUALITY CONTROL MIA</t>
  </si>
  <si>
    <t>ODP-KBU-FEH/10</t>
  </si>
  <si>
    <t>|MN00915|/Febri ambar wati/08137840545/Kagumacoffee@gmail.com</t>
  </si>
  <si>
    <t xml:space="preserve">QC MIA - INVALID QUALITY CONTROL MIA - Tidak Mengunggah Foto Lokasi Instalasi Tampak Depan Menyeluruh - blm upload dok usaha </t>
  </si>
  <si>
    <t>PR PATRIOT</t>
  </si>
  <si>
    <t>ODP-MSO-FU/011</t>
  </si>
  <si>
    <t>AMRBS/405613/FARISTA APRILLIA/R3/YOGYAKARTA/PSB HSI BISNIS 1S 300 MBPS PROMO HUT TELKOM 1:1/SRI WARSITI/081215553941/ warsitisiti148@gmail.com</t>
  </si>
  <si>
    <t>QC MIA - INVALID QUALITY CONTROL MIA - Tidak Mengunggah Foto Lokasi Instalasi Tampak Depan Menyeluruh - upload foto lokasi ba</t>
  </si>
  <si>
    <t>BASECAMP PENDAKIAN GUNUNG KELUD VIA KARANGREJO</t>
  </si>
  <si>
    <t>ODP-PAN-FA/21 FA/D05/21.01</t>
  </si>
  <si>
    <t>WO063230138</t>
  </si>
  <si>
    <t>MD|MYDB-20260831267646|DN00001/MN00419|BASECAMP PENDAKIAN GUNUNG KELUD VIA KARANGREJO|089510504714</t>
  </si>
  <si>
    <t>2026-09-02 08:00:00 | Nama PIC : Aristiono No HP : 089510504714 Alt :  M Janji : 02/09/2026 Jam Pasang : 08.00  - 13:00  NoteÃ‚Â :  hubungi terlebih dahulu sebelum ke lokasi, terima kasih.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</si>
  <si>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</si>
  <si>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</si>
  <si>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</si>
  <si>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</si>
  <si>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</si>
  <si>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</si>
  <si>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</si>
  <si>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</si>
  <si>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</si>
  <si>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</si>
  <si>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</si>
  <si>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</si>
  <si>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</si>
  <si>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</si>
  <si>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</si>
  <si>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</si>
  <si>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</si>
  <si>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</si>
  <si>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</si>
  <si>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</si>
  <si>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</si>
  <si>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</si>
  <si>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</si>
  <si>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</si>
  <si>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</si>
  <si>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</si>
  <si>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</si>
  <si>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</si>
  <si>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</si>
  <si>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</si>
  <si>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</si>
  <si>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</si>
  <si>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</si>
  <si>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</si>
  <si>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</si>
  <si>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</si>
  <si>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</si>
  <si>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</si>
  <si>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</si>
  <si>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</si>
  <si>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</si>
  <si>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</si>
  <si>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</si>
  <si>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</si>
  <si>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</si>
  <si>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</si>
  <si>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</si>
  <si>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</si>
  <si>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</si>
  <si>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</si>
  <si>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</si>
  <si>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</si>
  <si>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</si>
  <si>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</si>
  <si>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</si>
  <si>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</si>
  <si>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Inprogress Alpro, SC Lama : SC1002561177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</si>
  <si>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</si>
  <si>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</si>
  <si>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</si>
  <si>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</si>
  <si>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</si>
  <si>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</si>
  <si>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</si>
  <si>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</si>
  <si>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</si>
  <si>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</si>
  <si>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</si>
  <si>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</si>
  <si>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</si>
  <si>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</si>
  <si>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</si>
  <si>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</si>
  <si>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</si>
  <si>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</si>
  <si>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</si>
  <si>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</si>
  <si>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</si>
  <si>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</si>
  <si>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</si>
  <si>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</si>
  <si>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</si>
  <si>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</si>
  <si>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</si>
  <si>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</si>
  <si>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</si>
  <si>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</si>
  <si>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</si>
  <si>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</si>
  <si>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</si>
  <si>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</si>
  <si>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</si>
  <si>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</si>
  <si>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</si>
  <si>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</si>
  <si>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</si>
  <si>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</si>
  <si>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</si>
  <si>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</si>
  <si>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</si>
  <si>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</si>
  <si>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</si>
  <si>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</si>
  <si>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</si>
  <si>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</si>
  <si>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</si>
  <si>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</si>
  <si>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</si>
  <si>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</si>
  <si>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</si>
  <si>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</si>
  <si>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</si>
  <si>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</si>
  <si>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</si>
  <si>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</si>
  <si>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</si>
  <si>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</si>
  <si>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</si>
  <si>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</si>
  <si>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</si>
  <si>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</si>
  <si>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</si>
  <si>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</si>
  <si>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</si>
  <si>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</si>
  <si>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</si>
  <si>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</si>
  <si>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</si>
  <si>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</si>
  <si>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</si>
  <si>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</si>
  <si>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</si>
  <si>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</si>
  <si>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</si>
  <si>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</si>
  <si>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</si>
  <si>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</si>
  <si>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</si>
  <si>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</si>
  <si>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</si>
  <si>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</si>
  <si>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</si>
  <si>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</si>
  <si>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</si>
  <si>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</si>
  <si>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</si>
  <si>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</si>
  <si>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</si>
  <si>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</si>
  <si>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TGL_</t>
  </si>
  <si>
    <t>Last update proses : 02-09-2026 06:49:05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</si>
</sst>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1" fillId="3" borderId="0" xfId="0" applyFont="1" applyFill="1"/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0.5714285714285714</c:v>
                </c:pt>
                <c:pt idx="1">
                  <c:v>8.3333333333333329E-2</c:v>
                </c:pt>
                <c:pt idx="2">
                  <c:v>0.42857142857142855</c:v>
                </c:pt>
                <c:pt idx="3">
                  <c:v>6.25E-2</c:v>
                </c:pt>
                <c:pt idx="4">
                  <c:v>0.46666666666666667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</c:v>
                </c:pt>
                <c:pt idx="1">
                  <c:v>1</c:v>
                </c:pt>
                <c:pt idx="2">
                  <c:v>1</c:v>
                </c:pt>
                <c:pt idx="3">
                  <c:v>0.18181818181818182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41203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608796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e v="#N/A"/>
        <s v="MALANG"/>
        <s v="SELONG"/>
        <s v="GIANYAR"/>
        <s v="MADURA"/>
        <s v="KUPANG"/>
        <s v="MOJOKERTO"/>
        <s v="MATARAM"/>
        <s v="SUMBAWA"/>
        <s v="BIMA"/>
        <s v="JEMBER"/>
        <s v="BANYUWANGI"/>
        <s v="SIDOARJO"/>
        <s v="LABOAN BAJO"/>
        <s v="KEDIRI"/>
        <s v="BATU"/>
        <s v="SURABAYA SELATAN"/>
        <s v="NGANJUK"/>
        <s v="GRESIK"/>
        <s v="SANUR"/>
        <s v="BLITAR"/>
        <s v="KLUNGKUNG"/>
        <s v="JIMBARAN"/>
        <s v="SURABAYA UTARA"/>
        <m/>
        <s v="PROBOLINGGO" u="1"/>
        <s v="MADIUN" u="1"/>
        <s v="BOJONEGORO" u="1"/>
        <s v="PASURUAN" u="1"/>
        <s v="ATAMBUA" u="1"/>
        <s v="TABANAN" u="1"/>
        <s v="SINGARAJA" u="1"/>
        <s v="MAUMERE" u="1"/>
        <s v="UBUNG" u="1"/>
        <s v="WAINGAPU" u="1"/>
        <s v="ENDE" u="1"/>
        <s v="PONOROGO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"/>
    <n v="1002566538"/>
    <n v="3"/>
    <x v="1"/>
    <n v="4"/>
    <s v="YOGYAKARTA"/>
    <s v="INNER - YOGYA JATENG SELATAN"/>
    <s v="KEN"/>
    <s v="REG"/>
    <s v="AO"/>
    <x v="0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"/>
    <n v="1002566294"/>
    <n v="3"/>
    <x v="2"/>
    <n v="5"/>
    <s v="MALANG"/>
    <s v="KEPANJEN"/>
    <s v="BRG"/>
    <s v="REG"/>
    <s v="AO"/>
    <x v="0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"/>
    <n v="1002564602"/>
    <n v="3"/>
    <x v="3"/>
    <n v="5"/>
    <s v="MATARAM"/>
    <s v="LOMBOK BARAT TENGAH"/>
    <s v="PRY"/>
    <s v="REG"/>
    <s v="AO"/>
    <x v="0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5"/>
    <n v="1002565696"/>
    <n v="3"/>
    <x v="4"/>
    <n v="5"/>
    <s v="SINGARJA"/>
    <s v="GIANYAR"/>
    <s v="GIN"/>
    <s v="REG"/>
    <s v="AO"/>
    <x v="0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"/>
    <n v="1002564745"/>
    <n v="3"/>
    <x v="5"/>
    <n v="5"/>
    <s v="MADURA"/>
    <s v="BANGKALAN"/>
    <s v="SPG"/>
    <s v="REG"/>
    <s v="AO"/>
    <x v="0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"/>
    <n v="1002564593"/>
    <n v="3"/>
    <x v="3"/>
    <n v="5"/>
    <s v="MATARAM"/>
    <s v="LOMBOK BARAT TENGAH"/>
    <s v="PRY"/>
    <s v="REG"/>
    <s v="AO"/>
    <x v="0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</r>
  <r>
    <n v="8"/>
    <n v="1002566199"/>
    <n v="3"/>
    <x v="3"/>
    <n v="5"/>
    <s v="KUPANG"/>
    <s v="KUPANG"/>
    <s v="KPN"/>
    <s v="REG"/>
    <s v="AO"/>
    <x v="0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9"/>
    <n v="1002566014"/>
    <n v="3"/>
    <x v="6"/>
    <n v="4"/>
    <s v="SOLO"/>
    <s v="INNER - SOLO JATENG TIMUR"/>
    <s v="SOP"/>
    <s v="REG"/>
    <s v="AO"/>
    <x v="0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</r>
  <r>
    <n v="10"/>
    <n v="1002566337"/>
    <n v="3"/>
    <x v="7"/>
    <n v="5"/>
    <s v="SIDOARJO"/>
    <s v="JOMBANG"/>
    <s v="MOJ"/>
    <s v="REG"/>
    <s v="AO"/>
    <x v="0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11"/>
    <n v="1002566360"/>
    <n v="3"/>
    <x v="1"/>
    <n v="4"/>
    <s v="PURWOKERTO"/>
    <s v="BANJARNEGARA"/>
    <s v="BJR"/>
    <s v="REG"/>
    <s v="AO"/>
    <x v="0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</r>
  <r>
    <n v="12"/>
    <n v="1002564406"/>
    <n v="3"/>
    <x v="3"/>
    <n v="5"/>
    <s v="MATARAM"/>
    <s v="INNER - NUSA TENGGARA"/>
    <s v="MTR"/>
    <s v="REG"/>
    <s v="AO"/>
    <x v="0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</r>
  <r>
    <n v="13"/>
    <n v="1002564394"/>
    <n v="3"/>
    <x v="3"/>
    <n v="5"/>
    <s v="MATARAM"/>
    <s v="SUMBAWA"/>
    <s v="SBW"/>
    <s v="REG"/>
    <s v="AO"/>
    <x v="0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</r>
  <r>
    <n v="14"/>
    <n v="1002564794"/>
    <n v="3"/>
    <x v="3"/>
    <n v="5"/>
    <s v="MATARAM"/>
    <s v="BIMA"/>
    <s v="DMP"/>
    <s v="REG"/>
    <s v="AO"/>
    <x v="0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</r>
  <r>
    <n v="15"/>
    <n v="1002564858"/>
    <n v="3"/>
    <x v="3"/>
    <n v="5"/>
    <s v="MATARAM"/>
    <s v="SUMBAWA"/>
    <s v="ALA"/>
    <s v="REG"/>
    <s v="AO"/>
    <x v="0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16"/>
    <n v="1002564025"/>
    <n v="3"/>
    <x v="3"/>
    <n v="5"/>
    <s v="MATARAM"/>
    <s v="SUMBAWA"/>
    <s v="SBW"/>
    <s v="REG"/>
    <s v="AO"/>
    <x v="0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</r>
  <r>
    <n v="17"/>
    <n v="1002564783"/>
    <n v="3"/>
    <x v="3"/>
    <n v="5"/>
    <s v="MATARAM"/>
    <s v="LOMBOK TIMUR UTARA"/>
    <s v="SGG"/>
    <s v="REG"/>
    <s v="AO"/>
    <x v="0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</r>
  <r>
    <n v="18"/>
    <n v="1002565129"/>
    <n v="3"/>
    <x v="0"/>
    <n v="4"/>
    <s v="PEKALONGAN"/>
    <s v="BREBES"/>
    <s v="KTM"/>
    <s v="REG"/>
    <s v="AO"/>
    <x v="0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19"/>
    <n v="1002564592"/>
    <n v="3"/>
    <x v="7"/>
    <n v="5"/>
    <s v="SIDOARJO"/>
    <s v="JOMBANG"/>
    <s v="MOJ"/>
    <s v="REG"/>
    <s v="AO"/>
    <x v="0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</r>
  <r>
    <n v="20"/>
    <n v="1002565482"/>
    <n v="3"/>
    <x v="0"/>
    <n v="4"/>
    <s v="SEMARANG"/>
    <s v="INNER - SEMARANG JATENG UTARA"/>
    <s v="SSL"/>
    <s v="REG"/>
    <s v="AO"/>
    <x v="0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1"/>
    <n v="1002564818"/>
    <n v="3"/>
    <x v="1"/>
    <n v="4"/>
    <s v="MAGELANG"/>
    <s v="KEBUMEN"/>
    <s v="KBM"/>
    <s v="REG"/>
    <s v="AO"/>
    <x v="0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</r>
  <r>
    <n v="22"/>
    <n v="1002566468"/>
    <n v="3"/>
    <x v="7"/>
    <n v="5"/>
    <s v="JEMBER"/>
    <s v="JEMBER"/>
    <s v="JER"/>
    <s v="REG"/>
    <s v="AO"/>
    <x v="0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23"/>
    <n v="1002566497"/>
    <n v="3"/>
    <x v="3"/>
    <n v="5"/>
    <s v="KUPANG"/>
    <s v="KUPANG"/>
    <s v="BAA"/>
    <s v="REG"/>
    <s v="AO"/>
    <x v="0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4"/>
    <n v="1002566474"/>
    <n v="3"/>
    <x v="6"/>
    <n v="4"/>
    <s v="KUDUS"/>
    <s v="PURWODADI"/>
    <s v="GBU"/>
    <s v="REG"/>
    <s v="AO"/>
    <x v="0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5"/>
    <n v="1002566472"/>
    <n v="3"/>
    <x v="6"/>
    <n v="4"/>
    <s v="KUDUS"/>
    <s v="PURWODADI"/>
    <s v="GBU"/>
    <s v="REG"/>
    <s v="AO"/>
    <x v="0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</r>
  <r>
    <n v="26"/>
    <n v="1002565810"/>
    <n v="3"/>
    <x v="7"/>
    <n v="5"/>
    <s v="JEMBER"/>
    <s v="BANYUWANGI"/>
    <s v="WSO"/>
    <s v="REG"/>
    <s v="AO"/>
    <x v="0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</r>
  <r>
    <n v="27"/>
    <n v="1002565759"/>
    <n v="3"/>
    <x v="6"/>
    <n v="4"/>
    <s v="SOLO"/>
    <s v="INNER - SOLO JATENG TIMUR"/>
    <s v="GLD"/>
    <s v="REG"/>
    <s v="AO"/>
    <x v="0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</r>
  <r>
    <n v="28"/>
    <n v="1002565854"/>
    <n v="3"/>
    <x v="0"/>
    <n v="4"/>
    <s v="PEKALONGAN"/>
    <s v="SLAWI"/>
    <s v="BLU"/>
    <s v="REG"/>
    <s v="AO"/>
    <x v="0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</r>
  <r>
    <n v="29"/>
    <n v="1002565843"/>
    <n v="3"/>
    <x v="7"/>
    <n v="5"/>
    <s v="SIDOARJO"/>
    <s v="INNER - JATIM TIMUR"/>
    <s v="TUN"/>
    <s v="REG"/>
    <s v="AO"/>
    <x v="0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</r>
  <r>
    <n v="30"/>
    <n v="1002565201"/>
    <n v="3"/>
    <x v="6"/>
    <n v="4"/>
    <s v="KUDUS"/>
    <s v="PATI"/>
    <s v="PAT"/>
    <s v="REG"/>
    <s v="AO"/>
    <x v="0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</r>
  <r>
    <n v="31"/>
    <n v="1002565223"/>
    <n v="3"/>
    <x v="3"/>
    <n v="5"/>
    <s v="KUPANG"/>
    <s v="KUPANG"/>
    <s v="OSP"/>
    <s v="REG"/>
    <s v="AO"/>
    <x v="0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2"/>
    <n v="1002566046"/>
    <n v="3"/>
    <x v="3"/>
    <n v="5"/>
    <s v="KUPANG"/>
    <s v="LABOAN BAJO"/>
    <s v="RTE"/>
    <s v="REG"/>
    <s v="AO"/>
    <x v="0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33"/>
    <n v="1002564469"/>
    <n v="3"/>
    <x v="1"/>
    <n v="4"/>
    <s v="YOGYAKARTA"/>
    <s v="INNER - YOGYA JATENG SELATAN"/>
    <s v="BBS"/>
    <s v="REG"/>
    <s v="AO"/>
    <x v="0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</r>
  <r>
    <n v="34"/>
    <n v="1002564921"/>
    <n v="3"/>
    <x v="3"/>
    <n v="5"/>
    <s v="MATARAM"/>
    <s v="INNER - NUSA TENGGARA"/>
    <s v="SWE"/>
    <s v="REG"/>
    <s v="AO"/>
    <x v="0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</r>
  <r>
    <n v="35"/>
    <n v="1002564873"/>
    <n v="3"/>
    <x v="0"/>
    <n v="4"/>
    <s v="PEKALONGAN"/>
    <s v="BREBES"/>
    <s v="BKA"/>
    <s v="REG"/>
    <s v="AO"/>
    <x v="0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36"/>
    <n v="1002564872"/>
    <n v="3"/>
    <x v="3"/>
    <n v="5"/>
    <s v="MATARAM"/>
    <s v="SUMBAWA"/>
    <s v="SBW"/>
    <s v="REG"/>
    <s v="AO"/>
    <x v="0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</r>
  <r>
    <n v="37"/>
    <n v="1002564906"/>
    <n v="3"/>
    <x v="1"/>
    <n v="4"/>
    <s v="MAGELANG"/>
    <s v="TEMANGGUNG"/>
    <s v="TEM"/>
    <s v="REG"/>
    <s v="AO"/>
    <x v="0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</r>
  <r>
    <n v="38"/>
    <n v="1002564895"/>
    <n v="3"/>
    <x v="3"/>
    <n v="5"/>
    <s v="MATARAM"/>
    <s v="LOMBOK BARAT TENGAH"/>
    <s v="GER"/>
    <s v="REG"/>
    <s v="AO"/>
    <x v="0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</r>
  <r>
    <n v="39"/>
    <n v="1002564932"/>
    <n v="3"/>
    <x v="1"/>
    <n v="4"/>
    <s v="PURWOKERTO"/>
    <s v="CILACAP"/>
    <s v="CLC"/>
    <s v="REG"/>
    <s v="AO"/>
    <x v="0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</r>
  <r>
    <n v="40"/>
    <n v="1002564524"/>
    <n v="3"/>
    <x v="6"/>
    <n v="4"/>
    <s v="SOLO"/>
    <s v="INNER - SOLO JATENG TIMUR"/>
    <s v="KRT"/>
    <s v="REG"/>
    <s v="AO"/>
    <x v="0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41"/>
    <n v="1002566268"/>
    <n v="3"/>
    <x v="2"/>
    <n v="5"/>
    <s v="KEDIRI"/>
    <s v="KEDIRI"/>
    <s v="NDL"/>
    <s v="REG"/>
    <s v="AO"/>
    <x v="0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42"/>
    <n v="1002565310"/>
    <n v="3"/>
    <x v="3"/>
    <n v="5"/>
    <s v="MATARAM"/>
    <s v="SUMBAWA"/>
    <s v="TLW"/>
    <s v="REG"/>
    <s v="AO"/>
    <x v="0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43"/>
    <n v="1002566276"/>
    <n v="3"/>
    <x v="1"/>
    <n v="4"/>
    <s v="MAGELANG"/>
    <s v="MAGELANG"/>
    <s v="MGE"/>
    <s v="REG"/>
    <s v="AO"/>
    <x v="0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</r>
  <r>
    <n v="44"/>
    <n v="1002565406"/>
    <n v="3"/>
    <x v="2"/>
    <n v="5"/>
    <s v="MALANG"/>
    <s v="BATU"/>
    <s v="BTU"/>
    <s v="REG"/>
    <s v="AO"/>
    <x v="0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</r>
  <r>
    <n v="45"/>
    <n v="1002565062"/>
    <n v="3"/>
    <x v="3"/>
    <n v="5"/>
    <s v="MATARAM"/>
    <s v="LOMBOK TIMUR UTARA"/>
    <s v="SGG"/>
    <s v="REG"/>
    <s v="AO"/>
    <x v="0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</r>
  <r>
    <n v="46"/>
    <n v="1002566521"/>
    <n v="3"/>
    <x v="6"/>
    <n v="4"/>
    <s v="KUDUS"/>
    <s v="JEPARA"/>
    <s v="PEC"/>
    <s v="REG"/>
    <s v="AO"/>
    <x v="0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</r>
  <r>
    <n v="47"/>
    <n v="1002566519"/>
    <n v="3"/>
    <x v="7"/>
    <n v="5"/>
    <s v="SIDOARJO"/>
    <s v="INNER - JATIM TIMUR"/>
    <s v="KRN"/>
    <s v="REG"/>
    <s v="AO"/>
    <x v="0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48"/>
    <n v="1002566093"/>
    <n v="3"/>
    <x v="5"/>
    <n v="5"/>
    <s v="SBY UTARA"/>
    <s v="MANYAR"/>
    <s v="MGO"/>
    <s v="REG"/>
    <s v="AO"/>
    <x v="0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49"/>
    <n v="1002566030"/>
    <n v="3"/>
    <x v="2"/>
    <n v="5"/>
    <s v="MALANG"/>
    <s v="KEPANJEN"/>
    <s v="KLJ"/>
    <s v="REG"/>
    <s v="AO"/>
    <x v="0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50"/>
    <n v="1002565865"/>
    <n v="3"/>
    <x v="2"/>
    <n v="5"/>
    <s v="KEDIRI"/>
    <s v="KEDIRI"/>
    <s v="PPR"/>
    <s v="REG"/>
    <s v="AO"/>
    <x v="0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</r>
  <r>
    <n v="51"/>
    <n v="1002565915"/>
    <n v="3"/>
    <x v="3"/>
    <n v="5"/>
    <s v="KUPANG"/>
    <s v="KUPANG"/>
    <s v="KPN"/>
    <s v="REG"/>
    <s v="AO"/>
    <x v="0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</r>
  <r>
    <n v="52"/>
    <n v="1002565896"/>
    <n v="3"/>
    <x v="2"/>
    <n v="5"/>
    <s v="KEDIRI"/>
    <s v="NGANJUK"/>
    <s v="NJK"/>
    <s v="REG"/>
    <s v="AO"/>
    <x v="0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</r>
  <r>
    <n v="53"/>
    <n v="1002564644"/>
    <n v="3"/>
    <x v="1"/>
    <n v="4"/>
    <s v="PURWOKERTO"/>
    <s v="BANJARNEGARA"/>
    <s v="KLP"/>
    <s v="REG"/>
    <s v="AO"/>
    <x v="0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</r>
  <r>
    <n v="54"/>
    <n v="1002565046"/>
    <n v="3"/>
    <x v="0"/>
    <n v="4"/>
    <s v="SEMARANG"/>
    <s v="INNER - SEMARANG JATENG UTARA"/>
    <s v="JHR"/>
    <s v="REG"/>
    <s v="AO"/>
    <x v="0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</r>
  <r>
    <n v="55"/>
    <n v="1002565053"/>
    <n v="3"/>
    <x v="0"/>
    <n v="4"/>
    <s v="PEKALONGAN"/>
    <s v="BREBES"/>
    <s v="KTM"/>
    <s v="REG"/>
    <s v="AO"/>
    <x v="0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56"/>
    <n v="1002564711"/>
    <n v="3"/>
    <x v="1"/>
    <n v="4"/>
    <s v="YOGYAKARTA"/>
    <s v="INNER - YOGYA JATENG SELATAN"/>
    <s v="KEN"/>
    <s v="REG"/>
    <s v="AO"/>
    <x v="0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</r>
  <r>
    <n v="57"/>
    <n v="1002565535"/>
    <n v="3"/>
    <x v="6"/>
    <n v="4"/>
    <s v="KUDUS"/>
    <s v="PURWODADI"/>
    <s v="GDO"/>
    <s v="REG"/>
    <s v="AO"/>
    <x v="0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58"/>
    <n v="1002564963"/>
    <n v="3"/>
    <x v="7"/>
    <n v="5"/>
    <s v="SIDOARJO"/>
    <s v="JOMBANG"/>
    <s v="MOJ"/>
    <s v="REG"/>
    <s v="AO"/>
    <x v="0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</r>
  <r>
    <n v="59"/>
    <n v="1002564992"/>
    <n v="3"/>
    <x v="5"/>
    <n v="5"/>
    <s v="SBY UTARA"/>
    <s v="GRESIK"/>
    <s v="GSK"/>
    <s v="REG"/>
    <s v="AO"/>
    <x v="0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</r>
  <r>
    <n v="60"/>
    <n v="1002564991"/>
    <n v="3"/>
    <x v="3"/>
    <n v="5"/>
    <s v="MATARAM"/>
    <s v="BIMA"/>
    <s v="SAP"/>
    <s v="REG"/>
    <s v="AO"/>
    <x v="0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61"/>
    <n v="1002565015"/>
    <n v="3"/>
    <x v="1"/>
    <n v="4"/>
    <s v="YOGYAKARTA"/>
    <s v="BANTUL"/>
    <s v="BTL"/>
    <s v="REG"/>
    <s v="AO"/>
    <x v="0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</r>
  <r>
    <n v="62"/>
    <n v="1002564984"/>
    <n v="3"/>
    <x v="1"/>
    <n v="4"/>
    <s v="MAGELANG"/>
    <s v="TEMANGGUNG"/>
    <s v="PRN"/>
    <s v="REG"/>
    <s v="AO"/>
    <x v="0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63"/>
    <n v="1002564957"/>
    <n v="3"/>
    <x v="6"/>
    <n v="4"/>
    <s v="KUDUS"/>
    <s v="PATI"/>
    <s v="PAT"/>
    <s v="REG"/>
    <s v="AO"/>
    <x v="0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</r>
  <r>
    <n v="64"/>
    <n v="1002565568"/>
    <n v="3"/>
    <x v="1"/>
    <n v="4"/>
    <s v="PURWOKERTO"/>
    <s v="PURWOKERTO"/>
    <s v="PWT"/>
    <s v="REG"/>
    <s v="AO"/>
    <x v="0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65"/>
    <n v="1002564132"/>
    <n v="3"/>
    <x v="1"/>
    <n v="4"/>
    <s v="PURWOKERTO"/>
    <s v="BANJARNEGARA"/>
    <s v="BJR"/>
    <s v="REG"/>
    <s v="AO"/>
    <x v="0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66"/>
    <n v="1002564133"/>
    <n v="3"/>
    <x v="5"/>
    <n v="5"/>
    <s v="SBY UTARA"/>
    <s v="GRESIK"/>
    <s v="SDY"/>
    <s v="REG"/>
    <s v="AO"/>
    <x v="0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67"/>
    <n v="1002565594"/>
    <n v="3"/>
    <x v="3"/>
    <n v="5"/>
    <s v="MATARAM"/>
    <s v="LOMBOK BARAT TENGAH"/>
    <s v="GER"/>
    <s v="REG"/>
    <s v="AO"/>
    <x v="0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</r>
  <r>
    <n v="68"/>
    <n v="1002566441"/>
    <n v="3"/>
    <x v="7"/>
    <n v="5"/>
    <s v="SIDOARJO"/>
    <s v="JOMBANG"/>
    <s v="MOJ"/>
    <s v="REG"/>
    <s v="AO"/>
    <x v="0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69"/>
    <n v="1002566432"/>
    <n v="3"/>
    <x v="2"/>
    <n v="5"/>
    <s v="MALANG"/>
    <s v="KEPANJEN"/>
    <s v="GDI"/>
    <s v="REG"/>
    <s v="AO"/>
    <x v="0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70"/>
    <n v="1002566437"/>
    <n v="3"/>
    <x v="0"/>
    <n v="4"/>
    <s v="PEKALONGAN"/>
    <s v="PEMALANG"/>
    <s v="PML"/>
    <s v="REG"/>
    <s v="AO"/>
    <x v="0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71"/>
    <n v="1002566429"/>
    <n v="3"/>
    <x v="4"/>
    <n v="5"/>
    <s v="DENPASAR"/>
    <s v="SANUR"/>
    <s v="SAU"/>
    <s v="REG"/>
    <s v="AO"/>
    <x v="0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72"/>
    <n v="1002564240"/>
    <n v="3"/>
    <x v="3"/>
    <n v="5"/>
    <s v="MATARAM"/>
    <s v="LOMBOK BARAT TENGAH"/>
    <s v="GER"/>
    <s v="REG"/>
    <s v="AO"/>
    <x v="0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73"/>
    <n v="1002566137"/>
    <n v="3"/>
    <x v="2"/>
    <n v="5"/>
    <s v="MALANG"/>
    <s v="KEPANJEN"/>
    <s v="KLJ"/>
    <s v="REG"/>
    <s v="AO"/>
    <x v="0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</r>
  <r>
    <n v="74"/>
    <n v="1002566283"/>
    <n v="3"/>
    <x v="2"/>
    <n v="5"/>
    <s v="MALANG"/>
    <s v="KEPANJEN"/>
    <s v="MLG"/>
    <s v="REG"/>
    <s v="AO"/>
    <x v="0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75"/>
    <n v="1002566131"/>
    <n v="3"/>
    <x v="1"/>
    <n v="4"/>
    <s v="PURWOKERTO"/>
    <s v="CILACAP"/>
    <s v="GML"/>
    <s v="REG"/>
    <s v="AO"/>
    <x v="0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</r>
  <r>
    <n v="76"/>
    <n v="1002566159"/>
    <n v="3"/>
    <x v="6"/>
    <n v="4"/>
    <s v="SOLO"/>
    <s v="INNER - SOLO JATENG TIMUR"/>
    <s v="MSO"/>
    <s v="REG"/>
    <s v="AO"/>
    <x v="0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</r>
  <r>
    <n v="77"/>
    <n v="1002564718"/>
    <n v="3"/>
    <x v="3"/>
    <n v="5"/>
    <s v="MATARAM"/>
    <s v="LOMBOK TIMUR UTARA"/>
    <s v="SGG"/>
    <s v="REG"/>
    <s v="AO"/>
    <x v="0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"/>
    <n v="1002564380"/>
    <n v="3"/>
    <x v="1"/>
    <n v="4"/>
    <s v="YOGYAKARTA"/>
    <s v="INNER - YOGYA JATENG SELATAN"/>
    <s v="KBU"/>
    <s v="REG"/>
    <s v="AO"/>
    <x v="0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564622"/>
    <n v="3"/>
    <x v="6"/>
    <n v="4"/>
    <s v="SOLO"/>
    <s v="INNER - SOLO JATENG TIMUR"/>
    <s v="MSO"/>
    <s v="REG"/>
    <s v="AO"/>
    <x v="0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564623"/>
    <n v="3"/>
    <x v="2"/>
    <n v="5"/>
    <s v="KEDIRI"/>
    <s v="BLITAR"/>
    <s v="PAN"/>
    <s v="REG"/>
    <s v="AO"/>
    <x v="0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</r>
  <r>
    <n v="81"/>
    <n v="1002564024"/>
    <n v="3"/>
    <x v="5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2"/>
    <n v="1002564429"/>
    <n v="3"/>
    <x v="5"/>
    <n v="5"/>
    <s v="SBY SELATAN"/>
    <s v="KETINTANG"/>
    <s v="IJK"/>
    <s v="REG"/>
    <s v="AO"/>
    <x v="0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</r>
  <r>
    <n v="83"/>
    <n v="1002564716"/>
    <n v="3"/>
    <x v="5"/>
    <n v="5"/>
    <s v="MADURA"/>
    <s v="BANGKALAN"/>
    <s v="OMB"/>
    <s v="REG"/>
    <s v="AO"/>
    <x v="0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84"/>
    <n v="1002564914"/>
    <n v="3"/>
    <x v="2"/>
    <n v="5"/>
    <s v="MALANG"/>
    <s v="BATU"/>
    <s v="BTU"/>
    <s v="REG"/>
    <s v="AO"/>
    <x v="0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85"/>
    <n v="1002565040"/>
    <n v="3"/>
    <x v="5"/>
    <n v="5"/>
    <s v="SBY UTARA"/>
    <s v="LAMONGAN"/>
    <s v="BBA"/>
    <s v="REG"/>
    <s v="AO"/>
    <x v="0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6"/>
    <n v="1002565180"/>
    <n v="3"/>
    <x v="3"/>
    <n v="5"/>
    <s v="MATARAM"/>
    <s v="LOMBOK BARAT TENGAH"/>
    <s v="PRY"/>
    <s v="REG"/>
    <s v="AO"/>
    <x v="0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</r>
  <r>
    <n v="87"/>
    <n v="1002566045"/>
    <n v="3"/>
    <x v="6"/>
    <n v="4"/>
    <s v="KUDUS"/>
    <s v="KUDUS"/>
    <s v="KUD"/>
    <s v="REG"/>
    <s v="AO"/>
    <x v="0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</r>
  <r>
    <n v="88"/>
    <n v="1002565668"/>
    <n v="3"/>
    <x v="3"/>
    <n v="5"/>
    <s v="MATARAM"/>
    <s v="INNER - NUSA TENGGARA"/>
    <s v="SWE"/>
    <s v="REG"/>
    <s v="AO"/>
    <x v="0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</r>
  <r>
    <n v="89"/>
    <n v="1002564898"/>
    <n v="3"/>
    <x v="4"/>
    <n v="5"/>
    <s v="SINGARJA"/>
    <s v="GIANYAR"/>
    <s v="UBU"/>
    <s v="REG"/>
    <s v="AO"/>
    <x v="0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</r>
  <r>
    <n v="90"/>
    <n v="1002564483"/>
    <n v="3"/>
    <x v="3"/>
    <n v="5"/>
    <s v="MATARAM"/>
    <s v="BIMA"/>
    <s v="BIM"/>
    <s v="REG"/>
    <s v="AO"/>
    <x v="0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</r>
  <r>
    <n v="91"/>
    <n v="1002564167"/>
    <n v="3"/>
    <x v="3"/>
    <n v="5"/>
    <s v="MATARAM"/>
    <s v="INNER - NUSA TENGGARA"/>
    <s v="MTR"/>
    <s v="REG"/>
    <s v="AO"/>
    <x v="0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</r>
  <r>
    <n v="92"/>
    <n v="1002565555"/>
    <n v="3"/>
    <x v="3"/>
    <n v="5"/>
    <s v="MATARAM"/>
    <s v="LOMBOK TIMUR UTARA"/>
    <s v="SGG"/>
    <s v="REG"/>
    <s v="AO"/>
    <x v="0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</r>
  <r>
    <n v="93"/>
    <n v="1002564112"/>
    <n v="3"/>
    <x v="3"/>
    <n v="5"/>
    <s v="MATARAM"/>
    <s v="BIMA"/>
    <s v="SAP"/>
    <s v="REG"/>
    <s v="AO"/>
    <x v="0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</r>
  <r>
    <n v="94"/>
    <n v="1002564319"/>
    <n v="3"/>
    <x v="3"/>
    <n v="5"/>
    <s v="MATARAM"/>
    <s v="BIMA"/>
    <s v="BIM"/>
    <s v="REG"/>
    <s v="AO"/>
    <x v="0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</r>
  <r>
    <n v="95"/>
    <n v="1002566447"/>
    <n v="3"/>
    <x v="3"/>
    <n v="5"/>
    <s v="MATARAM"/>
    <s v="LOMBOK TIMUR UTARA"/>
    <s v="SGG"/>
    <s v="REG"/>
    <s v="AO"/>
    <x v="0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</r>
  <r>
    <n v="96"/>
    <n v="1002566415"/>
    <n v="3"/>
    <x v="3"/>
    <n v="5"/>
    <s v="MATARAM"/>
    <s v="LOMBOK BARAT TENGAH"/>
    <s v="GER"/>
    <s v="REG"/>
    <s v="AO"/>
    <x v="0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</r>
  <r>
    <n v="97"/>
    <n v="1002564550"/>
    <n v="3"/>
    <x v="3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98"/>
    <n v="1002566333"/>
    <n v="3"/>
    <x v="1"/>
    <n v="4"/>
    <s v="YOGYAKARTA"/>
    <s v="GUNUNG KIDUL"/>
    <s v="WNS"/>
    <s v="REG"/>
    <s v="AO"/>
    <x v="0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99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00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01"/>
    <n v="1002564072"/>
    <n v="3"/>
    <x v="1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02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03"/>
    <n v="1002564395"/>
    <n v="3"/>
    <x v="7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04"/>
    <n v="1002564057"/>
    <n v="3"/>
    <x v="1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05"/>
    <n v="1002565224"/>
    <n v="3"/>
    <x v="5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06"/>
    <n v="1002564751"/>
    <n v="3"/>
    <x v="7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07"/>
    <n v="1002564376"/>
    <n v="3"/>
    <x v="6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08"/>
    <n v="1002565851"/>
    <n v="3"/>
    <x v="1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09"/>
    <n v="1002565160"/>
    <n v="3"/>
    <x v="5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0"/>
    <n v="1002565198"/>
    <n v="3"/>
    <x v="5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11"/>
    <n v="1002566034"/>
    <n v="3"/>
    <x v="3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2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13"/>
    <n v="1002564905"/>
    <n v="3"/>
    <x v="5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4"/>
    <n v="1002564503"/>
    <n v="3"/>
    <x v="6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15"/>
    <n v="1002565698"/>
    <n v="3"/>
    <x v="3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16"/>
    <n v="1002564495"/>
    <n v="3"/>
    <x v="5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17"/>
    <n v="1002564164"/>
    <n v="3"/>
    <x v="5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18"/>
    <n v="1002565076"/>
    <n v="3"/>
    <x v="6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19"/>
    <n v="1002566411"/>
    <n v="3"/>
    <x v="0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20"/>
    <n v="1002565516"/>
    <n v="3"/>
    <x v="7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1"/>
    <n v="1002565519"/>
    <n v="3"/>
    <x v="0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22"/>
    <n v="1002564987"/>
    <n v="3"/>
    <x v="0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23"/>
    <n v="1002565560"/>
    <n v="3"/>
    <x v="6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24"/>
    <n v="1002565542"/>
    <n v="3"/>
    <x v="0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25"/>
    <n v="1002565586"/>
    <n v="3"/>
    <x v="7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6"/>
    <n v="1002564360"/>
    <n v="3"/>
    <x v="5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27"/>
    <n v="1002564309"/>
    <n v="3"/>
    <x v="7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28"/>
    <n v="1002564252"/>
    <n v="3"/>
    <x v="7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29"/>
    <n v="1002564257"/>
    <n v="3"/>
    <x v="0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30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2"/>
    <n v="1002566538"/>
    <n v="3"/>
    <x v="1"/>
    <n v="4"/>
    <s v="YOGYAKARTA"/>
    <s v="INNER - YOGYA JATENG SELATAN"/>
    <s v="KEN"/>
    <s v="REG"/>
    <s v="AO"/>
    <s v="NEW SALES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3"/>
    <n v="1002566294"/>
    <n v="3"/>
    <x v="2"/>
    <n v="5"/>
    <s v="MALANG"/>
    <s v="KEPANJEN"/>
    <s v="BRG"/>
    <s v="REG"/>
    <s v="AO"/>
    <s v="NEW SALES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"/>
  </r>
  <r>
    <n v="4"/>
    <n v="1002564602"/>
    <n v="3"/>
    <x v="3"/>
    <n v="5"/>
    <s v="MATARAM"/>
    <s v="LOMBOK BARAT TENGAH"/>
    <s v="PRY"/>
    <s v="REG"/>
    <s v="AO"/>
    <s v="NEW SALES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"/>
  </r>
  <r>
    <n v="5"/>
    <n v="1002565696"/>
    <n v="3"/>
    <x v="4"/>
    <n v="5"/>
    <s v="SINGARJA"/>
    <s v="GIANYAR"/>
    <s v="GIN"/>
    <s v="REG"/>
    <s v="AO"/>
    <s v="NEW SALES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6"/>
    <n v="1002564745"/>
    <n v="3"/>
    <x v="5"/>
    <n v="5"/>
    <s v="MADURA"/>
    <s v="BANGKALAN"/>
    <s v="SPG"/>
    <s v="REG"/>
    <s v="AO"/>
    <s v="NEW SALES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4"/>
  </r>
  <r>
    <n v="7"/>
    <n v="1002564593"/>
    <n v="3"/>
    <x v="3"/>
    <n v="5"/>
    <s v="MATARAM"/>
    <s v="LOMBOK BARAT TENGAH"/>
    <s v="PRY"/>
    <s v="REG"/>
    <s v="AO"/>
    <s v="NEW SALES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  <x v="2"/>
  </r>
  <r>
    <n v="8"/>
    <n v="1002566199"/>
    <n v="3"/>
    <x v="3"/>
    <n v="5"/>
    <s v="KUPANG"/>
    <s v="KUPANG"/>
    <s v="KPN"/>
    <s v="REG"/>
    <s v="AO"/>
    <s v="NEW SALES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5"/>
  </r>
  <r>
    <n v="9"/>
    <n v="1002566014"/>
    <n v="3"/>
    <x v="6"/>
    <n v="4"/>
    <s v="SOLO"/>
    <s v="INNER - SOLO JATENG TIMUR"/>
    <s v="SOP"/>
    <s v="REG"/>
    <s v="AO"/>
    <s v="NEW SALES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  <x v="0"/>
  </r>
  <r>
    <n v="10"/>
    <n v="1002566337"/>
    <n v="3"/>
    <x v="7"/>
    <n v="5"/>
    <s v="SIDOARJO"/>
    <s v="JOMBANG"/>
    <s v="MOJ"/>
    <s v="REG"/>
    <s v="AO"/>
    <s v="NEW SALES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11"/>
    <n v="1002566360"/>
    <n v="3"/>
    <x v="1"/>
    <n v="4"/>
    <s v="PURWOKERTO"/>
    <s v="BANJARNEGARA"/>
    <s v="BJR"/>
    <s v="REG"/>
    <s v="AO"/>
    <s v="NEW SALES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  <x v="0"/>
  </r>
  <r>
    <n v="12"/>
    <n v="1002564406"/>
    <n v="3"/>
    <x v="3"/>
    <n v="5"/>
    <s v="MATARAM"/>
    <s v="INNER - NUSA TENGGARA"/>
    <s v="MTR"/>
    <s v="REG"/>
    <s v="AO"/>
    <s v="NEW SALES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  <x v="7"/>
  </r>
  <r>
    <n v="13"/>
    <n v="1002564394"/>
    <n v="3"/>
    <x v="3"/>
    <n v="5"/>
    <s v="MATARAM"/>
    <s v="SUMBAWA"/>
    <s v="SBW"/>
    <s v="REG"/>
    <s v="AO"/>
    <s v="NEW SALES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  <x v="8"/>
  </r>
  <r>
    <n v="14"/>
    <n v="1002564794"/>
    <n v="3"/>
    <x v="3"/>
    <n v="5"/>
    <s v="MATARAM"/>
    <s v="BIMA"/>
    <s v="DMP"/>
    <s v="REG"/>
    <s v="AO"/>
    <s v="NEW SALES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  <x v="9"/>
  </r>
  <r>
    <n v="15"/>
    <n v="1002564858"/>
    <n v="3"/>
    <x v="3"/>
    <n v="5"/>
    <s v="MATARAM"/>
    <s v="SUMBAWA"/>
    <s v="ALA"/>
    <s v="REG"/>
    <s v="AO"/>
    <s v="NEW SALES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8"/>
  </r>
  <r>
    <n v="16"/>
    <n v="1002564025"/>
    <n v="3"/>
    <x v="3"/>
    <n v="5"/>
    <s v="MATARAM"/>
    <s v="SUMBAWA"/>
    <s v="SBW"/>
    <s v="REG"/>
    <s v="AO"/>
    <s v="NEW SALES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  <x v="8"/>
  </r>
  <r>
    <n v="17"/>
    <n v="1002564783"/>
    <n v="3"/>
    <x v="3"/>
    <n v="5"/>
    <s v="MATARAM"/>
    <s v="LOMBOK TIMUR UTARA"/>
    <s v="SGG"/>
    <s v="REG"/>
    <s v="AO"/>
    <s v="NEW SALES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  <x v="2"/>
  </r>
  <r>
    <n v="18"/>
    <n v="1002565129"/>
    <n v="3"/>
    <x v="0"/>
    <n v="4"/>
    <s v="PEKALONGAN"/>
    <s v="BREBES"/>
    <s v="KTM"/>
    <s v="REG"/>
    <s v="AO"/>
    <s v="NEW SALES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19"/>
    <n v="1002564592"/>
    <n v="3"/>
    <x v="7"/>
    <n v="5"/>
    <s v="SIDOARJO"/>
    <s v="JOMBANG"/>
    <s v="MOJ"/>
    <s v="REG"/>
    <s v="AO"/>
    <s v="NEW SALES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  <x v="6"/>
  </r>
  <r>
    <n v="20"/>
    <n v="1002565482"/>
    <n v="3"/>
    <x v="0"/>
    <n v="4"/>
    <s v="SEMARANG"/>
    <s v="INNER - SEMARANG JATENG UTARA"/>
    <s v="SSL"/>
    <s v="REG"/>
    <s v="AO"/>
    <s v="NEW SALES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21"/>
    <n v="1002564818"/>
    <n v="3"/>
    <x v="1"/>
    <n v="4"/>
    <s v="MAGELANG"/>
    <s v="KEBUMEN"/>
    <s v="KBM"/>
    <s v="REG"/>
    <s v="AO"/>
    <s v="NEW SALES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  <x v="0"/>
  </r>
  <r>
    <n v="22"/>
    <n v="1002566468"/>
    <n v="3"/>
    <x v="7"/>
    <n v="5"/>
    <s v="JEMBER"/>
    <s v="JEMBER"/>
    <s v="JER"/>
    <s v="REG"/>
    <s v="AO"/>
    <s v="NEW SALES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0"/>
  </r>
  <r>
    <n v="23"/>
    <n v="1002566497"/>
    <n v="3"/>
    <x v="3"/>
    <n v="5"/>
    <s v="KUPANG"/>
    <s v="KUPANG"/>
    <s v="BAA"/>
    <s v="REG"/>
    <s v="AO"/>
    <s v="NEW SALES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5"/>
  </r>
  <r>
    <n v="24"/>
    <n v="1002566474"/>
    <n v="3"/>
    <x v="6"/>
    <n v="4"/>
    <s v="KUDUS"/>
    <s v="PURWODADI"/>
    <s v="GBU"/>
    <s v="REG"/>
    <s v="AO"/>
    <s v="NEW SALES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25"/>
    <n v="1002566472"/>
    <n v="3"/>
    <x v="6"/>
    <n v="4"/>
    <s v="KUDUS"/>
    <s v="PURWODADI"/>
    <s v="GBU"/>
    <s v="REG"/>
    <s v="AO"/>
    <s v="NEW SALES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  <x v="0"/>
  </r>
  <r>
    <n v="26"/>
    <n v="1002565810"/>
    <n v="3"/>
    <x v="7"/>
    <n v="5"/>
    <s v="JEMBER"/>
    <s v="BANYUWANGI"/>
    <s v="WSO"/>
    <s v="REG"/>
    <s v="AO"/>
    <s v="NEW SALES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  <x v="11"/>
  </r>
  <r>
    <n v="27"/>
    <n v="1002565759"/>
    <n v="3"/>
    <x v="6"/>
    <n v="4"/>
    <s v="SOLO"/>
    <s v="INNER - SOLO JATENG TIMUR"/>
    <s v="GLD"/>
    <s v="REG"/>
    <s v="AO"/>
    <s v="NEW SALES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  <x v="0"/>
  </r>
  <r>
    <n v="28"/>
    <n v="1002565854"/>
    <n v="3"/>
    <x v="0"/>
    <n v="4"/>
    <s v="PEKALONGAN"/>
    <s v="SLAWI"/>
    <s v="BLU"/>
    <s v="REG"/>
    <s v="AO"/>
    <s v="NEW SALES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  <x v="0"/>
  </r>
  <r>
    <n v="29"/>
    <n v="1002565843"/>
    <n v="3"/>
    <x v="7"/>
    <n v="5"/>
    <s v="SIDOARJO"/>
    <s v="INNER - JATIM TIMUR"/>
    <s v="TUN"/>
    <s v="REG"/>
    <s v="AO"/>
    <s v="NEW SALES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  <x v="12"/>
  </r>
  <r>
    <n v="30"/>
    <n v="1002565201"/>
    <n v="3"/>
    <x v="6"/>
    <n v="4"/>
    <s v="KUDUS"/>
    <s v="PATI"/>
    <s v="PAT"/>
    <s v="REG"/>
    <s v="AO"/>
    <s v="NEW SALES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  <x v="0"/>
  </r>
  <r>
    <n v="31"/>
    <n v="1002565223"/>
    <n v="3"/>
    <x v="3"/>
    <n v="5"/>
    <s v="KUPANG"/>
    <s v="KUPANG"/>
    <s v="OSP"/>
    <s v="REG"/>
    <s v="AO"/>
    <s v="NEW SALES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5"/>
  </r>
  <r>
    <n v="32"/>
    <n v="1002566046"/>
    <n v="3"/>
    <x v="3"/>
    <n v="5"/>
    <s v="KUPANG"/>
    <s v="LABOAN BAJO"/>
    <s v="RTE"/>
    <s v="REG"/>
    <s v="AO"/>
    <s v="NEW SALES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13"/>
  </r>
  <r>
    <n v="33"/>
    <n v="1002564469"/>
    <n v="3"/>
    <x v="1"/>
    <n v="4"/>
    <s v="YOGYAKARTA"/>
    <s v="INNER - YOGYA JATENG SELATAN"/>
    <s v="BBS"/>
    <s v="REG"/>
    <s v="AO"/>
    <s v="NEW SALES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  <x v="0"/>
  </r>
  <r>
    <n v="34"/>
    <n v="1002564921"/>
    <n v="3"/>
    <x v="3"/>
    <n v="5"/>
    <s v="MATARAM"/>
    <s v="INNER - NUSA TENGGARA"/>
    <s v="SWE"/>
    <s v="REG"/>
    <s v="AO"/>
    <s v="NEW SALES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  <x v="7"/>
  </r>
  <r>
    <n v="35"/>
    <n v="1002564873"/>
    <n v="3"/>
    <x v="0"/>
    <n v="4"/>
    <s v="PEKALONGAN"/>
    <s v="BREBES"/>
    <s v="BKA"/>
    <s v="REG"/>
    <s v="AO"/>
    <s v="NEW SALES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36"/>
    <n v="1002564872"/>
    <n v="3"/>
    <x v="3"/>
    <n v="5"/>
    <s v="MATARAM"/>
    <s v="SUMBAWA"/>
    <s v="SBW"/>
    <s v="REG"/>
    <s v="AO"/>
    <s v="NEW SALES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  <x v="8"/>
  </r>
  <r>
    <n v="37"/>
    <n v="1002564906"/>
    <n v="3"/>
    <x v="1"/>
    <n v="4"/>
    <s v="MAGELANG"/>
    <s v="TEMANGGUNG"/>
    <s v="TEM"/>
    <s v="REG"/>
    <s v="AO"/>
    <s v="NEW SALES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  <x v="0"/>
  </r>
  <r>
    <n v="38"/>
    <n v="1002564895"/>
    <n v="3"/>
    <x v="3"/>
    <n v="5"/>
    <s v="MATARAM"/>
    <s v="LOMBOK BARAT TENGAH"/>
    <s v="GER"/>
    <s v="REG"/>
    <s v="AO"/>
    <s v="NEW SALES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  <x v="2"/>
  </r>
  <r>
    <n v="39"/>
    <n v="1002564932"/>
    <n v="3"/>
    <x v="1"/>
    <n v="4"/>
    <s v="PURWOKERTO"/>
    <s v="CILACAP"/>
    <s v="CLC"/>
    <s v="REG"/>
    <s v="AO"/>
    <s v="NEW SALES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  <x v="0"/>
  </r>
  <r>
    <n v="40"/>
    <n v="1002564524"/>
    <n v="3"/>
    <x v="6"/>
    <n v="4"/>
    <s v="SOLO"/>
    <s v="INNER - SOLO JATENG TIMUR"/>
    <s v="KRT"/>
    <s v="REG"/>
    <s v="AO"/>
    <s v="NEW SALES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41"/>
    <n v="1002566268"/>
    <n v="3"/>
    <x v="2"/>
    <n v="5"/>
    <s v="KEDIRI"/>
    <s v="KEDIRI"/>
    <s v="NDL"/>
    <s v="REG"/>
    <s v="AO"/>
    <s v="NEW SALES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14"/>
  </r>
  <r>
    <n v="42"/>
    <n v="1002565310"/>
    <n v="3"/>
    <x v="3"/>
    <n v="5"/>
    <s v="MATARAM"/>
    <s v="SUMBAWA"/>
    <s v="TLW"/>
    <s v="REG"/>
    <s v="AO"/>
    <s v="NEW SALES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8"/>
  </r>
  <r>
    <n v="43"/>
    <n v="1002566276"/>
    <n v="3"/>
    <x v="1"/>
    <n v="4"/>
    <s v="MAGELANG"/>
    <s v="MAGELANG"/>
    <s v="MGE"/>
    <s v="REG"/>
    <s v="AO"/>
    <s v="NEW SALES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  <x v="0"/>
  </r>
  <r>
    <n v="44"/>
    <n v="1002565406"/>
    <n v="3"/>
    <x v="2"/>
    <n v="5"/>
    <s v="MALANG"/>
    <s v="BATU"/>
    <s v="BTU"/>
    <s v="REG"/>
    <s v="AO"/>
    <s v="NEW SALES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  <x v="15"/>
  </r>
  <r>
    <n v="45"/>
    <n v="1002565062"/>
    <n v="3"/>
    <x v="3"/>
    <n v="5"/>
    <s v="MATARAM"/>
    <s v="LOMBOK TIMUR UTARA"/>
    <s v="SGG"/>
    <s v="REG"/>
    <s v="AO"/>
    <s v="NEW SALES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  <x v="2"/>
  </r>
  <r>
    <n v="46"/>
    <n v="1002566521"/>
    <n v="3"/>
    <x v="6"/>
    <n v="4"/>
    <s v="KUDUS"/>
    <s v="JEPARA"/>
    <s v="PEC"/>
    <s v="REG"/>
    <s v="AO"/>
    <s v="NEW SALES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  <x v="0"/>
  </r>
  <r>
    <n v="47"/>
    <n v="1002566519"/>
    <n v="3"/>
    <x v="7"/>
    <n v="5"/>
    <s v="SIDOARJO"/>
    <s v="INNER - JATIM TIMUR"/>
    <s v="KRN"/>
    <s v="REG"/>
    <s v="AO"/>
    <s v="NEW SALES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2"/>
  </r>
  <r>
    <n v="48"/>
    <n v="1002566093"/>
    <n v="3"/>
    <x v="5"/>
    <n v="5"/>
    <s v="SBY UTARA"/>
    <s v="MANYAR"/>
    <s v="MGO"/>
    <s v="REG"/>
    <s v="AO"/>
    <s v="NEW SALES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6"/>
  </r>
  <r>
    <n v="49"/>
    <n v="1002566030"/>
    <n v="3"/>
    <x v="2"/>
    <n v="5"/>
    <s v="MALANG"/>
    <s v="KEPANJEN"/>
    <s v="KLJ"/>
    <s v="REG"/>
    <s v="AO"/>
    <s v="NEW SALES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1"/>
  </r>
  <r>
    <n v="50"/>
    <n v="1002565865"/>
    <n v="3"/>
    <x v="2"/>
    <n v="5"/>
    <s v="KEDIRI"/>
    <s v="KEDIRI"/>
    <s v="PPR"/>
    <s v="REG"/>
    <s v="AO"/>
    <s v="NEW SALES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  <x v="14"/>
  </r>
  <r>
    <n v="51"/>
    <n v="1002565915"/>
    <n v="3"/>
    <x v="3"/>
    <n v="5"/>
    <s v="KUPANG"/>
    <s v="KUPANG"/>
    <s v="KPN"/>
    <s v="REG"/>
    <s v="AO"/>
    <s v="NEW SALES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  <x v="5"/>
  </r>
  <r>
    <n v="52"/>
    <n v="1002565896"/>
    <n v="3"/>
    <x v="2"/>
    <n v="5"/>
    <s v="KEDIRI"/>
    <s v="NGANJUK"/>
    <s v="NJK"/>
    <s v="REG"/>
    <s v="AO"/>
    <s v="NEW SALES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  <x v="17"/>
  </r>
  <r>
    <n v="53"/>
    <n v="1002564644"/>
    <n v="3"/>
    <x v="1"/>
    <n v="4"/>
    <s v="PURWOKERTO"/>
    <s v="BANJARNEGARA"/>
    <s v="KLP"/>
    <s v="REG"/>
    <s v="AO"/>
    <s v="NEW SALES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  <x v="0"/>
  </r>
  <r>
    <n v="54"/>
    <n v="1002565046"/>
    <n v="3"/>
    <x v="0"/>
    <n v="4"/>
    <s v="SEMARANG"/>
    <s v="INNER - SEMARANG JATENG UTARA"/>
    <s v="JHR"/>
    <s v="REG"/>
    <s v="AO"/>
    <s v="NEW SALES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  <x v="0"/>
  </r>
  <r>
    <n v="55"/>
    <n v="1002565053"/>
    <n v="3"/>
    <x v="0"/>
    <n v="4"/>
    <s v="PEKALONGAN"/>
    <s v="BREBES"/>
    <s v="KTM"/>
    <s v="REG"/>
    <s v="AO"/>
    <s v="NEW SALES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56"/>
    <n v="1002564711"/>
    <n v="3"/>
    <x v="1"/>
    <n v="4"/>
    <s v="YOGYAKARTA"/>
    <s v="INNER - YOGYA JATENG SELATAN"/>
    <s v="KEN"/>
    <s v="REG"/>
    <s v="AO"/>
    <s v="NEW SALES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  <x v="0"/>
  </r>
  <r>
    <n v="57"/>
    <n v="1002565535"/>
    <n v="3"/>
    <x v="6"/>
    <n v="4"/>
    <s v="KUDUS"/>
    <s v="PURWODADI"/>
    <s v="GDO"/>
    <s v="REG"/>
    <s v="AO"/>
    <s v="NEW SALES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58"/>
    <n v="1002564963"/>
    <n v="3"/>
    <x v="7"/>
    <n v="5"/>
    <s v="SIDOARJO"/>
    <s v="JOMBANG"/>
    <s v="MOJ"/>
    <s v="REG"/>
    <s v="AO"/>
    <s v="NEW SALES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  <x v="6"/>
  </r>
  <r>
    <n v="59"/>
    <n v="1002564992"/>
    <n v="3"/>
    <x v="5"/>
    <n v="5"/>
    <s v="SBY UTARA"/>
    <s v="GRESIK"/>
    <s v="GSK"/>
    <s v="REG"/>
    <s v="AO"/>
    <s v="NEW SALES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  <x v="18"/>
  </r>
  <r>
    <n v="60"/>
    <n v="1002564991"/>
    <n v="3"/>
    <x v="3"/>
    <n v="5"/>
    <s v="MATARAM"/>
    <s v="BIMA"/>
    <s v="SAP"/>
    <s v="REG"/>
    <s v="AO"/>
    <s v="NEW SALES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9"/>
  </r>
  <r>
    <n v="61"/>
    <n v="1002565015"/>
    <n v="3"/>
    <x v="1"/>
    <n v="4"/>
    <s v="YOGYAKARTA"/>
    <s v="BANTUL"/>
    <s v="BTL"/>
    <s v="REG"/>
    <s v="AO"/>
    <s v="NEW SALES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  <x v="0"/>
  </r>
  <r>
    <n v="62"/>
    <n v="1002564984"/>
    <n v="3"/>
    <x v="1"/>
    <n v="4"/>
    <s v="MAGELANG"/>
    <s v="TEMANGGUNG"/>
    <s v="PRN"/>
    <s v="REG"/>
    <s v="AO"/>
    <s v="NEW SALES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63"/>
    <n v="1002564957"/>
    <n v="3"/>
    <x v="6"/>
    <n v="4"/>
    <s v="KUDUS"/>
    <s v="PATI"/>
    <s v="PAT"/>
    <s v="REG"/>
    <s v="AO"/>
    <s v="NEW SALES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  <x v="0"/>
  </r>
  <r>
    <n v="64"/>
    <n v="1002565568"/>
    <n v="3"/>
    <x v="1"/>
    <n v="4"/>
    <s v="PURWOKERTO"/>
    <s v="PURWOKERTO"/>
    <s v="PWT"/>
    <s v="REG"/>
    <s v="AO"/>
    <s v="NEW SALES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65"/>
    <n v="1002564132"/>
    <n v="3"/>
    <x v="1"/>
    <n v="4"/>
    <s v="PURWOKERTO"/>
    <s v="BANJARNEGARA"/>
    <s v="BJR"/>
    <s v="REG"/>
    <s v="AO"/>
    <s v="NEW SALES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0"/>
  </r>
  <r>
    <n v="66"/>
    <n v="1002564133"/>
    <n v="3"/>
    <x v="5"/>
    <n v="5"/>
    <s v="SBY UTARA"/>
    <s v="GRESIK"/>
    <s v="SDY"/>
    <s v="REG"/>
    <s v="AO"/>
    <s v="NEW SALES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8"/>
  </r>
  <r>
    <n v="67"/>
    <n v="1002565594"/>
    <n v="3"/>
    <x v="3"/>
    <n v="5"/>
    <s v="MATARAM"/>
    <s v="LOMBOK BARAT TENGAH"/>
    <s v="GER"/>
    <s v="REG"/>
    <s v="AO"/>
    <s v="NEW SALES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  <x v="2"/>
  </r>
  <r>
    <n v="68"/>
    <n v="1002566441"/>
    <n v="3"/>
    <x v="7"/>
    <n v="5"/>
    <s v="SIDOARJO"/>
    <s v="JOMBANG"/>
    <s v="MOJ"/>
    <s v="REG"/>
    <s v="AO"/>
    <s v="NEW SALES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69"/>
    <n v="1002566432"/>
    <n v="3"/>
    <x v="2"/>
    <n v="5"/>
    <s v="MALANG"/>
    <s v="KEPANJEN"/>
    <s v="GDI"/>
    <s v="REG"/>
    <s v="AO"/>
    <s v="NEW SALES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"/>
  </r>
  <r>
    <n v="70"/>
    <n v="1002566437"/>
    <n v="3"/>
    <x v="0"/>
    <n v="4"/>
    <s v="PEKALONGAN"/>
    <s v="PEMALANG"/>
    <s v="PML"/>
    <s v="REG"/>
    <s v="AO"/>
    <s v="NEW SALES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0"/>
  </r>
  <r>
    <n v="71"/>
    <n v="1002566429"/>
    <n v="3"/>
    <x v="4"/>
    <n v="5"/>
    <s v="DENPASAR"/>
    <s v="SANUR"/>
    <s v="SAU"/>
    <s v="REG"/>
    <s v="AO"/>
    <s v="NEW SALES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19"/>
  </r>
  <r>
    <n v="72"/>
    <n v="1002564240"/>
    <n v="3"/>
    <x v="3"/>
    <n v="5"/>
    <s v="MATARAM"/>
    <s v="LOMBOK BARAT TENGAH"/>
    <s v="GER"/>
    <s v="REG"/>
    <s v="AO"/>
    <s v="NEW SALES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"/>
  </r>
  <r>
    <n v="73"/>
    <n v="1002566137"/>
    <n v="3"/>
    <x v="2"/>
    <n v="5"/>
    <s v="MALANG"/>
    <s v="KEPANJEN"/>
    <s v="KLJ"/>
    <s v="REG"/>
    <s v="AO"/>
    <s v="NEW SALES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  <x v="1"/>
  </r>
  <r>
    <n v="74"/>
    <n v="1002566283"/>
    <n v="3"/>
    <x v="2"/>
    <n v="5"/>
    <s v="MALANG"/>
    <s v="KEPANJEN"/>
    <s v="MLG"/>
    <s v="REG"/>
    <s v="AO"/>
    <s v="NEW SALES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1"/>
  </r>
  <r>
    <n v="75"/>
    <n v="1002566131"/>
    <n v="3"/>
    <x v="1"/>
    <n v="4"/>
    <s v="PURWOKERTO"/>
    <s v="CILACAP"/>
    <s v="GML"/>
    <s v="REG"/>
    <s v="AO"/>
    <s v="NEW SALES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  <x v="0"/>
  </r>
  <r>
    <n v="76"/>
    <n v="1002566159"/>
    <n v="3"/>
    <x v="6"/>
    <n v="4"/>
    <s v="SOLO"/>
    <s v="INNER - SOLO JATENG TIMUR"/>
    <s v="MSO"/>
    <s v="REG"/>
    <s v="AO"/>
    <s v="NEW SALES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  <x v="0"/>
  </r>
  <r>
    <n v="77"/>
    <n v="1002564718"/>
    <n v="3"/>
    <x v="3"/>
    <n v="5"/>
    <s v="MATARAM"/>
    <s v="LOMBOK TIMUR UTARA"/>
    <s v="SGG"/>
    <s v="REG"/>
    <s v="AO"/>
    <s v="NEW SALES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8"/>
    <n v="1002564380"/>
    <n v="3"/>
    <x v="1"/>
    <n v="4"/>
    <s v="YOGYAKARTA"/>
    <s v="INNER - YOGYA JATENG SELATAN"/>
    <s v="KBU"/>
    <s v="REG"/>
    <s v="AO"/>
    <s v="NEW SALES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564622"/>
    <n v="3"/>
    <x v="6"/>
    <n v="4"/>
    <s v="SOLO"/>
    <s v="INNER - SOLO JATENG TIMUR"/>
    <s v="MSO"/>
    <s v="REG"/>
    <s v="AO"/>
    <s v="NEW SALES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564623"/>
    <n v="3"/>
    <x v="2"/>
    <n v="5"/>
    <s v="KEDIRI"/>
    <s v="BLITAR"/>
    <s v="PAN"/>
    <s v="REG"/>
    <s v="AO"/>
    <s v="NEW SALES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  <x v="20"/>
  </r>
  <r>
    <n v="81"/>
    <n v="1002564024"/>
    <n v="3"/>
    <x v="5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4"/>
  </r>
  <r>
    <n v="82"/>
    <n v="1002564429"/>
    <n v="3"/>
    <x v="5"/>
    <n v="5"/>
    <s v="SBY SELATAN"/>
    <s v="KETINTANG"/>
    <s v="IJK"/>
    <s v="REG"/>
    <s v="AO"/>
    <s v="NEW SALES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  <x v="16"/>
  </r>
  <r>
    <n v="83"/>
    <n v="1002564716"/>
    <n v="3"/>
    <x v="5"/>
    <n v="5"/>
    <s v="MADURA"/>
    <s v="BANGKALAN"/>
    <s v="OMB"/>
    <s v="REG"/>
    <s v="AO"/>
    <s v="NEW SALES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4"/>
  </r>
  <r>
    <n v="84"/>
    <n v="1002564914"/>
    <n v="3"/>
    <x v="2"/>
    <n v="5"/>
    <s v="MALANG"/>
    <s v="BATU"/>
    <s v="BTU"/>
    <s v="REG"/>
    <s v="AO"/>
    <s v="NEW SALES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85"/>
    <n v="1002565040"/>
    <n v="3"/>
    <x v="5"/>
    <n v="5"/>
    <s v="SBY UTARA"/>
    <s v="LAMONGAN"/>
    <s v="BBA"/>
    <s v="REG"/>
    <s v="AO"/>
    <s v="NEW SALES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8"/>
  </r>
  <r>
    <n v="86"/>
    <n v="1002565180"/>
    <n v="3"/>
    <x v="3"/>
    <n v="5"/>
    <s v="MATARAM"/>
    <s v="LOMBOK BARAT TENGAH"/>
    <s v="PRY"/>
    <s v="REG"/>
    <s v="AO"/>
    <s v="NEW SALES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  <x v="2"/>
  </r>
  <r>
    <n v="87"/>
    <n v="1002566045"/>
    <n v="3"/>
    <x v="6"/>
    <n v="4"/>
    <s v="KUDUS"/>
    <s v="KUDUS"/>
    <s v="KUD"/>
    <s v="REG"/>
    <s v="AO"/>
    <s v="NEW SALES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  <x v="0"/>
  </r>
  <r>
    <n v="88"/>
    <n v="1002565668"/>
    <n v="3"/>
    <x v="3"/>
    <n v="5"/>
    <s v="MATARAM"/>
    <s v="INNER - NUSA TENGGARA"/>
    <s v="SWE"/>
    <s v="REG"/>
    <s v="AO"/>
    <s v="NEW SALES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  <x v="7"/>
  </r>
  <r>
    <n v="89"/>
    <n v="1002564898"/>
    <n v="3"/>
    <x v="4"/>
    <n v="5"/>
    <s v="SINGARJA"/>
    <s v="GIANYAR"/>
    <s v="UBU"/>
    <s v="REG"/>
    <s v="AO"/>
    <s v="NEW SALES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  <x v="3"/>
  </r>
  <r>
    <n v="90"/>
    <n v="1002564483"/>
    <n v="3"/>
    <x v="3"/>
    <n v="5"/>
    <s v="MATARAM"/>
    <s v="BIMA"/>
    <s v="BIM"/>
    <s v="REG"/>
    <s v="AO"/>
    <s v="NEW SALES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  <x v="9"/>
  </r>
  <r>
    <n v="91"/>
    <n v="1002564167"/>
    <n v="3"/>
    <x v="3"/>
    <n v="5"/>
    <s v="MATARAM"/>
    <s v="INNER - NUSA TENGGARA"/>
    <s v="MTR"/>
    <s v="REG"/>
    <s v="AO"/>
    <s v="NEW SALES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  <x v="7"/>
  </r>
  <r>
    <n v="92"/>
    <n v="1002565555"/>
    <n v="3"/>
    <x v="3"/>
    <n v="5"/>
    <s v="MATARAM"/>
    <s v="LOMBOK TIMUR UTARA"/>
    <s v="SGG"/>
    <s v="REG"/>
    <s v="AO"/>
    <s v="NEW SALES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  <x v="2"/>
  </r>
  <r>
    <n v="93"/>
    <n v="1002564112"/>
    <n v="3"/>
    <x v="3"/>
    <n v="5"/>
    <s v="MATARAM"/>
    <s v="BIMA"/>
    <s v="SAP"/>
    <s v="REG"/>
    <s v="AO"/>
    <s v="NEW SALES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  <x v="9"/>
  </r>
  <r>
    <n v="94"/>
    <n v="1002564319"/>
    <n v="3"/>
    <x v="3"/>
    <n v="5"/>
    <s v="MATARAM"/>
    <s v="BIMA"/>
    <s v="BIM"/>
    <s v="REG"/>
    <s v="AO"/>
    <s v="NEW SALES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  <x v="9"/>
  </r>
  <r>
    <n v="95"/>
    <n v="1002566447"/>
    <n v="3"/>
    <x v="3"/>
    <n v="5"/>
    <s v="MATARAM"/>
    <s v="LOMBOK TIMUR UTARA"/>
    <s v="SGG"/>
    <s v="REG"/>
    <s v="AO"/>
    <s v="NEW SALES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  <x v="2"/>
  </r>
  <r>
    <n v="96"/>
    <n v="1002566415"/>
    <n v="3"/>
    <x v="3"/>
    <n v="5"/>
    <s v="MATARAM"/>
    <s v="LOMBOK BARAT TENGAH"/>
    <s v="GER"/>
    <s v="REG"/>
    <s v="AO"/>
    <s v="NEW SALES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  <x v="2"/>
  </r>
  <r>
    <n v="97"/>
    <n v="1002564550"/>
    <n v="3"/>
    <x v="3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7"/>
  </r>
  <r>
    <n v="98"/>
    <n v="1002566333"/>
    <n v="3"/>
    <x v="1"/>
    <n v="4"/>
    <s v="YOGYAKARTA"/>
    <s v="GUNUNG KIDUL"/>
    <s v="WNS"/>
    <s v="REG"/>
    <s v="AO"/>
    <s v="NEW SALES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99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21"/>
  </r>
  <r>
    <n v="100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21"/>
  </r>
  <r>
    <n v="101"/>
    <n v="1002564072"/>
    <n v="3"/>
    <x v="1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102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14"/>
  </r>
  <r>
    <n v="103"/>
    <n v="1002564395"/>
    <n v="3"/>
    <x v="7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11"/>
  </r>
  <r>
    <n v="104"/>
    <n v="1002564057"/>
    <n v="3"/>
    <x v="1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105"/>
    <n v="1002565224"/>
    <n v="3"/>
    <x v="5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06"/>
    <n v="1002564751"/>
    <n v="3"/>
    <x v="7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6"/>
  </r>
  <r>
    <n v="107"/>
    <n v="1002564376"/>
    <n v="3"/>
    <x v="6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108"/>
    <n v="1002565851"/>
    <n v="3"/>
    <x v="1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109"/>
    <n v="1002565160"/>
    <n v="3"/>
    <x v="5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6"/>
  </r>
  <r>
    <n v="110"/>
    <n v="1002565198"/>
    <n v="3"/>
    <x v="5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11"/>
    <n v="1002566034"/>
    <n v="3"/>
    <x v="3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9"/>
  </r>
  <r>
    <n v="112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2"/>
  </r>
  <r>
    <n v="113"/>
    <n v="1002564905"/>
    <n v="3"/>
    <x v="5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23"/>
  </r>
  <r>
    <n v="114"/>
    <n v="1002564503"/>
    <n v="3"/>
    <x v="6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115"/>
    <n v="1002565698"/>
    <n v="3"/>
    <x v="3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7"/>
  </r>
  <r>
    <n v="116"/>
    <n v="1002564495"/>
    <n v="3"/>
    <x v="5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6"/>
  </r>
  <r>
    <n v="117"/>
    <n v="1002564164"/>
    <n v="3"/>
    <x v="5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6"/>
  </r>
  <r>
    <n v="118"/>
    <n v="1002565076"/>
    <n v="3"/>
    <x v="6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119"/>
    <n v="1002566411"/>
    <n v="3"/>
    <x v="0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120"/>
    <n v="1002565516"/>
    <n v="3"/>
    <x v="7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1"/>
    <n v="1002565519"/>
    <n v="3"/>
    <x v="0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122"/>
    <n v="1002564987"/>
    <n v="3"/>
    <x v="0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123"/>
    <n v="1002565560"/>
    <n v="3"/>
    <x v="6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124"/>
    <n v="1002565542"/>
    <n v="3"/>
    <x v="0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125"/>
    <n v="1002565586"/>
    <n v="3"/>
    <x v="7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6"/>
    <n v="1002564360"/>
    <n v="3"/>
    <x v="5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6"/>
  </r>
  <r>
    <n v="127"/>
    <n v="1002564309"/>
    <n v="3"/>
    <x v="7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11"/>
  </r>
  <r>
    <n v="128"/>
    <n v="1002564252"/>
    <n v="3"/>
    <x v="7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2"/>
  </r>
  <r>
    <n v="129"/>
    <n v="1002564257"/>
    <n v="3"/>
    <x v="0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130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47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24"/>
        <item m="1" x="42"/>
        <item m="1" x="94"/>
        <item m="1" x="51"/>
        <item m="1" x="55"/>
        <item m="1" x="44"/>
        <item x="8"/>
        <item x="22"/>
        <item m="1" x="41"/>
        <item m="1" x="25"/>
        <item m="1" x="48"/>
        <item m="1" x="43"/>
        <item m="1" x="62"/>
        <item x="17"/>
        <item m="1" x="45"/>
        <item m="1" x="47"/>
        <item m="1" x="46"/>
        <item x="15"/>
        <item m="1" x="56"/>
        <item x="18"/>
        <item x="9"/>
        <item x="3"/>
        <item m="1" x="95"/>
        <item m="1" x="28"/>
        <item m="1" x="50"/>
        <item x="10"/>
        <item m="1" x="35"/>
        <item m="1" x="37"/>
        <item x="6"/>
        <item m="1" x="33"/>
        <item m="1" x="27"/>
        <item x="14"/>
        <item x="11"/>
        <item m="1" x="39"/>
        <item m="1" x="29"/>
        <item x="21"/>
        <item m="1" x="58"/>
        <item m="1" x="26"/>
        <item x="5"/>
        <item m="1" x="31"/>
        <item m="1" x="52"/>
        <item m="1" x="53"/>
        <item x="19"/>
        <item m="1" x="49"/>
        <item x="20"/>
        <item m="1" x="32"/>
        <item m="1" x="40"/>
        <item m="1" x="30"/>
        <item m="1" x="34"/>
        <item m="1" x="36"/>
        <item x="13"/>
        <item m="1" x="54"/>
        <item m="1" x="38"/>
        <item m="1" x="57"/>
        <item x="12"/>
        <item x="2"/>
        <item x="4"/>
        <item x="16"/>
        <item x="23"/>
        <item x="1"/>
        <item x="7"/>
        <item t="default"/>
      </items>
    </pivotField>
  </pivotFields>
  <rowFields count="2">
    <field x="3"/>
    <field x="60"/>
  </rowFields>
  <rowItems count="29">
    <i>
      <x/>
    </i>
    <i r="1">
      <x v="57"/>
    </i>
    <i r="1">
      <x v="71"/>
    </i>
    <i r="1">
      <x v="85"/>
    </i>
    <i r="1">
      <x v="92"/>
    </i>
    <i>
      <x v="1"/>
    </i>
    <i r="1">
      <x v="63"/>
    </i>
    <i r="1">
      <x v="67"/>
    </i>
    <i r="1">
      <x v="81"/>
    </i>
    <i r="1">
      <x v="94"/>
    </i>
    <i r="1">
      <x v="109"/>
    </i>
    <i>
      <x v="2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8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4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2:34"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2:34" ht="14.45" customHeight="1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</row>
    <row r="4" spans="2:34"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</row>
    <row r="6" spans="2:34">
      <c r="B6" s="122" t="s">
        <v>1</v>
      </c>
      <c r="C6" s="100" t="s">
        <v>2</v>
      </c>
      <c r="D6" s="100" t="s">
        <v>3</v>
      </c>
      <c r="E6" s="100" t="s">
        <v>4</v>
      </c>
      <c r="F6" s="100" t="s">
        <v>5</v>
      </c>
      <c r="G6" s="100" t="s">
        <v>6</v>
      </c>
      <c r="H6" s="100" t="s">
        <v>7</v>
      </c>
      <c r="I6" s="100" t="s">
        <v>8</v>
      </c>
      <c r="J6" s="100" t="s">
        <v>9</v>
      </c>
      <c r="K6" s="100" t="s">
        <v>10</v>
      </c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 t="s">
        <v>11</v>
      </c>
      <c r="Z6" s="100" t="s">
        <v>12</v>
      </c>
      <c r="AA6" s="100"/>
      <c r="AB6" s="100"/>
      <c r="AC6" s="100"/>
      <c r="AD6" s="100" t="s">
        <v>13</v>
      </c>
      <c r="AE6" s="100" t="s">
        <v>14</v>
      </c>
      <c r="AF6" s="100" t="s">
        <v>15</v>
      </c>
      <c r="AG6" s="100" t="s">
        <v>16</v>
      </c>
      <c r="AH6" s="100" t="s">
        <v>17</v>
      </c>
    </row>
    <row r="7" spans="2:34">
      <c r="B7" s="122"/>
      <c r="C7" s="100"/>
      <c r="D7" s="100"/>
      <c r="E7" s="100"/>
      <c r="F7" s="100"/>
      <c r="G7" s="100"/>
      <c r="H7" s="100"/>
      <c r="I7" s="100"/>
      <c r="J7" s="100"/>
      <c r="K7" s="100" t="s">
        <v>2</v>
      </c>
      <c r="L7" s="100" t="s">
        <v>18</v>
      </c>
      <c r="M7" s="100"/>
      <c r="N7" s="100"/>
      <c r="O7" s="100" t="s">
        <v>19</v>
      </c>
      <c r="P7" s="100" t="s">
        <v>20</v>
      </c>
      <c r="Q7" s="100"/>
      <c r="R7" s="100"/>
      <c r="S7" s="100"/>
      <c r="T7" s="100"/>
      <c r="U7" s="100"/>
      <c r="V7" s="100"/>
      <c r="W7" s="100" t="s">
        <v>21</v>
      </c>
      <c r="X7" s="100" t="s">
        <v>22</v>
      </c>
      <c r="Y7" s="100"/>
      <c r="Z7" s="100"/>
      <c r="AA7" s="100"/>
      <c r="AB7" s="100"/>
      <c r="AC7" s="100"/>
      <c r="AD7" s="100"/>
      <c r="AE7" s="100"/>
      <c r="AF7" s="100"/>
      <c r="AG7" s="100"/>
      <c r="AH7" s="100"/>
    </row>
    <row r="8" spans="2:34">
      <c r="B8" s="122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 t="s">
        <v>23</v>
      </c>
      <c r="Q8" s="100"/>
      <c r="R8" s="100"/>
      <c r="S8" s="100"/>
      <c r="T8" s="100" t="s">
        <v>24</v>
      </c>
      <c r="U8" s="100" t="s">
        <v>25</v>
      </c>
      <c r="V8" s="100" t="s">
        <v>26</v>
      </c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</row>
    <row r="9" spans="2:34" ht="30">
      <c r="B9" s="122"/>
      <c r="C9" s="100"/>
      <c r="D9" s="100"/>
      <c r="E9" s="100"/>
      <c r="F9" s="100"/>
      <c r="G9" s="100"/>
      <c r="H9" s="100"/>
      <c r="I9" s="100"/>
      <c r="J9" s="100"/>
      <c r="K9" s="13"/>
      <c r="L9" s="13" t="s">
        <v>27</v>
      </c>
      <c r="M9" s="13" t="s">
        <v>28</v>
      </c>
      <c r="N9" s="13" t="s">
        <v>29</v>
      </c>
      <c r="O9" s="100"/>
      <c r="P9" s="13" t="s">
        <v>30</v>
      </c>
      <c r="Q9" s="13" t="s">
        <v>31</v>
      </c>
      <c r="R9" s="13" t="s">
        <v>32</v>
      </c>
      <c r="S9" s="13" t="s">
        <v>33</v>
      </c>
      <c r="T9" s="100"/>
      <c r="U9" s="100"/>
      <c r="V9" s="100"/>
      <c r="W9" s="100"/>
      <c r="X9" s="100"/>
      <c r="Y9" s="100"/>
      <c r="Z9" s="13" t="s">
        <v>30</v>
      </c>
      <c r="AA9" s="13" t="s">
        <v>31</v>
      </c>
      <c r="AB9" s="13" t="s">
        <v>32</v>
      </c>
      <c r="AC9" s="13" t="s">
        <v>33</v>
      </c>
      <c r="AD9" s="100"/>
      <c r="AE9" s="100"/>
      <c r="AF9" s="100"/>
      <c r="AG9" s="100"/>
      <c r="AH9" s="100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20" t="str">
        <f ca="1">"PROVISIONING INDIBIZ TR3 JBN HARIAN "&amp;TEXT(TODAY(),"YYYY-MM-DD ")&amp;TEXT(NOW(),"HH:MM")&amp;" WIB"</f>
        <v>PROVISIONING INDIBIZ TR3 JBN HARIAN 2026-09-02 07:18 WIB</v>
      </c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1" t="s">
        <v>66</v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5" t="s">
        <v>1</v>
      </c>
      <c r="C23" s="112" t="s">
        <v>3</v>
      </c>
      <c r="D23" s="112" t="s">
        <v>67</v>
      </c>
      <c r="E23" s="102" t="s">
        <v>7</v>
      </c>
      <c r="F23" s="103" t="s">
        <v>8</v>
      </c>
      <c r="G23" s="103" t="s">
        <v>9</v>
      </c>
      <c r="H23" s="106" t="s">
        <v>10</v>
      </c>
      <c r="I23" s="107"/>
      <c r="J23" s="107"/>
      <c r="K23" s="108"/>
      <c r="L23" s="103" t="s">
        <v>68</v>
      </c>
      <c r="M23" s="104" t="s">
        <v>11</v>
      </c>
      <c r="N23" s="102" t="s">
        <v>12</v>
      </c>
      <c r="O23" s="102"/>
      <c r="P23" s="102" t="s">
        <v>13</v>
      </c>
      <c r="Q23" s="102" t="s">
        <v>14</v>
      </c>
    </row>
    <row r="24" spans="2:34" ht="15.6" customHeight="1">
      <c r="B24" s="105"/>
      <c r="C24" s="112"/>
      <c r="D24" s="112"/>
      <c r="E24" s="102"/>
      <c r="F24" s="103"/>
      <c r="G24" s="103"/>
      <c r="H24" s="103" t="s">
        <v>2</v>
      </c>
      <c r="I24" s="103" t="s">
        <v>18</v>
      </c>
      <c r="J24" s="103" t="s">
        <v>20</v>
      </c>
      <c r="K24" s="103" t="s">
        <v>22</v>
      </c>
      <c r="L24" s="103"/>
      <c r="M24" s="104"/>
      <c r="N24" s="102"/>
      <c r="O24" s="102"/>
      <c r="P24" s="102"/>
      <c r="Q24" s="102"/>
    </row>
    <row r="25" spans="2:34" ht="14.45" customHeight="1">
      <c r="B25" s="105"/>
      <c r="C25" s="112"/>
      <c r="D25" s="112"/>
      <c r="E25" s="102"/>
      <c r="F25" s="103"/>
      <c r="G25" s="103"/>
      <c r="H25" s="103"/>
      <c r="I25" s="103"/>
      <c r="J25" s="103"/>
      <c r="K25" s="103"/>
      <c r="L25" s="103"/>
      <c r="M25" s="104"/>
      <c r="N25" s="102"/>
      <c r="O25" s="102"/>
      <c r="P25" s="102"/>
      <c r="Q25" s="102"/>
    </row>
    <row r="26" spans="2:34" ht="29.1" customHeight="1">
      <c r="B26" s="105"/>
      <c r="C26" s="112"/>
      <c r="D26" s="112"/>
      <c r="E26" s="102"/>
      <c r="F26" s="103"/>
      <c r="G26" s="103"/>
      <c r="H26" s="103"/>
      <c r="I26" s="103"/>
      <c r="J26" s="103"/>
      <c r="K26" s="103"/>
      <c r="L26" s="103"/>
      <c r="M26" s="104"/>
      <c r="N26" s="43" t="s">
        <v>30</v>
      </c>
      <c r="O26" s="43" t="s">
        <v>69</v>
      </c>
      <c r="P26" s="102"/>
      <c r="Q26" s="102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9" t="s">
        <v>72</v>
      </c>
      <c r="D34" s="110"/>
    </row>
    <row r="35" spans="2:18" ht="15.75">
      <c r="B35" s="48"/>
      <c r="C35" s="111" t="s">
        <v>73</v>
      </c>
      <c r="D35" s="111"/>
    </row>
    <row r="36" spans="2:18">
      <c r="B36" s="49"/>
      <c r="C36" s="111" t="s">
        <v>74</v>
      </c>
      <c r="D36" s="111"/>
    </row>
    <row r="37" spans="2:18">
      <c r="B37" s="50"/>
      <c r="C37" s="111" t="s">
        <v>75</v>
      </c>
      <c r="D37" s="111"/>
    </row>
    <row r="38" spans="2:18">
      <c r="B38" s="51"/>
      <c r="C38" s="118" t="s">
        <v>76</v>
      </c>
      <c r="D38" s="119"/>
    </row>
    <row r="39" spans="2:18">
      <c r="C39" s="1"/>
      <c r="D39" s="1"/>
    </row>
    <row r="40" spans="2:18" ht="18.75">
      <c r="B40" s="120" t="str">
        <f ca="1">"PROVISIONING INDIBIZ TR3 JBN BY TELDA MTD "&amp;TEXT(TODAY(),"YYYY-MM-DD ")&amp;TEXT(NOW(),"HH:MM")&amp;" WIB"</f>
        <v>PROVISIONING INDIBIZ TR3 JBN BY TELDA MTD 2026-09-02 07:18 WIB</v>
      </c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</row>
    <row r="41" spans="2:18" ht="15.75">
      <c r="B41" s="121" t="s">
        <v>77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</row>
    <row r="43" spans="2:18" ht="15.6" customHeight="1">
      <c r="B43" s="105" t="s">
        <v>1</v>
      </c>
      <c r="C43" s="105" t="s">
        <v>78</v>
      </c>
      <c r="D43" s="112" t="s">
        <v>3</v>
      </c>
      <c r="E43" s="112" t="s">
        <v>67</v>
      </c>
      <c r="F43" s="102" t="s">
        <v>7</v>
      </c>
      <c r="G43" s="103" t="s">
        <v>8</v>
      </c>
      <c r="H43" s="103" t="s">
        <v>9</v>
      </c>
      <c r="I43" s="106" t="s">
        <v>10</v>
      </c>
      <c r="J43" s="107"/>
      <c r="K43" s="107"/>
      <c r="L43" s="108"/>
      <c r="M43" s="103" t="s">
        <v>68</v>
      </c>
      <c r="N43" s="104" t="s">
        <v>11</v>
      </c>
      <c r="O43" s="102" t="s">
        <v>12</v>
      </c>
      <c r="P43" s="102"/>
      <c r="Q43" s="102" t="s">
        <v>13</v>
      </c>
      <c r="R43" s="102" t="s">
        <v>14</v>
      </c>
    </row>
    <row r="44" spans="2:18" ht="14.45" customHeight="1">
      <c r="B44" s="105"/>
      <c r="C44" s="105"/>
      <c r="D44" s="112"/>
      <c r="E44" s="112"/>
      <c r="F44" s="102"/>
      <c r="G44" s="103"/>
      <c r="H44" s="103"/>
      <c r="I44" s="103" t="s">
        <v>2</v>
      </c>
      <c r="J44" s="103" t="s">
        <v>18</v>
      </c>
      <c r="K44" s="103" t="s">
        <v>20</v>
      </c>
      <c r="L44" s="103" t="s">
        <v>22</v>
      </c>
      <c r="M44" s="103"/>
      <c r="N44" s="104"/>
      <c r="O44" s="102"/>
      <c r="P44" s="102"/>
      <c r="Q44" s="102"/>
      <c r="R44" s="102"/>
    </row>
    <row r="45" spans="2:18" ht="14.45" customHeight="1">
      <c r="B45" s="105"/>
      <c r="C45" s="105"/>
      <c r="D45" s="112"/>
      <c r="E45" s="112"/>
      <c r="F45" s="102"/>
      <c r="G45" s="103"/>
      <c r="H45" s="103"/>
      <c r="I45" s="103"/>
      <c r="J45" s="103"/>
      <c r="K45" s="103"/>
      <c r="L45" s="103"/>
      <c r="M45" s="103"/>
      <c r="N45" s="104"/>
      <c r="O45" s="102"/>
      <c r="P45" s="102"/>
      <c r="Q45" s="102"/>
      <c r="R45" s="102"/>
    </row>
    <row r="46" spans="2:18" ht="47.25">
      <c r="B46" s="105"/>
      <c r="C46" s="105"/>
      <c r="D46" s="112"/>
      <c r="E46" s="112"/>
      <c r="F46" s="102"/>
      <c r="G46" s="103"/>
      <c r="H46" s="103"/>
      <c r="I46" s="103"/>
      <c r="J46" s="103"/>
      <c r="K46" s="103"/>
      <c r="L46" s="103"/>
      <c r="M46" s="103"/>
      <c r="N46" s="104"/>
      <c r="O46" s="43" t="s">
        <v>30</v>
      </c>
      <c r="P46" s="43" t="s">
        <v>69</v>
      </c>
      <c r="Q46" s="102"/>
      <c r="R46" s="102"/>
    </row>
    <row r="47" spans="2:18">
      <c r="B47" s="115" t="s">
        <v>34</v>
      </c>
      <c r="C47" s="52" t="s">
        <v>79</v>
      </c>
      <c r="D47" s="53">
        <f>'LOOKUP  telda'!E7</f>
        <v>2</v>
      </c>
      <c r="E47" s="53">
        <f>'LOOKUP  telda'!F7+'LOOKUP  telda'!G7+'LOOKUP  telda'!H7</f>
        <v>1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1</v>
      </c>
      <c r="M47" s="53">
        <f>SUM('DATA MTD'!I47:L47)</f>
        <v>1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16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6"/>
      <c r="C49" s="52" t="s">
        <v>81</v>
      </c>
      <c r="D49" s="53">
        <f>'LOOKUP  telda'!E9</f>
        <v>2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16"/>
      <c r="C50" s="52" t="s">
        <v>82</v>
      </c>
      <c r="D50" s="53">
        <f>'LOOKUP  telda'!E10</f>
        <v>2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6"/>
      <c r="C51" s="52" t="s">
        <v>83</v>
      </c>
      <c r="D51" s="53">
        <f>'LOOKUP  telda'!E11</f>
        <v>1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16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6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17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15" t="s">
        <v>38</v>
      </c>
      <c r="C55" s="52" t="s">
        <v>87</v>
      </c>
      <c r="D55" s="53">
        <f>'LOOKUP  telda'!E15</f>
        <v>2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2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16"/>
      <c r="C56" s="52" t="s">
        <v>88</v>
      </c>
      <c r="D56" s="53">
        <f>'LOOKUP  telda'!E16</f>
        <v>1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6"/>
      <c r="C57" s="52" t="s">
        <v>89</v>
      </c>
      <c r="D57" s="53">
        <f>'LOOKUP  telda'!E17</f>
        <v>0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6"/>
      <c r="C58" s="52" t="s">
        <v>90</v>
      </c>
      <c r="D58" s="53">
        <f>'LOOKUP  telda'!E18</f>
        <v>3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2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1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16"/>
      <c r="C59" s="52" t="s">
        <v>91</v>
      </c>
      <c r="D59" s="53">
        <f>'LOOKUP  telda'!E19</f>
        <v>5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4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0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16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6"/>
      <c r="C61" s="52" t="s">
        <v>93</v>
      </c>
      <c r="D61" s="53">
        <f>'LOOKUP  telda'!E21</f>
        <v>1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0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16"/>
      <c r="C62" s="52" t="s">
        <v>94</v>
      </c>
      <c r="D62" s="53">
        <f>'LOOKUP  telda'!E22</f>
        <v>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6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6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6"/>
      <c r="C65" s="52" t="s">
        <v>97</v>
      </c>
      <c r="D65" s="53">
        <f>'LOOKUP  telda'!E25</f>
        <v>0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17"/>
      <c r="C66" s="52" t="s">
        <v>98</v>
      </c>
      <c r="D66" s="53">
        <f>'LOOKUP  telda'!E26</f>
        <v>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15" t="s">
        <v>42</v>
      </c>
      <c r="C67" s="52" t="s">
        <v>99</v>
      </c>
      <c r="D67" s="53">
        <f>'LOOKUP  telda'!E27</f>
        <v>3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2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16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6"/>
      <c r="C69" s="52" t="s">
        <v>101</v>
      </c>
      <c r="D69" s="53">
        <f>'LOOKUP  telda'!E29</f>
        <v>3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2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0</v>
      </c>
      <c r="L69" s="53">
        <f>'LOOKUP  telda'!Y29</f>
        <v>0</v>
      </c>
      <c r="M69" s="53">
        <f>SUM('DATA MTD'!I69:L69)</f>
        <v>0</v>
      </c>
      <c r="N69" s="53">
        <f>'LOOKUP  telda'!Z29</f>
        <v>1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16"/>
      <c r="C70" s="52" t="s">
        <v>102</v>
      </c>
      <c r="D70" s="53">
        <f>'LOOKUP  telda'!E30</f>
        <v>1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16"/>
      <c r="C71" s="52" t="s">
        <v>103</v>
      </c>
      <c r="D71" s="53">
        <f>'LOOKUP  telda'!E31</f>
        <v>6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4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2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6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6"/>
      <c r="C73" s="52" t="s">
        <v>105</v>
      </c>
      <c r="D73" s="53">
        <f>'LOOKUP  telda'!E33</f>
        <v>1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16"/>
      <c r="C74" s="52" t="s">
        <v>106</v>
      </c>
      <c r="D74" s="53">
        <f>'LOOKUP  telda'!E34</f>
        <v>0</v>
      </c>
      <c r="E74" s="53">
        <f>'LOOKUP  telda'!F34+'LOOKUP  telda'!G34+'LOOKUP  telda'!H34</f>
        <v>0</v>
      </c>
      <c r="F74" s="53">
        <f>'LOOKUP  telda'!I34</f>
        <v>0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16"/>
      <c r="C75" s="52" t="s">
        <v>107</v>
      </c>
      <c r="D75" s="53">
        <f>'LOOKUP  telda'!E35</f>
        <v>0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7"/>
      <c r="C76" s="52" t="s">
        <v>108</v>
      </c>
      <c r="D76" s="53">
        <f>'LOOKUP  telda'!E36</f>
        <v>0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5" t="s">
        <v>70</v>
      </c>
      <c r="C77" s="52" t="s">
        <v>109</v>
      </c>
      <c r="D77" s="53">
        <f>'LOOKUP  telda'!E37</f>
        <v>0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6"/>
      <c r="C78" s="52" t="s">
        <v>110</v>
      </c>
      <c r="D78" s="53">
        <f>'LOOKUP  telda'!E38</f>
        <v>6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2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3</v>
      </c>
      <c r="M78" s="53">
        <f>SUM('DATA MTD'!I78:L78)</f>
        <v>3</v>
      </c>
      <c r="N78" s="53">
        <f>'LOOKUP  telda'!Z38</f>
        <v>1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16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6"/>
      <c r="C80" s="52" t="s">
        <v>112</v>
      </c>
      <c r="D80" s="53">
        <f>'LOOKUP  telda'!E40</f>
        <v>6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2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2</v>
      </c>
      <c r="M80" s="53">
        <f>SUM('DATA MTD'!I80:L80)</f>
        <v>2</v>
      </c>
      <c r="N80" s="53">
        <f>'LOOKUP  telda'!Z40</f>
        <v>1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16"/>
      <c r="C81" s="52" t="s">
        <v>113</v>
      </c>
      <c r="D81" s="53">
        <f>'LOOKUP  telda'!E41</f>
        <v>4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4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0</v>
      </c>
      <c r="L81" s="53">
        <f>'LOOKUP  telda'!Y41</f>
        <v>0</v>
      </c>
      <c r="M81" s="53">
        <f>SUM('DATA MTD'!I81:L81)</f>
        <v>0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6"/>
      <c r="C82" s="52" t="s">
        <v>114</v>
      </c>
      <c r="D82" s="53">
        <f>'LOOKUP  telda'!E42</f>
        <v>1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6"/>
      <c r="C83" s="52" t="s">
        <v>115</v>
      </c>
      <c r="D83" s="53">
        <f>'LOOKUP  telda'!E43</f>
        <v>7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3</v>
      </c>
      <c r="H83" s="53">
        <f>'LOOKUP  telda'!K43</f>
        <v>1</v>
      </c>
      <c r="I83" s="53">
        <f>'LOOKUP  telda'!L43</f>
        <v>0</v>
      </c>
      <c r="J83" s="53">
        <f>'LOOKUP  telda'!P43</f>
        <v>1</v>
      </c>
      <c r="K83" s="53">
        <f>'LOOKUP  telda'!X43</f>
        <v>0</v>
      </c>
      <c r="L83" s="53">
        <f>'LOOKUP  telda'!Y43</f>
        <v>1</v>
      </c>
      <c r="M83" s="53">
        <f>SUM('DATA MTD'!I83:L83)</f>
        <v>2</v>
      </c>
      <c r="N83" s="53">
        <f>'LOOKUP  telda'!Z43</f>
        <v>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30">
      <c r="B84" s="116"/>
      <c r="C84" s="52" t="s">
        <v>116</v>
      </c>
      <c r="D84" s="53">
        <f>'LOOKUP  telda'!E44</f>
        <v>5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2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2</v>
      </c>
      <c r="M84" s="53">
        <f>SUM('DATA MTD'!I84:L84)</f>
        <v>2</v>
      </c>
      <c r="N84" s="53">
        <f>'LOOKUP  telda'!Z44</f>
        <v>0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16"/>
      <c r="C85" s="52" t="s">
        <v>117</v>
      </c>
      <c r="D85" s="53">
        <f>'LOOKUP  telda'!E45</f>
        <v>0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0</v>
      </c>
      <c r="K85" s="53">
        <f>'LOOKUP  telda'!X45</f>
        <v>0</v>
      </c>
      <c r="L85" s="53">
        <f>'LOOKUP  telda'!Y45</f>
        <v>0</v>
      </c>
      <c r="M85" s="53">
        <f>SUM('DATA MTD'!I85:L85)</f>
        <v>0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6"/>
      <c r="C86" s="52" t="s">
        <v>118</v>
      </c>
      <c r="D86" s="53">
        <f>'LOOKUP  telda'!E46</f>
        <v>5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5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16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7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5" t="s">
        <v>55</v>
      </c>
      <c r="C89" s="52" t="s">
        <v>121</v>
      </c>
      <c r="D89" s="53">
        <f>'LOOKUP  telda'!E49</f>
        <v>3</v>
      </c>
      <c r="E89" s="53">
        <f>'LOOKUP  telda'!F49+'LOOKUP  telda'!G49+'LOOKUP  telda'!H49</f>
        <v>1</v>
      </c>
      <c r="F89" s="53">
        <f>'LOOKUP  telda'!I49</f>
        <v>0</v>
      </c>
      <c r="G89" s="53">
        <f>'LOOKUP  telda'!J49</f>
        <v>2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16"/>
      <c r="C90" s="52" t="s">
        <v>122</v>
      </c>
      <c r="D90" s="53">
        <f>'LOOKUP  telda'!E50</f>
        <v>4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2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2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16"/>
      <c r="C91" s="52" t="s">
        <v>123</v>
      </c>
      <c r="D91" s="53">
        <f>'LOOKUP  telda'!E51</f>
        <v>1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0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6"/>
      <c r="C92" s="52" t="s">
        <v>124</v>
      </c>
      <c r="D92" s="53">
        <f>'LOOKUP  telda'!E52</f>
        <v>1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16"/>
      <c r="C93" s="52" t="s">
        <v>125</v>
      </c>
      <c r="D93" s="53">
        <f>'LOOKUP  telda'!E53</f>
        <v>1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0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0</v>
      </c>
    </row>
    <row r="94" spans="2:18">
      <c r="B94" s="116"/>
      <c r="C94" s="52" t="s">
        <v>126</v>
      </c>
      <c r="D94" s="53">
        <f>'LOOKUP  telda'!E54</f>
        <v>5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1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16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17"/>
      <c r="C96" s="52" t="s">
        <v>128</v>
      </c>
      <c r="D96" s="53">
        <f>'LOOKUP  telda'!E56</f>
        <v>0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0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0</v>
      </c>
      <c r="M96" s="53">
        <f>SUM('DATA MTD'!I96:L96)</f>
        <v>0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13" t="s">
        <v>62</v>
      </c>
      <c r="C97" s="114"/>
      <c r="D97" s="56">
        <f>SUM(D47:D96)</f>
        <v>82</v>
      </c>
      <c r="E97" s="56">
        <f t="shared" ref="E97:R97" si="5">SUM(E47:E96)</f>
        <v>5</v>
      </c>
      <c r="F97" s="56">
        <f t="shared" si="5"/>
        <v>0</v>
      </c>
      <c r="G97" s="56">
        <f t="shared" si="5"/>
        <v>45</v>
      </c>
      <c r="H97" s="56">
        <f t="shared" si="5"/>
        <v>2</v>
      </c>
      <c r="I97" s="56">
        <f t="shared" si="5"/>
        <v>0</v>
      </c>
      <c r="J97" s="56">
        <f t="shared" si="5"/>
        <v>1</v>
      </c>
      <c r="K97" s="56">
        <f t="shared" si="5"/>
        <v>0</v>
      </c>
      <c r="L97" s="56">
        <f t="shared" si="5"/>
        <v>9</v>
      </c>
      <c r="M97" s="56">
        <f t="shared" si="5"/>
        <v>10</v>
      </c>
      <c r="N97" s="56">
        <f t="shared" si="5"/>
        <v>20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0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20" t="str">
        <f ca="1">"PROVISIONING NEW SALES INDIBIZ TR3 JBN MTD  "&amp;TEXT(TODAY()-1,"YYYY-MM-DD ")</f>
        <v xml:space="preserve">PROVISIONING NEW SALES INDIBIZ TR3 JBN MTD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20" t="str">
        <f ca="1">"PERIODE ORDER &amp; PS : 2026-01-01 to  "&amp;TEXT(TODAY()-1,"YYYY-MM-DD ")</f>
        <v xml:space="preserve">PERIODE ORDER &amp; PS : 2026-01-01 to  2026-09-01 </v>
      </c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8" t="s">
        <v>612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1" t="s">
        <v>1</v>
      </c>
      <c r="D6" s="164" t="s">
        <v>129</v>
      </c>
      <c r="E6" s="164" t="s">
        <v>67</v>
      </c>
      <c r="F6" s="127" t="s">
        <v>12</v>
      </c>
      <c r="G6" s="128"/>
      <c r="H6" s="129"/>
      <c r="I6" s="167" t="s">
        <v>14</v>
      </c>
      <c r="J6" s="170" t="s">
        <v>8</v>
      </c>
      <c r="K6" s="170" t="s">
        <v>9</v>
      </c>
      <c r="L6" s="136" t="s">
        <v>10</v>
      </c>
      <c r="M6" s="137"/>
      <c r="N6" s="137"/>
      <c r="O6" s="138"/>
      <c r="P6" s="173" t="s">
        <v>11</v>
      </c>
      <c r="Q6" s="123" t="s">
        <v>130</v>
      </c>
      <c r="R6" s="123" t="s">
        <v>131</v>
      </c>
      <c r="S6" s="123" t="s">
        <v>132</v>
      </c>
    </row>
    <row r="7" spans="3:31" ht="15.6" customHeight="1">
      <c r="C7" s="162"/>
      <c r="D7" s="165"/>
      <c r="E7" s="165"/>
      <c r="F7" s="130"/>
      <c r="G7" s="131"/>
      <c r="H7" s="132"/>
      <c r="I7" s="168"/>
      <c r="J7" s="171"/>
      <c r="K7" s="171"/>
      <c r="L7" s="139"/>
      <c r="M7" s="140"/>
      <c r="N7" s="140"/>
      <c r="O7" s="141"/>
      <c r="P7" s="174"/>
      <c r="Q7" s="124"/>
      <c r="R7" s="124"/>
      <c r="S7" s="124"/>
    </row>
    <row r="8" spans="3:31" ht="14.45" customHeight="1">
      <c r="C8" s="162"/>
      <c r="D8" s="165"/>
      <c r="E8" s="165"/>
      <c r="F8" s="133"/>
      <c r="G8" s="134"/>
      <c r="H8" s="135"/>
      <c r="I8" s="168"/>
      <c r="J8" s="171"/>
      <c r="K8" s="171"/>
      <c r="L8" s="142"/>
      <c r="M8" s="143"/>
      <c r="N8" s="143"/>
      <c r="O8" s="144"/>
      <c r="P8" s="174"/>
      <c r="Q8" s="124"/>
      <c r="R8" s="124"/>
      <c r="S8" s="124"/>
    </row>
    <row r="9" spans="3:31" ht="49.5" customHeight="1">
      <c r="C9" s="163"/>
      <c r="D9" s="166"/>
      <c r="E9" s="166"/>
      <c r="F9" s="22" t="s">
        <v>133</v>
      </c>
      <c r="G9" s="22" t="s">
        <v>30</v>
      </c>
      <c r="H9" s="22" t="s">
        <v>69</v>
      </c>
      <c r="I9" s="169"/>
      <c r="J9" s="172"/>
      <c r="K9" s="172"/>
      <c r="L9" s="37" t="s">
        <v>2</v>
      </c>
      <c r="M9" s="37" t="s">
        <v>18</v>
      </c>
      <c r="N9" s="37" t="s">
        <v>20</v>
      </c>
      <c r="O9" s="37" t="s">
        <v>22</v>
      </c>
      <c r="P9" s="175"/>
      <c r="Q9" s="125"/>
      <c r="R9" s="125"/>
      <c r="S9" s="125"/>
      <c r="X9">
        <f>205/216</f>
        <v>0.94907407407407407</v>
      </c>
    </row>
    <row r="10" spans="3:31" ht="15.75">
      <c r="C10" s="23" t="s">
        <v>34</v>
      </c>
      <c r="D10" s="24">
        <f>'COPY DATA XPRO'!E63</f>
        <v>7</v>
      </c>
      <c r="E10" s="24">
        <f>'COPY DATA XPRO'!F63+'COPY DATA XPRO'!G63+'COPY DATA XPRO'!H63</f>
        <v>1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0</v>
      </c>
      <c r="M10" s="24">
        <f>'COPY DATA XPRO'!P63</f>
        <v>0</v>
      </c>
      <c r="N10" s="24">
        <f>'COPY DATA XPRO'!X63</f>
        <v>0</v>
      </c>
      <c r="O10" s="24">
        <f>'COPY DATA XPRO'!Y63</f>
        <v>1</v>
      </c>
      <c r="P10" s="24">
        <f>'COPY DATA XPRO'!Z63</f>
        <v>4</v>
      </c>
      <c r="Q10" s="40">
        <f t="shared" ref="Q10:R15" si="0">T10</f>
        <v>0.5714285714285714</v>
      </c>
      <c r="R10" s="40">
        <f>U10</f>
        <v>0.8</v>
      </c>
      <c r="S10" s="40">
        <f>VLOOKUP(C10,Sheet3!$A$19:$G$81,7,FALSE)</f>
        <v>1</v>
      </c>
      <c r="T10" s="8">
        <f t="shared" ref="T10:T15" si="1">P10/(D10-F10-K10-I10)</f>
        <v>0.5714285714285714</v>
      </c>
      <c r="U10" s="8">
        <f>P10/(M10+N10+O10+P10)</f>
        <v>0.8</v>
      </c>
    </row>
    <row r="11" spans="3:31" ht="15.75">
      <c r="C11" s="23" t="s">
        <v>38</v>
      </c>
      <c r="D11" s="24">
        <f>'COPY DATA XPRO'!E64</f>
        <v>12</v>
      </c>
      <c r="E11" s="24">
        <f>'COPY DATA XPRO'!F64+'COPY DATA XPRO'!G64+'COPY DATA XPRO'!H64</f>
        <v>1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10</v>
      </c>
      <c r="K11" s="24">
        <f>'COPY DATA XPRO'!K64</f>
        <v>0</v>
      </c>
      <c r="L11" s="24">
        <f>'COPY DATA XPRO'!L64</f>
        <v>0</v>
      </c>
      <c r="M11" s="24">
        <f>'COPY DATA XPRO'!P64</f>
        <v>0</v>
      </c>
      <c r="N11" s="24">
        <f>'COPY DATA XPRO'!X64</f>
        <v>0</v>
      </c>
      <c r="O11" s="24">
        <f>'COPY DATA XPRO'!Y64</f>
        <v>0</v>
      </c>
      <c r="P11" s="24">
        <f>'COPY DATA XPRO'!Z64</f>
        <v>1</v>
      </c>
      <c r="Q11" s="40">
        <f t="shared" si="0"/>
        <v>8.3333333333333329E-2</v>
      </c>
      <c r="R11" s="40">
        <f t="shared" si="0"/>
        <v>1</v>
      </c>
      <c r="S11" s="40">
        <f>VLOOKUP(C11,Sheet3!$A$19:$G$81,7,FALSE)</f>
        <v>1</v>
      </c>
      <c r="T11" s="8">
        <f t="shared" si="1"/>
        <v>8.3333333333333329E-2</v>
      </c>
      <c r="U11" s="8">
        <f t="shared" ref="U11:U15" si="2">P11/(M11+N11+O11+P11)</f>
        <v>1</v>
      </c>
    </row>
    <row r="12" spans="3:31" ht="15.75">
      <c r="C12" s="23" t="s">
        <v>42</v>
      </c>
      <c r="D12" s="24">
        <f>'COPY DATA XPRO'!E65</f>
        <v>14</v>
      </c>
      <c r="E12" s="24">
        <f>'COPY DATA XPRO'!F65+'COPY DATA XPRO'!G65+'COPY DATA XPRO'!H65</f>
        <v>0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8</v>
      </c>
      <c r="K12" s="24">
        <f>'COPY DATA XPRO'!K65</f>
        <v>0</v>
      </c>
      <c r="L12" s="24">
        <f>'COPY DATA XPRO'!L65</f>
        <v>0</v>
      </c>
      <c r="M12" s="24">
        <f>'COPY DATA XPRO'!P65</f>
        <v>0</v>
      </c>
      <c r="N12" s="24">
        <f>'COPY DATA XPRO'!X65</f>
        <v>0</v>
      </c>
      <c r="O12" s="24">
        <f>'COPY DATA XPRO'!Y65</f>
        <v>0</v>
      </c>
      <c r="P12" s="24">
        <f>'COPY DATA XPRO'!Z65</f>
        <v>6</v>
      </c>
      <c r="Q12" s="40">
        <f t="shared" si="0"/>
        <v>0.42857142857142855</v>
      </c>
      <c r="R12" s="40">
        <f t="shared" si="0"/>
        <v>1</v>
      </c>
      <c r="S12" s="40">
        <f>VLOOKUP(C12,Sheet3!$A$19:$G$81,7,FALSE)</f>
        <v>1</v>
      </c>
      <c r="T12" s="8">
        <f t="shared" si="1"/>
        <v>0.42857142857142855</v>
      </c>
      <c r="U12" s="8">
        <f t="shared" si="2"/>
        <v>1</v>
      </c>
    </row>
    <row r="13" spans="3:31" ht="15.75">
      <c r="C13" s="23" t="s">
        <v>45</v>
      </c>
      <c r="D13" s="24">
        <f>'COPY DATA XPRO'!E66</f>
        <v>34</v>
      </c>
      <c r="E13" s="24">
        <f>'COPY DATA XPRO'!F66+'COPY DATA XPRO'!G66+'COPY DATA XPRO'!H66</f>
        <v>2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19</v>
      </c>
      <c r="K13" s="24">
        <f>'COPY DATA XPRO'!K66</f>
        <v>2</v>
      </c>
      <c r="L13" s="24">
        <f>'COPY DATA XPRO'!L66</f>
        <v>0</v>
      </c>
      <c r="M13" s="24">
        <f>'COPY DATA XPRO'!P66</f>
        <v>1</v>
      </c>
      <c r="N13" s="24">
        <f>'COPY DATA XPRO'!X66</f>
        <v>0</v>
      </c>
      <c r="O13" s="24">
        <f>'COPY DATA XPRO'!Y66</f>
        <v>8</v>
      </c>
      <c r="P13" s="24">
        <f>'COPY DATA XPRO'!Z66</f>
        <v>2</v>
      </c>
      <c r="Q13" s="40">
        <f t="shared" si="0"/>
        <v>6.25E-2</v>
      </c>
      <c r="R13" s="40">
        <f t="shared" si="0"/>
        <v>0.18181818181818182</v>
      </c>
      <c r="S13" s="40">
        <f>VLOOKUP(C13,Sheet3!$A$19:$G$81,7,FALSE)</f>
        <v>1</v>
      </c>
      <c r="T13" s="8">
        <f t="shared" si="1"/>
        <v>6.25E-2</v>
      </c>
      <c r="U13" s="8">
        <f t="shared" si="2"/>
        <v>0.18181818181818182</v>
      </c>
    </row>
    <row r="14" spans="3:31" ht="15.75">
      <c r="C14" s="23" t="s">
        <v>55</v>
      </c>
      <c r="D14" s="24">
        <f>'COPY DATA XPRO'!E69</f>
        <v>15</v>
      </c>
      <c r="E14" s="24">
        <f>'COPY DATA XPRO'!F69+'COPY DATA XPRO'!G69+'COPY DATA XPRO'!H69</f>
        <v>1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0</v>
      </c>
      <c r="J14" s="24">
        <f>'COPY DATA XPRO'!J69</f>
        <v>7</v>
      </c>
      <c r="K14" s="24">
        <f>'COPY DATA XPRO'!K69</f>
        <v>0</v>
      </c>
      <c r="L14" s="24">
        <f>'COPY DATA XPRO'!L69</f>
        <v>0</v>
      </c>
      <c r="M14" s="24">
        <f>'COPY DATA XPRO'!P69</f>
        <v>0</v>
      </c>
      <c r="N14" s="24">
        <f>'COPY DATA XPRO'!X69</f>
        <v>0</v>
      </c>
      <c r="O14" s="24">
        <f>'COPY DATA XPRO'!Y69</f>
        <v>0</v>
      </c>
      <c r="P14" s="24">
        <f>'COPY DATA XPRO'!Z69</f>
        <v>7</v>
      </c>
      <c r="Q14" s="40">
        <f t="shared" si="0"/>
        <v>0.46666666666666667</v>
      </c>
      <c r="R14" s="40">
        <f t="shared" si="0"/>
        <v>1</v>
      </c>
      <c r="S14" s="40">
        <f>VLOOKUP(C14,Sheet3!$A$19:$G$81,7,FALSE)</f>
        <v>1</v>
      </c>
      <c r="T14" s="8">
        <f t="shared" si="1"/>
        <v>0.46666666666666667</v>
      </c>
      <c r="U14" s="8">
        <f t="shared" si="2"/>
        <v>1</v>
      </c>
    </row>
    <row r="15" spans="3:31" ht="15.75">
      <c r="C15" s="25" t="s">
        <v>62</v>
      </c>
      <c r="D15" s="26">
        <f>SUM(D10:D14)</f>
        <v>82</v>
      </c>
      <c r="E15" s="26">
        <f>SUM(E10:E14)</f>
        <v>5</v>
      </c>
      <c r="F15" s="26">
        <f>SUM(F10:F14)</f>
        <v>0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0</v>
      </c>
      <c r="J15" s="26">
        <f t="shared" si="3"/>
        <v>45</v>
      </c>
      <c r="K15" s="26">
        <f t="shared" si="3"/>
        <v>2</v>
      </c>
      <c r="L15" s="26">
        <f t="shared" si="3"/>
        <v>0</v>
      </c>
      <c r="M15" s="26">
        <f t="shared" si="3"/>
        <v>1</v>
      </c>
      <c r="N15" s="26">
        <f t="shared" si="3"/>
        <v>0</v>
      </c>
      <c r="O15" s="26">
        <f t="shared" si="3"/>
        <v>9</v>
      </c>
      <c r="P15" s="26">
        <f t="shared" si="3"/>
        <v>20</v>
      </c>
      <c r="Q15" s="41">
        <f t="shared" si="0"/>
        <v>0.25</v>
      </c>
      <c r="R15" s="41">
        <f>U15</f>
        <v>0.66666666666666663</v>
      </c>
      <c r="S15" s="41">
        <f>Sheet3!G10</f>
        <v>1</v>
      </c>
      <c r="T15" s="8">
        <f t="shared" si="1"/>
        <v>0.25</v>
      </c>
      <c r="U15" s="8">
        <f t="shared" si="2"/>
        <v>0.66666666666666663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9" t="s">
        <v>72</v>
      </c>
      <c r="E17" s="160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49" t="s">
        <v>73</v>
      </c>
      <c r="E18" s="150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9" t="s">
        <v>74</v>
      </c>
      <c r="E19" s="150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9" t="s">
        <v>75</v>
      </c>
      <c r="E20" s="150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9" t="s">
        <v>76</v>
      </c>
      <c r="E21" s="150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6" t="s">
        <v>138</v>
      </c>
      <c r="E22" s="177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8" t="str">
        <f ca="1">C2</f>
        <v xml:space="preserve">PROVISIONING NEW SALES INDIBIZ TR3 JBN MTD  2026-09-01 </v>
      </c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34"/>
    </row>
    <row r="25" spans="2:22">
      <c r="B25" s="178" t="str">
        <f ca="1">C3</f>
        <v xml:space="preserve">PERIODE ORDER &amp; PS : 2026-01-01 to  2026-09-01 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4"/>
    </row>
    <row r="26" spans="2:22" ht="18.75">
      <c r="B26" s="179" t="str">
        <f>C4</f>
        <v>Last update proses : 06-03-2026 15:19:48 WIB (Source: ETL XPRO)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35"/>
    </row>
    <row r="27" spans="2:22" ht="15.75"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36"/>
    </row>
    <row r="29" spans="2:22" ht="15.6" customHeight="1">
      <c r="B29" s="147" t="s">
        <v>1</v>
      </c>
      <c r="C29" s="157" t="s">
        <v>78</v>
      </c>
      <c r="D29" s="147" t="s">
        <v>129</v>
      </c>
      <c r="E29" s="147" t="s">
        <v>67</v>
      </c>
      <c r="F29" s="146" t="s">
        <v>12</v>
      </c>
      <c r="G29" s="146"/>
      <c r="H29" s="146"/>
      <c r="I29" s="146" t="s">
        <v>14</v>
      </c>
      <c r="J29" s="145" t="s">
        <v>8</v>
      </c>
      <c r="K29" s="145" t="s">
        <v>9</v>
      </c>
      <c r="L29" s="145" t="s">
        <v>10</v>
      </c>
      <c r="M29" s="145"/>
      <c r="N29" s="145"/>
      <c r="O29" s="145"/>
      <c r="P29" s="148" t="s">
        <v>11</v>
      </c>
      <c r="Q29" s="126" t="s">
        <v>130</v>
      </c>
      <c r="R29" s="126" t="s">
        <v>131</v>
      </c>
      <c r="S29" s="126" t="s">
        <v>132</v>
      </c>
    </row>
    <row r="30" spans="2:22" ht="14.45" customHeight="1">
      <c r="B30" s="147"/>
      <c r="C30" s="157"/>
      <c r="D30" s="147"/>
      <c r="E30" s="147"/>
      <c r="F30" s="146"/>
      <c r="G30" s="146"/>
      <c r="H30" s="146"/>
      <c r="I30" s="146"/>
      <c r="J30" s="145"/>
      <c r="K30" s="145"/>
      <c r="L30" s="145"/>
      <c r="M30" s="145"/>
      <c r="N30" s="145"/>
      <c r="O30" s="145"/>
      <c r="P30" s="148"/>
      <c r="Q30" s="126"/>
      <c r="R30" s="126"/>
      <c r="S30" s="126"/>
    </row>
    <row r="31" spans="2:22" ht="14.45" customHeight="1">
      <c r="B31" s="147"/>
      <c r="C31" s="157"/>
      <c r="D31" s="147"/>
      <c r="E31" s="147"/>
      <c r="F31" s="146"/>
      <c r="G31" s="146"/>
      <c r="H31" s="146"/>
      <c r="I31" s="146"/>
      <c r="J31" s="145"/>
      <c r="K31" s="145"/>
      <c r="L31" s="145"/>
      <c r="M31" s="145"/>
      <c r="N31" s="145"/>
      <c r="O31" s="145"/>
      <c r="P31" s="148"/>
      <c r="Q31" s="126"/>
      <c r="R31" s="126"/>
      <c r="S31" s="126"/>
    </row>
    <row r="32" spans="2:22" ht="47.25">
      <c r="B32" s="147"/>
      <c r="C32" s="157"/>
      <c r="D32" s="147"/>
      <c r="E32" s="147"/>
      <c r="F32" s="22" t="s">
        <v>133</v>
      </c>
      <c r="G32" s="22" t="s">
        <v>30</v>
      </c>
      <c r="H32" s="22" t="s">
        <v>69</v>
      </c>
      <c r="I32" s="146"/>
      <c r="J32" s="145"/>
      <c r="K32" s="145"/>
      <c r="L32" s="37" t="s">
        <v>2</v>
      </c>
      <c r="M32" s="37" t="s">
        <v>18</v>
      </c>
      <c r="N32" s="37" t="s">
        <v>20</v>
      </c>
      <c r="O32" s="37" t="s">
        <v>22</v>
      </c>
      <c r="P32" s="148"/>
      <c r="Q32" s="126"/>
      <c r="R32" s="126"/>
      <c r="S32" s="126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2</v>
      </c>
      <c r="E33" s="65">
        <f>'LOOKUP  telda'!F7+'LOOKUP  telda'!G7+'LOOKUP  telda'!H7</f>
        <v>1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1</v>
      </c>
      <c r="P33" s="65">
        <f>'LOOKUP  telda'!Z7</f>
        <v>0</v>
      </c>
      <c r="Q33" s="40">
        <f>T33</f>
        <v>0</v>
      </c>
      <c r="R33" s="40">
        <f>U33</f>
        <v>0</v>
      </c>
      <c r="S33" s="40" t="e">
        <f>VLOOKUP(C33,Sheet3!$A$19:$G$81,7,FALSE)</f>
        <v>#DIV/0!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1</v>
      </c>
      <c r="R35" s="40">
        <f t="shared" si="5"/>
        <v>1</v>
      </c>
      <c r="S35" s="40">
        <f>VLOOKUP(C35,Sheet3!$A$19:$G$81,7,FALSE)</f>
        <v>1</v>
      </c>
      <c r="T35" s="8">
        <f t="shared" si="6"/>
        <v>1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2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1</v>
      </c>
      <c r="R36" s="40">
        <f t="shared" si="5"/>
        <v>1</v>
      </c>
      <c r="S36" s="40">
        <f>VLOOKUP(C36,Sheet3!$A$19:$G$81,7,FALSE)</f>
        <v>1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 t="e">
        <f>VLOOKUP(C37,Sheet3!$A$19:$G$81,7,FALSE)</f>
        <v>#DIV/0!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 t="e">
        <f>VLOOKUP(C38,Sheet3!$A$19:$G$81,7,FALSE)</f>
        <v>#N/A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 t="e">
        <f>VLOOKUP(C39,Sheet3!$A$19:$G$81,7,FALSE)</f>
        <v>#N/A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 t="e">
        <f>VLOOKUP(C40,Sheet3!$A$19:$G$81,7,FALSE)</f>
        <v>#N/A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2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2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 t="e">
        <f>VLOOKUP(C41,Sheet3!$A$19:$G$81,7,FALSE)</f>
        <v>#DIV/0!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1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 t="e">
        <f>VLOOKUP(C42,Sheet3!$A$19:$G$81,7,FALSE)</f>
        <v>#DIV/0!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 t="e">
        <f>VLOOKUP(C43,Sheet3!$A$19:$G$81,7,FALSE)</f>
        <v>#N/A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3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1</v>
      </c>
      <c r="Q44" s="40">
        <f t="shared" si="4"/>
        <v>0.33333333333333331</v>
      </c>
      <c r="R44" s="40">
        <f t="shared" si="5"/>
        <v>1</v>
      </c>
      <c r="S44" s="40">
        <f>VLOOKUP(C44,Sheet3!$A$19:$G$81,7,FALSE)</f>
        <v>1</v>
      </c>
      <c r="T44" s="8">
        <f t="shared" si="6"/>
        <v>0.33333333333333331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5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 t="e">
        <f>VLOOKUP(C46,Sheet3!$A$19:$G$81,7,FALSE)</f>
        <v>#N/A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1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 t="e">
        <f>VLOOKUP(C47,Sheet3!$A$19:$G$81,7,FALSE)</f>
        <v>#DIV/0!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 t="e">
        <f>VLOOKUP(C49,Sheet3!$A$19:$G$81,7,FALSE)</f>
        <v>#N/A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2</v>
      </c>
      <c r="Q53" s="40">
        <f t="shared" si="4"/>
        <v>0.66666666666666663</v>
      </c>
      <c r="R53" s="40">
        <f t="shared" si="5"/>
        <v>1</v>
      </c>
      <c r="S53" s="40">
        <f>VLOOKUP(C53,Sheet3!$A$19:$G$81,7,FALSE)</f>
        <v>1</v>
      </c>
      <c r="T53" s="8">
        <f t="shared" si="6"/>
        <v>0.66666666666666663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2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1</v>
      </c>
      <c r="Q55" s="40">
        <f t="shared" si="4"/>
        <v>0.33333333333333331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0.33333333333333331</v>
      </c>
      <c r="U55" s="8">
        <f t="shared" si="7"/>
        <v>1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 t="e">
        <f>VLOOKUP(C56,Sheet3!$A$19:$G$81,7,FALSE)</f>
        <v>#DIV/0!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6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4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</v>
      </c>
      <c r="Q57" s="40">
        <f t="shared" si="4"/>
        <v>0.33333333333333331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0.33333333333333331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1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</v>
      </c>
      <c r="Q59" s="40">
        <f t="shared" si="4"/>
        <v>1</v>
      </c>
      <c r="R59" s="40">
        <f t="shared" si="5"/>
        <v>1</v>
      </c>
      <c r="S59" s="40">
        <f>VLOOKUP(C59,Sheet3!$A$19:$G$81,7,FALSE)</f>
        <v>1</v>
      </c>
      <c r="T59" s="8">
        <f t="shared" si="6"/>
        <v>1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 t="e">
        <f>VLOOKUP(C60,Sheet3!$A$19:$G$81,7,FALSE)</f>
        <v>#N/A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 t="e">
        <f>VLOOKUP(C61,Sheet3!$A$19:$G$81,7,FALSE)</f>
        <v>#N/A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#N/A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3</v>
      </c>
      <c r="P64" s="69">
        <f>'LOOKUP  telda'!Z38</f>
        <v>1</v>
      </c>
      <c r="Q64" s="40">
        <f t="shared" si="4"/>
        <v>0.16666666666666666</v>
      </c>
      <c r="R64" s="40">
        <f t="shared" si="5"/>
        <v>0.25</v>
      </c>
      <c r="S64" s="40">
        <f>VLOOKUP(C64,Sheet3!$A$19:$G$81,7,FALSE)</f>
        <v>1</v>
      </c>
      <c r="T64" s="8">
        <f t="shared" si="6"/>
        <v>0.16666666666666666</v>
      </c>
      <c r="U64" s="8">
        <f t="shared" si="7"/>
        <v>0.25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 t="e">
        <f>VLOOKUP(C65,Sheet3!$A$19:$G$81,7,FALSE)</f>
        <v>#N/A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6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2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2</v>
      </c>
      <c r="P66" s="69">
        <f>'LOOKUP  telda'!Z40</f>
        <v>1</v>
      </c>
      <c r="Q66" s="40">
        <f t="shared" si="4"/>
        <v>0.2</v>
      </c>
      <c r="R66" s="40">
        <f t="shared" si="5"/>
        <v>0.33333333333333331</v>
      </c>
      <c r="S66" s="40" t="e">
        <f>VLOOKUP(C66,Sheet3!$A$19:$G$81,7,FALSE)</f>
        <v>#N/A</v>
      </c>
      <c r="T66" s="8">
        <f t="shared" si="6"/>
        <v>0.2</v>
      </c>
      <c r="U66" s="8">
        <f t="shared" si="7"/>
        <v>0.33333333333333331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4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4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 t="e">
        <f>VLOOKUP(C67,Sheet3!$A$19:$G$81,7,FALSE)</f>
        <v>#DIV/0!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 t="e">
        <f>VLOOKUP(C68,Sheet3!$A$19:$G$81,7,FALSE)</f>
        <v>#DIV/0!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7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3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1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5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2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#N/A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5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5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 t="e">
        <f>VLOOKUP(C72,Sheet3!$A$19:$G$81,7,FALSE)</f>
        <v>#DIV/0!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3</v>
      </c>
      <c r="E75" s="71">
        <f>'LOOKUP  telda'!F49+'LOOKUP  telda'!G49+'LOOKUP  telda'!H49</f>
        <v>1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2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4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2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2</v>
      </c>
      <c r="Q76" s="40">
        <f t="shared" si="4"/>
        <v>0.5</v>
      </c>
      <c r="R76" s="40">
        <f t="shared" si="5"/>
        <v>1</v>
      </c>
      <c r="S76" s="40">
        <f>VLOOKUP(C76,Sheet3!$A$19:$G$81,7,FALSE)</f>
        <v>1</v>
      </c>
      <c r="T76" s="8">
        <f t="shared" si="6"/>
        <v>0.5</v>
      </c>
      <c r="U76" s="8">
        <f t="shared" si="7"/>
        <v>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0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1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1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1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0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5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1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</v>
      </c>
      <c r="Q80" s="40">
        <f t="shared" si="4"/>
        <v>0.8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0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0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75">
      <c r="B83" s="151" t="s">
        <v>62</v>
      </c>
      <c r="C83" s="151"/>
      <c r="D83" s="26">
        <f>SUM(D33:D82)</f>
        <v>82</v>
      </c>
      <c r="E83" s="26">
        <f>SUM(E33:E82)</f>
        <v>5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45</v>
      </c>
      <c r="K83" s="26">
        <f t="shared" si="8"/>
        <v>2</v>
      </c>
      <c r="L83" s="26">
        <f t="shared" si="8"/>
        <v>0</v>
      </c>
      <c r="M83" s="26">
        <f t="shared" si="8"/>
        <v>1</v>
      </c>
      <c r="N83" s="26">
        <f t="shared" si="8"/>
        <v>0</v>
      </c>
      <c r="O83" s="26">
        <f t="shared" si="8"/>
        <v>9</v>
      </c>
      <c r="P83" s="26">
        <f t="shared" si="8"/>
        <v>21</v>
      </c>
      <c r="Q83" s="41">
        <f>T83</f>
        <v>0.26250000000000001</v>
      </c>
      <c r="R83" s="41">
        <f>U83</f>
        <v>0.67741935483870963</v>
      </c>
      <c r="S83" s="41">
        <f>S15</f>
        <v>1</v>
      </c>
      <c r="T83" s="8">
        <f>P83/(D83-F83-K83-I83)</f>
        <v>0.26250000000000001</v>
      </c>
      <c r="U83" s="8">
        <f>P83/(M83+N83+O83+P83)</f>
        <v>0.67741935483870963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80" t="str">
        <f ca="1">LAPORAN!C1</f>
        <v xml:space="preserve">PROVISIONING NEW SALES INDIBIZ TR3 JBN MTD H-1  2026-09-01 </v>
      </c>
      <c r="B1" s="180"/>
      <c r="C1" s="180"/>
      <c r="D1" s="180"/>
      <c r="E1" s="180"/>
      <c r="F1" s="180"/>
      <c r="G1" s="180"/>
      <c r="H1" s="180"/>
    </row>
    <row r="2" spans="1:8">
      <c r="A2" s="180" t="str">
        <f ca="1">LAPORAN!C2</f>
        <v xml:space="preserve">PERIODE ORDER &amp; PS : 2026-08-01 to  2026-09-01 </v>
      </c>
      <c r="B2" s="180"/>
      <c r="C2" s="180"/>
      <c r="D2" s="180"/>
      <c r="E2" s="180"/>
      <c r="F2" s="180"/>
      <c r="G2" s="180"/>
      <c r="H2" s="180"/>
    </row>
    <row r="3" spans="1:8">
      <c r="A3" s="180" t="str">
        <f>LAPORAN!C3</f>
        <v>Last update proses : 02-09-2026 06:49:05 WIB (Source: ETL XPRO)</v>
      </c>
      <c r="B3" s="180"/>
      <c r="C3" s="180"/>
      <c r="D3" s="180"/>
      <c r="E3" s="180"/>
      <c r="F3" s="180"/>
      <c r="G3" s="180"/>
      <c r="H3" s="180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7</v>
      </c>
      <c r="C6" s="4">
        <f>HARIAN!I10</f>
        <v>0</v>
      </c>
      <c r="D6" s="4">
        <f>HARIAN!P10</f>
        <v>4</v>
      </c>
      <c r="E6" s="77">
        <f t="shared" ref="E6:E11" si="0">C6/B6</f>
        <v>0</v>
      </c>
      <c r="F6" s="78">
        <f>HARIAN!Q10</f>
        <v>0.5714285714285714</v>
      </c>
      <c r="G6" s="78">
        <f>HARIAN!R10</f>
        <v>0.8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12</v>
      </c>
      <c r="C7" s="4">
        <f>HARIAN!I11</f>
        <v>0</v>
      </c>
      <c r="D7" s="4">
        <f>HARIAN!P11</f>
        <v>1</v>
      </c>
      <c r="E7" s="77">
        <f t="shared" si="0"/>
        <v>0</v>
      </c>
      <c r="F7" s="78">
        <f>HARIAN!Q11</f>
        <v>8.3333333333333329E-2</v>
      </c>
      <c r="G7" s="78">
        <f>HARIAN!R11</f>
        <v>1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14</v>
      </c>
      <c r="C8" s="4">
        <f>HARIAN!I12</f>
        <v>0</v>
      </c>
      <c r="D8" s="4">
        <f>HARIAN!P12</f>
        <v>6</v>
      </c>
      <c r="E8" s="77">
        <f t="shared" si="0"/>
        <v>0</v>
      </c>
      <c r="F8" s="78">
        <f>HARIAN!Q12</f>
        <v>0.42857142857142855</v>
      </c>
      <c r="G8" s="78">
        <f>HARIAN!R12</f>
        <v>1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34</v>
      </c>
      <c r="C9" s="4">
        <f>HARIAN!I13</f>
        <v>0</v>
      </c>
      <c r="D9" s="4">
        <f>HARIAN!P13</f>
        <v>2</v>
      </c>
      <c r="E9" s="77">
        <f t="shared" si="0"/>
        <v>0</v>
      </c>
      <c r="F9" s="78">
        <f>HARIAN!Q13</f>
        <v>6.25E-2</v>
      </c>
      <c r="G9" s="78">
        <f>HARIAN!R13</f>
        <v>0.18181818181818182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15</v>
      </c>
      <c r="C10" s="4">
        <f>HARIAN!I14</f>
        <v>0</v>
      </c>
      <c r="D10" s="4">
        <f>HARIAN!P14</f>
        <v>7</v>
      </c>
      <c r="E10" s="77">
        <f t="shared" si="0"/>
        <v>0</v>
      </c>
      <c r="F10" s="78">
        <f>HARIAN!Q14</f>
        <v>0.46666666666666667</v>
      </c>
      <c r="G10" s="78">
        <f>HARIAN!R14</f>
        <v>1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82</v>
      </c>
      <c r="C11" s="80">
        <f>HARIAN!I15</f>
        <v>0</v>
      </c>
      <c r="D11" s="80">
        <f>HARIAN!P15</f>
        <v>20</v>
      </c>
      <c r="E11" s="81">
        <f t="shared" si="0"/>
        <v>0</v>
      </c>
      <c r="F11" s="82">
        <f>HARIAN!Q15</f>
        <v>0.25</v>
      </c>
      <c r="G11" s="82">
        <f>HARIAN!R15</f>
        <v>0.66666666666666663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S3" sqref="S3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20" t="str">
        <f ca="1">"PROVISIONING NEW SALES INDIBIZ TR3 JBN MTD H-1  "&amp;TEXT(TODAY()-1,"YYYY-MM-DD ")</f>
        <v xml:space="preserve">PROVISIONING NEW SALES INDIBIZ TR3 JBN MTD H-1  2026-09-01 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20"/>
    </row>
    <row r="2" spans="3:19" ht="18.75">
      <c r="C2" s="120" t="str">
        <f ca="1">"PERIODE ORDER &amp; PS : 2026-08-01 to  "&amp;TEXT(TODAY()-1,"YYYY-MM-DD ")</f>
        <v xml:space="preserve">PERIODE ORDER &amp; PS : 2026-08-01 to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</row>
    <row r="3" spans="3:19" ht="15.75">
      <c r="C3" s="188" t="s">
        <v>1528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93"/>
    </row>
    <row r="5" spans="3:19" ht="15" customHeight="1">
      <c r="C5" s="164" t="s">
        <v>1</v>
      </c>
      <c r="D5" s="164" t="s">
        <v>129</v>
      </c>
      <c r="E5" s="164" t="s">
        <v>67</v>
      </c>
      <c r="F5" s="127" t="s">
        <v>12</v>
      </c>
      <c r="G5" s="128"/>
      <c r="H5" s="129"/>
      <c r="I5" s="167" t="s">
        <v>14</v>
      </c>
      <c r="J5" s="170" t="s">
        <v>8</v>
      </c>
      <c r="K5" s="170" t="s">
        <v>9</v>
      </c>
      <c r="L5" s="136" t="s">
        <v>10</v>
      </c>
      <c r="M5" s="137"/>
      <c r="N5" s="137"/>
      <c r="O5" s="138"/>
      <c r="P5" s="173" t="s">
        <v>11</v>
      </c>
      <c r="Q5" s="123" t="s">
        <v>130</v>
      </c>
      <c r="R5" s="123" t="s">
        <v>865</v>
      </c>
      <c r="S5" s="123" t="s">
        <v>866</v>
      </c>
    </row>
    <row r="6" spans="3:19" ht="6.75" customHeight="1">
      <c r="C6" s="165"/>
      <c r="D6" s="165"/>
      <c r="E6" s="165"/>
      <c r="F6" s="130"/>
      <c r="G6" s="131"/>
      <c r="H6" s="132"/>
      <c r="I6" s="168"/>
      <c r="J6" s="171"/>
      <c r="K6" s="171"/>
      <c r="L6" s="139"/>
      <c r="M6" s="140"/>
      <c r="N6" s="140"/>
      <c r="O6" s="141"/>
      <c r="P6" s="174"/>
      <c r="Q6" s="124"/>
      <c r="R6" s="124"/>
      <c r="S6" s="124"/>
    </row>
    <row r="7" spans="3:19" ht="4.5" customHeight="1">
      <c r="C7" s="165"/>
      <c r="D7" s="165"/>
      <c r="E7" s="165"/>
      <c r="F7" s="133"/>
      <c r="G7" s="134"/>
      <c r="H7" s="135"/>
      <c r="I7" s="168"/>
      <c r="J7" s="171"/>
      <c r="K7" s="171"/>
      <c r="L7" s="142"/>
      <c r="M7" s="143"/>
      <c r="N7" s="143"/>
      <c r="O7" s="144"/>
      <c r="P7" s="174"/>
      <c r="Q7" s="124"/>
      <c r="R7" s="124"/>
      <c r="S7" s="124"/>
    </row>
    <row r="8" spans="3:19" ht="45" customHeight="1">
      <c r="C8" s="166"/>
      <c r="D8" s="166"/>
      <c r="E8" s="166"/>
      <c r="F8" s="22" t="s">
        <v>133</v>
      </c>
      <c r="G8" s="22" t="s">
        <v>30</v>
      </c>
      <c r="H8" s="22" t="s">
        <v>69</v>
      </c>
      <c r="I8" s="169"/>
      <c r="J8" s="172"/>
      <c r="K8" s="172"/>
      <c r="L8" s="37" t="s">
        <v>2</v>
      </c>
      <c r="M8" s="37" t="s">
        <v>18</v>
      </c>
      <c r="N8" s="37" t="s">
        <v>20</v>
      </c>
      <c r="O8" s="37" t="s">
        <v>22</v>
      </c>
      <c r="P8" s="175"/>
      <c r="Q8" s="125"/>
      <c r="R8" s="125"/>
      <c r="S8" s="125"/>
    </row>
    <row r="9" spans="3:19" ht="15.75">
      <c r="C9" s="23" t="s">
        <v>34</v>
      </c>
      <c r="D9" s="24">
        <f>HARIAN!D10</f>
        <v>7</v>
      </c>
      <c r="E9" s="24">
        <f>HARIAN!E10</f>
        <v>1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0</v>
      </c>
      <c r="M9" s="24">
        <f>HARIAN!M10</f>
        <v>0</v>
      </c>
      <c r="N9" s="24">
        <f>HARIAN!N10</f>
        <v>0</v>
      </c>
      <c r="O9" s="24">
        <f>HARIAN!O10</f>
        <v>1</v>
      </c>
      <c r="P9" s="24">
        <f>HARIAN!P10</f>
        <v>4</v>
      </c>
      <c r="Q9" s="40">
        <f>HARIAN!Q10</f>
        <v>0.5714285714285714</v>
      </c>
      <c r="R9" s="40">
        <f>HARIAN!R10</f>
        <v>0.8</v>
      </c>
      <c r="S9" s="40">
        <f>HARIAN!S10</f>
        <v>1</v>
      </c>
    </row>
    <row r="10" spans="3:19" ht="15.75">
      <c r="C10" s="23" t="s">
        <v>38</v>
      </c>
      <c r="D10" s="24">
        <f>HARIAN!D11</f>
        <v>12</v>
      </c>
      <c r="E10" s="24">
        <f>HARIAN!E11</f>
        <v>1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10</v>
      </c>
      <c r="K10" s="24">
        <f>HARIAN!K11</f>
        <v>0</v>
      </c>
      <c r="L10" s="24">
        <f>HARIAN!L11</f>
        <v>0</v>
      </c>
      <c r="M10" s="24">
        <f>HARIAN!M11</f>
        <v>0</v>
      </c>
      <c r="N10" s="24">
        <f>HARIAN!N11</f>
        <v>0</v>
      </c>
      <c r="O10" s="24">
        <f>HARIAN!O11</f>
        <v>0</v>
      </c>
      <c r="P10" s="24">
        <f>HARIAN!P11</f>
        <v>1</v>
      </c>
      <c r="Q10" s="40">
        <f>HARIAN!Q11</f>
        <v>8.3333333333333329E-2</v>
      </c>
      <c r="R10" s="40">
        <f>HARIAN!R11</f>
        <v>1</v>
      </c>
      <c r="S10" s="40">
        <f>HARIAN!S11</f>
        <v>1</v>
      </c>
    </row>
    <row r="11" spans="3:19" ht="15.75">
      <c r="C11" s="23" t="s">
        <v>42</v>
      </c>
      <c r="D11" s="24">
        <f>HARIAN!D12</f>
        <v>14</v>
      </c>
      <c r="E11" s="24">
        <f>HARIAN!E12</f>
        <v>0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8</v>
      </c>
      <c r="K11" s="24">
        <f>HARIAN!K12</f>
        <v>0</v>
      </c>
      <c r="L11" s="24">
        <f>HARIAN!L12</f>
        <v>0</v>
      </c>
      <c r="M11" s="24">
        <f>HARIAN!M12</f>
        <v>0</v>
      </c>
      <c r="N11" s="24">
        <f>HARIAN!N12</f>
        <v>0</v>
      </c>
      <c r="O11" s="24">
        <f>HARIAN!O12</f>
        <v>0</v>
      </c>
      <c r="P11" s="24">
        <f>HARIAN!P12</f>
        <v>6</v>
      </c>
      <c r="Q11" s="40">
        <f>HARIAN!Q12</f>
        <v>0.42857142857142855</v>
      </c>
      <c r="R11" s="40">
        <f>HARIAN!R12</f>
        <v>1</v>
      </c>
      <c r="S11" s="40">
        <f>HARIAN!S12</f>
        <v>1</v>
      </c>
    </row>
    <row r="12" spans="3:19" ht="15.75">
      <c r="C12" s="23" t="s">
        <v>45</v>
      </c>
      <c r="D12" s="24">
        <f>HARIAN!D13</f>
        <v>34</v>
      </c>
      <c r="E12" s="24">
        <f>HARIAN!E13</f>
        <v>2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19</v>
      </c>
      <c r="K12" s="24">
        <f>HARIAN!K13</f>
        <v>2</v>
      </c>
      <c r="L12" s="24">
        <f>HARIAN!L13</f>
        <v>0</v>
      </c>
      <c r="M12" s="24">
        <f>HARIAN!M13</f>
        <v>1</v>
      </c>
      <c r="N12" s="24">
        <f>HARIAN!N13</f>
        <v>0</v>
      </c>
      <c r="O12" s="24">
        <f>HARIAN!O13</f>
        <v>8</v>
      </c>
      <c r="P12" s="24">
        <f>HARIAN!P13</f>
        <v>2</v>
      </c>
      <c r="Q12" s="40">
        <f>HARIAN!Q13</f>
        <v>6.25E-2</v>
      </c>
      <c r="R12" s="40">
        <f>HARIAN!R13</f>
        <v>0.18181818181818182</v>
      </c>
      <c r="S12" s="40">
        <f>HARIAN!S13</f>
        <v>1</v>
      </c>
    </row>
    <row r="13" spans="3:19" ht="15.75">
      <c r="C13" s="23" t="s">
        <v>55</v>
      </c>
      <c r="D13" s="24">
        <f>HARIAN!D14</f>
        <v>15</v>
      </c>
      <c r="E13" s="24">
        <f>HARIAN!E14</f>
        <v>1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0</v>
      </c>
      <c r="J13" s="24">
        <f>HARIAN!J14</f>
        <v>7</v>
      </c>
      <c r="K13" s="24">
        <f>HARIAN!K14</f>
        <v>0</v>
      </c>
      <c r="L13" s="24">
        <f>HARIAN!L14</f>
        <v>0</v>
      </c>
      <c r="M13" s="24">
        <f>HARIAN!M14</f>
        <v>0</v>
      </c>
      <c r="N13" s="24">
        <f>HARIAN!N14</f>
        <v>0</v>
      </c>
      <c r="O13" s="24">
        <f>HARIAN!O14</f>
        <v>0</v>
      </c>
      <c r="P13" s="24">
        <f>HARIAN!P14</f>
        <v>7</v>
      </c>
      <c r="Q13" s="40">
        <f>HARIAN!Q14</f>
        <v>0.46666666666666667</v>
      </c>
      <c r="R13" s="40">
        <f>HARIAN!R14</f>
        <v>1</v>
      </c>
      <c r="S13" s="40">
        <f>HARIAN!S14</f>
        <v>1</v>
      </c>
    </row>
    <row r="14" spans="3:19" ht="15.75">
      <c r="C14" s="25" t="s">
        <v>62</v>
      </c>
      <c r="D14" s="26">
        <f>SUM(D9:D13)</f>
        <v>82</v>
      </c>
      <c r="E14" s="26">
        <f>SUM(E9:E13)</f>
        <v>5</v>
      </c>
      <c r="F14" s="26">
        <f>SUM(F9:F13)</f>
        <v>0</v>
      </c>
      <c r="G14" s="26">
        <f t="shared" ref="G14:P14" si="0">SUM(G9:G13)</f>
        <v>0</v>
      </c>
      <c r="H14" s="26">
        <f t="shared" si="0"/>
        <v>0</v>
      </c>
      <c r="I14" s="26">
        <f t="shared" si="0"/>
        <v>0</v>
      </c>
      <c r="J14" s="26">
        <f t="shared" si="0"/>
        <v>45</v>
      </c>
      <c r="K14" s="26">
        <f t="shared" si="0"/>
        <v>2</v>
      </c>
      <c r="L14" s="26">
        <f t="shared" si="0"/>
        <v>0</v>
      </c>
      <c r="M14" s="26">
        <f t="shared" si="0"/>
        <v>1</v>
      </c>
      <c r="N14" s="26">
        <f t="shared" si="0"/>
        <v>0</v>
      </c>
      <c r="O14" s="26">
        <f t="shared" si="0"/>
        <v>9</v>
      </c>
      <c r="P14" s="26">
        <f t="shared" si="0"/>
        <v>20</v>
      </c>
      <c r="Q14" s="41">
        <f>HARIAN!Q15</f>
        <v>0.25</v>
      </c>
      <c r="R14" s="41">
        <f>HARIAN!R15</f>
        <v>0.66666666666666663</v>
      </c>
      <c r="S14" s="41">
        <f>HARIAN!S15</f>
        <v>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9" t="s">
        <v>72</v>
      </c>
      <c r="E16" s="160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49" t="s">
        <v>73</v>
      </c>
      <c r="E17" s="150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9" t="s">
        <v>74</v>
      </c>
      <c r="E18" s="150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9" t="s">
        <v>75</v>
      </c>
      <c r="E19" s="150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9" t="s">
        <v>76</v>
      </c>
      <c r="E20" s="150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6" t="s">
        <v>138</v>
      </c>
      <c r="E21" s="177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0" t="str">
        <f ca="1">C1</f>
        <v xml:space="preserve">PROVISIONING NEW SALES INDIBIZ TR3 JBN MTD H-1  2026-09-01 </v>
      </c>
      <c r="C23" s="180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83"/>
    </row>
    <row r="24" spans="2:21">
      <c r="B24" s="180" t="str">
        <f ca="1">C2</f>
        <v xml:space="preserve">PERIODE ORDER &amp; PS : 2026-08-01 to  2026-09-01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83"/>
    </row>
    <row r="25" spans="2:21" ht="18.75">
      <c r="B25" s="179" t="str">
        <f>C3</f>
        <v>Last update proses : 02-09-2026 06:49:05 WIB (Source: ETL XPRO)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5"/>
    </row>
    <row r="26" spans="2:21" ht="6.75" customHeight="1"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47" t="s">
        <v>67</v>
      </c>
      <c r="F28" s="187" t="s">
        <v>12</v>
      </c>
      <c r="G28" s="187"/>
      <c r="H28" s="187"/>
      <c r="I28" s="187" t="s">
        <v>14</v>
      </c>
      <c r="J28" s="145" t="s">
        <v>8</v>
      </c>
      <c r="K28" s="145" t="s">
        <v>9</v>
      </c>
      <c r="L28" s="181" t="s">
        <v>10</v>
      </c>
      <c r="M28" s="181"/>
      <c r="N28" s="181"/>
      <c r="O28" s="181"/>
      <c r="P28" s="148" t="s">
        <v>11</v>
      </c>
      <c r="Q28" s="126" t="s">
        <v>130</v>
      </c>
      <c r="R28" s="123" t="s">
        <v>865</v>
      </c>
      <c r="S28" s="123" t="s">
        <v>866</v>
      </c>
    </row>
    <row r="29" spans="2:21" ht="15" customHeight="1">
      <c r="B29" s="157"/>
      <c r="C29" s="157"/>
      <c r="D29" s="157"/>
      <c r="E29" s="147"/>
      <c r="F29" s="187"/>
      <c r="G29" s="187"/>
      <c r="H29" s="187"/>
      <c r="I29" s="187"/>
      <c r="J29" s="145"/>
      <c r="K29" s="145"/>
      <c r="L29" s="181"/>
      <c r="M29" s="181"/>
      <c r="N29" s="181"/>
      <c r="O29" s="181"/>
      <c r="P29" s="148"/>
      <c r="Q29" s="126"/>
      <c r="R29" s="124"/>
      <c r="S29" s="124"/>
    </row>
    <row r="30" spans="2:21" ht="15" customHeight="1">
      <c r="B30" s="157"/>
      <c r="C30" s="157"/>
      <c r="D30" s="157"/>
      <c r="E30" s="147"/>
      <c r="F30" s="187"/>
      <c r="G30" s="187"/>
      <c r="H30" s="187"/>
      <c r="I30" s="187"/>
      <c r="J30" s="145"/>
      <c r="K30" s="145"/>
      <c r="L30" s="181"/>
      <c r="M30" s="181"/>
      <c r="N30" s="181"/>
      <c r="O30" s="181"/>
      <c r="P30" s="148"/>
      <c r="Q30" s="126"/>
      <c r="R30" s="124"/>
      <c r="S30" s="124"/>
    </row>
    <row r="31" spans="2:21" s="19" customFormat="1" ht="48" customHeight="1">
      <c r="B31" s="157"/>
      <c r="C31" s="157"/>
      <c r="D31" s="157"/>
      <c r="E31" s="147"/>
      <c r="F31" s="22" t="s">
        <v>133</v>
      </c>
      <c r="G31" s="22" t="s">
        <v>30</v>
      </c>
      <c r="H31" s="22" t="s">
        <v>69</v>
      </c>
      <c r="I31" s="187"/>
      <c r="J31" s="145"/>
      <c r="K31" s="145"/>
      <c r="L31" s="37" t="s">
        <v>2</v>
      </c>
      <c r="M31" s="37" t="s">
        <v>18</v>
      </c>
      <c r="N31" s="37" t="s">
        <v>20</v>
      </c>
      <c r="O31" s="37" t="s">
        <v>22</v>
      </c>
      <c r="P31" s="148"/>
      <c r="Q31" s="126"/>
      <c r="R31" s="125"/>
      <c r="S31" s="125"/>
    </row>
    <row r="32" spans="2:21" ht="15.75">
      <c r="B32" s="182" t="s">
        <v>34</v>
      </c>
      <c r="C32" s="88" t="s">
        <v>79</v>
      </c>
      <c r="D32" s="65">
        <f>HARIAN!D33</f>
        <v>2</v>
      </c>
      <c r="E32" s="65">
        <f>HARIAN!E33</f>
        <v>1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1</v>
      </c>
      <c r="P32" s="65">
        <f>HARIAN!P33</f>
        <v>0</v>
      </c>
      <c r="Q32" s="40">
        <f>T32</f>
        <v>0</v>
      </c>
      <c r="R32" s="40">
        <f t="shared" ref="R32:R67" si="1">U32</f>
        <v>0</v>
      </c>
      <c r="S32" s="40" t="e">
        <f>VLOOKUP(C32,Sheet3!$A$19:$G$81,7,FALSE)</f>
        <v>#DIV/0!</v>
      </c>
      <c r="T32" s="10">
        <f>P32/(D32-F32-K32-I32)</f>
        <v>0</v>
      </c>
      <c r="U32" s="10">
        <f>P32/(M32+N32+O32+P32)</f>
        <v>0</v>
      </c>
    </row>
    <row r="33" spans="2:21" ht="15.75">
      <c r="B33" s="182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 t="e">
        <f>VLOOKUP(C33,Sheet3!$A$19:$G$81,7,FALSE)</f>
        <v>#N/A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75">
      <c r="B34" s="182"/>
      <c r="C34" s="88" t="s">
        <v>81</v>
      </c>
      <c r="D34" s="65">
        <f>HARIAN!D35</f>
        <v>2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1</v>
      </c>
      <c r="R34" s="40">
        <f t="shared" si="1"/>
        <v>1</v>
      </c>
      <c r="S34" s="40">
        <f>VLOOKUP(C34,Sheet3!$A$19:$G$81,7,FALSE)</f>
        <v>1</v>
      </c>
      <c r="T34" s="10">
        <f t="shared" si="3"/>
        <v>1</v>
      </c>
      <c r="U34" s="10">
        <f t="shared" si="4"/>
        <v>1</v>
      </c>
    </row>
    <row r="35" spans="2:21" ht="15.75">
      <c r="B35" s="182"/>
      <c r="C35" s="88" t="s">
        <v>82</v>
      </c>
      <c r="D35" s="65">
        <f>HARIAN!D36</f>
        <v>2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1</v>
      </c>
      <c r="R35" s="40">
        <f t="shared" si="1"/>
        <v>1</v>
      </c>
      <c r="S35" s="40">
        <f>VLOOKUP(C35,Sheet3!$A$19:$G$81,7,FALSE)</f>
        <v>1</v>
      </c>
      <c r="T35" s="10">
        <f t="shared" si="3"/>
        <v>1</v>
      </c>
      <c r="U35" s="10">
        <f t="shared" si="4"/>
        <v>1</v>
      </c>
    </row>
    <row r="36" spans="2:21" ht="15.75">
      <c r="B36" s="182"/>
      <c r="C36" s="88" t="s">
        <v>83</v>
      </c>
      <c r="D36" s="65">
        <f>HARIAN!D37</f>
        <v>1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>
        <f t="shared" si="2"/>
        <v>0</v>
      </c>
      <c r="R36" s="40" t="e">
        <f t="shared" si="1"/>
        <v>#DIV/0!</v>
      </c>
      <c r="S36" s="40" t="e">
        <f>VLOOKUP(C36,Sheet3!$A$19:$G$81,7,FALSE)</f>
        <v>#DIV/0!</v>
      </c>
      <c r="T36" s="10">
        <f t="shared" si="3"/>
        <v>0</v>
      </c>
      <c r="U36" s="10" t="e">
        <f t="shared" si="4"/>
        <v>#DIV/0!</v>
      </c>
    </row>
    <row r="37" spans="2:21" ht="15.75">
      <c r="B37" s="182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 t="e">
        <f>VLOOKUP(C37,Sheet3!$A$19:$G$81,7,FALSE)</f>
        <v>#N/A</v>
      </c>
      <c r="T37" s="10" t="e">
        <f t="shared" si="3"/>
        <v>#DIV/0!</v>
      </c>
      <c r="U37" s="10">
        <f t="shared" si="4"/>
        <v>1</v>
      </c>
    </row>
    <row r="38" spans="2:21" ht="15.75">
      <c r="B38" s="182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 t="e">
        <f>VLOOKUP(C38,Sheet3!$A$19:$G$81,7,FALSE)</f>
        <v>#N/A</v>
      </c>
      <c r="T38" s="10" t="e">
        <f t="shared" si="3"/>
        <v>#DIV/0!</v>
      </c>
      <c r="U38" s="10" t="e">
        <f t="shared" si="4"/>
        <v>#DIV/0!</v>
      </c>
    </row>
    <row r="39" spans="2:21" ht="15.75">
      <c r="B39" s="183" t="s">
        <v>38</v>
      </c>
      <c r="C39" s="89" t="s">
        <v>87</v>
      </c>
      <c r="D39" s="67">
        <f>HARIAN!D41</f>
        <v>2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2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>
        <f t="shared" si="2"/>
        <v>0</v>
      </c>
      <c r="R39" s="40" t="e">
        <f t="shared" si="1"/>
        <v>#DIV/0!</v>
      </c>
      <c r="S39" s="40" t="e">
        <f>VLOOKUP(C39,Sheet3!$A$19:$G$81,7,FALSE)</f>
        <v>#DIV/0!</v>
      </c>
      <c r="T39" s="10">
        <f t="shared" si="3"/>
        <v>0</v>
      </c>
      <c r="U39" s="10" t="e">
        <f t="shared" si="4"/>
        <v>#DIV/0!</v>
      </c>
    </row>
    <row r="40" spans="2:21" ht="15.75">
      <c r="B40" s="183"/>
      <c r="C40" s="89" t="s">
        <v>88</v>
      </c>
      <c r="D40" s="67">
        <f>HARIAN!D42+HARIAN!D52</f>
        <v>1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>
        <f t="shared" si="2"/>
        <v>0</v>
      </c>
      <c r="R40" s="40" t="e">
        <f t="shared" si="1"/>
        <v>#DIV/0!</v>
      </c>
      <c r="S40" s="40" t="e">
        <f>VLOOKUP(C40,Sheet3!$A$19:$G$81,7,FALSE)</f>
        <v>#DIV/0!</v>
      </c>
      <c r="T40" s="10">
        <f t="shared" si="3"/>
        <v>0</v>
      </c>
      <c r="U40" s="10" t="e">
        <f t="shared" si="4"/>
        <v>#DIV/0!</v>
      </c>
    </row>
    <row r="41" spans="2:21" ht="15.75">
      <c r="B41" s="183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 t="e">
        <f>VLOOKUP(C41,Sheet3!$A$19:$G$81,7,FALSE)</f>
        <v>#N/A</v>
      </c>
      <c r="T41" s="10" t="e">
        <f t="shared" si="3"/>
        <v>#DIV/0!</v>
      </c>
      <c r="U41" s="10" t="e">
        <f t="shared" si="4"/>
        <v>#DIV/0!</v>
      </c>
    </row>
    <row r="42" spans="2:21" ht="15.75">
      <c r="B42" s="183"/>
      <c r="C42" s="89" t="s">
        <v>90</v>
      </c>
      <c r="D42" s="67">
        <f>HARIAN!D44</f>
        <v>3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1</v>
      </c>
      <c r="Q42" s="40">
        <f t="shared" si="2"/>
        <v>0.33333333333333331</v>
      </c>
      <c r="R42" s="40">
        <f t="shared" si="1"/>
        <v>1</v>
      </c>
      <c r="S42" s="40">
        <f>VLOOKUP(C42,Sheet3!$A$19:$G$81,7,FALSE)</f>
        <v>1</v>
      </c>
      <c r="T42" s="10">
        <f t="shared" si="3"/>
        <v>0.33333333333333331</v>
      </c>
      <c r="U42" s="10">
        <f t="shared" si="4"/>
        <v>1</v>
      </c>
    </row>
    <row r="43" spans="2:21" ht="15.75">
      <c r="B43" s="183"/>
      <c r="C43" s="89" t="s">
        <v>248</v>
      </c>
      <c r="D43" s="67">
        <f>HARIAN!D45</f>
        <v>5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>
        <f t="shared" si="2"/>
        <v>0</v>
      </c>
      <c r="R43" s="40" t="e">
        <f t="shared" si="1"/>
        <v>#DIV/0!</v>
      </c>
      <c r="S43" s="40" t="e">
        <f>VLOOKUP(C43,Sheet3!$A$19:$G$81,7,FALSE)</f>
        <v>#DIV/0!</v>
      </c>
      <c r="T43" s="10">
        <f t="shared" si="3"/>
        <v>0</v>
      </c>
      <c r="U43" s="10" t="e">
        <f t="shared" si="4"/>
        <v>#DIV/0!</v>
      </c>
    </row>
    <row r="44" spans="2:21" ht="15.75">
      <c r="B44" s="183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 t="e">
        <f>VLOOKUP(C44,Sheet3!$A$19:$G$81,7,FALSE)</f>
        <v>#N/A</v>
      </c>
      <c r="T44" s="10" t="e">
        <f t="shared" si="3"/>
        <v>#DIV/0!</v>
      </c>
      <c r="U44" s="10" t="e">
        <f t="shared" si="4"/>
        <v>#DIV/0!</v>
      </c>
    </row>
    <row r="45" spans="2:21" ht="15.75">
      <c r="B45" s="183"/>
      <c r="C45" s="89" t="s">
        <v>93</v>
      </c>
      <c r="D45" s="67">
        <f>HARIAN!D47</f>
        <v>1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>
        <f t="shared" si="2"/>
        <v>0</v>
      </c>
      <c r="R45" s="40" t="e">
        <f t="shared" si="1"/>
        <v>#DIV/0!</v>
      </c>
      <c r="S45" s="40" t="e">
        <f>VLOOKUP(C45,Sheet3!$A$19:$G$81,7,FALSE)</f>
        <v>#DIV/0!</v>
      </c>
      <c r="T45" s="10">
        <f t="shared" si="3"/>
        <v>0</v>
      </c>
      <c r="U45" s="10" t="e">
        <f t="shared" si="4"/>
        <v>#DIV/0!</v>
      </c>
    </row>
    <row r="46" spans="2:21" ht="15.75">
      <c r="B46" s="183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 t="e">
        <f>VLOOKUP(C46,Sheet3!$A$19:$G$81,7,FALSE)</f>
        <v>#N/A</v>
      </c>
      <c r="T46" s="10" t="e">
        <f t="shared" si="3"/>
        <v>#DIV/0!</v>
      </c>
      <c r="U46" s="10" t="e">
        <f t="shared" si="4"/>
        <v>#DIV/0!</v>
      </c>
    </row>
    <row r="47" spans="2:21" ht="15.75">
      <c r="B47" s="183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 t="e">
        <f>VLOOKUP(C47,Sheet3!$A$19:$G$81,7,FALSE)</f>
        <v>#N/A</v>
      </c>
      <c r="T47" s="10" t="e">
        <f t="shared" si="3"/>
        <v>#DIV/0!</v>
      </c>
      <c r="U47" s="10" t="e">
        <f t="shared" si="4"/>
        <v>#DIV/0!</v>
      </c>
    </row>
    <row r="48" spans="2:21" ht="15.75">
      <c r="B48" s="184" t="s">
        <v>42</v>
      </c>
      <c r="C48" s="90" t="s">
        <v>99</v>
      </c>
      <c r="D48" s="63">
        <f>HARIAN!D53+HARIAN!D62</f>
        <v>3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2</v>
      </c>
      <c r="Q48" s="40">
        <f t="shared" si="2"/>
        <v>0.66666666666666663</v>
      </c>
      <c r="R48" s="40">
        <f t="shared" si="1"/>
        <v>1</v>
      </c>
      <c r="S48" s="40">
        <f>VLOOKUP(C48,Sheet3!$A$19:$G$81,7,FALSE)</f>
        <v>1</v>
      </c>
      <c r="T48" s="10">
        <f t="shared" si="3"/>
        <v>0.66666666666666663</v>
      </c>
      <c r="U48" s="10">
        <f t="shared" si="4"/>
        <v>1</v>
      </c>
    </row>
    <row r="49" spans="2:21" ht="15.75">
      <c r="B49" s="184"/>
      <c r="C49" s="90" t="s">
        <v>102</v>
      </c>
      <c r="D49" s="63">
        <f>HARIAN!D54+HARIAN!D56</f>
        <v>1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>
        <f t="shared" si="2"/>
        <v>0</v>
      </c>
      <c r="R49" s="40" t="e">
        <f t="shared" si="1"/>
        <v>#DIV/0!</v>
      </c>
      <c r="S49" s="40" t="e">
        <f>VLOOKUP(C49,Sheet3!$A$19:$G$81,7,FALSE)</f>
        <v>#DIV/0!</v>
      </c>
      <c r="T49" s="10">
        <f t="shared" si="3"/>
        <v>0</v>
      </c>
      <c r="U49" s="10" t="e">
        <f t="shared" si="4"/>
        <v>#DIV/0!</v>
      </c>
    </row>
    <row r="50" spans="2:21" ht="15.75">
      <c r="B50" s="184"/>
      <c r="C50" s="90" t="s">
        <v>232</v>
      </c>
      <c r="D50" s="63">
        <f>HARIAN!D55</f>
        <v>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2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1</v>
      </c>
      <c r="Q50" s="40">
        <f t="shared" si="2"/>
        <v>0.33333333333333331</v>
      </c>
      <c r="R50" s="40">
        <f t="shared" si="1"/>
        <v>1</v>
      </c>
      <c r="S50" s="40">
        <f>VLOOKUP(C50,Sheet3!$A$19:$G$81,7,FALSE)</f>
        <v>1</v>
      </c>
      <c r="T50" s="10">
        <f t="shared" si="3"/>
        <v>0.33333333333333331</v>
      </c>
      <c r="U50" s="10">
        <f t="shared" si="4"/>
        <v>1</v>
      </c>
    </row>
    <row r="51" spans="2:21" ht="15.75">
      <c r="B51" s="184"/>
      <c r="C51" s="90" t="s">
        <v>105</v>
      </c>
      <c r="D51" s="63">
        <f>HARIAN!D57+HARIAN!D59</f>
        <v>7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4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3</v>
      </c>
      <c r="Q51" s="40">
        <f t="shared" si="2"/>
        <v>0.42857142857142855</v>
      </c>
      <c r="R51" s="40">
        <f t="shared" si="1"/>
        <v>1</v>
      </c>
      <c r="S51" s="40">
        <f>VLOOKUP(C51,Sheet3!$A$19:$G$81,7,FALSE)</f>
        <v>1</v>
      </c>
      <c r="T51" s="10">
        <f t="shared" si="3"/>
        <v>0.42857142857142855</v>
      </c>
      <c r="U51" s="10">
        <f t="shared" si="4"/>
        <v>1</v>
      </c>
    </row>
    <row r="52" spans="2:21" ht="15.75">
      <c r="B52" s="184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 t="e">
        <f>VLOOKUP(C52,Sheet3!$A$19:$G$81,7,FALSE)</f>
        <v>#N/A</v>
      </c>
      <c r="T52" s="10" t="e">
        <f t="shared" si="3"/>
        <v>#DIV/0!</v>
      </c>
      <c r="U52" s="10" t="e">
        <f t="shared" si="4"/>
        <v>#DIV/0!</v>
      </c>
    </row>
    <row r="53" spans="2:21" ht="15.75">
      <c r="B53" s="184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 t="e">
        <f>VLOOKUP(C53,Sheet3!$A$19:$G$81,7,FALSE)</f>
        <v>#N/A</v>
      </c>
      <c r="T53" s="10" t="e">
        <f t="shared" si="3"/>
        <v>#DIV/0!</v>
      </c>
      <c r="U53" s="10" t="e">
        <f t="shared" si="4"/>
        <v>#DIV/0!</v>
      </c>
    </row>
    <row r="54" spans="2:21" ht="15.75">
      <c r="B54" s="185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 t="e">
        <f>VLOOKUP(C54,Sheet3!$A$19:$G$81,7,FALSE)</f>
        <v>#N/A</v>
      </c>
      <c r="T54" s="10" t="e">
        <f t="shared" si="3"/>
        <v>#DIV/0!</v>
      </c>
      <c r="U54" s="10" t="e">
        <f t="shared" si="4"/>
        <v>#DIV/0!</v>
      </c>
    </row>
    <row r="55" spans="2:21" ht="15.75">
      <c r="B55" s="185"/>
      <c r="C55" s="91" t="s">
        <v>110</v>
      </c>
      <c r="D55" s="69">
        <f>HARIAN!D64</f>
        <v>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3</v>
      </c>
      <c r="P55" s="69">
        <f>HARIAN!P64</f>
        <v>1</v>
      </c>
      <c r="Q55" s="40">
        <f t="shared" si="2"/>
        <v>0.16666666666666666</v>
      </c>
      <c r="R55" s="40">
        <f t="shared" si="1"/>
        <v>0.25</v>
      </c>
      <c r="S55" s="40">
        <f>VLOOKUP(C55,Sheet3!$A$19:$G$81,7,FALSE)</f>
        <v>1</v>
      </c>
      <c r="T55" s="10">
        <f t="shared" si="3"/>
        <v>0.16666666666666666</v>
      </c>
      <c r="U55" s="10">
        <f t="shared" si="4"/>
        <v>0.25</v>
      </c>
    </row>
    <row r="56" spans="2:21" ht="15.75">
      <c r="B56" s="185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 t="e">
        <f>VLOOKUP(C56,Sheet3!$A$19:$G$81,7,FALSE)</f>
        <v>#N/A</v>
      </c>
      <c r="T56" s="10" t="e">
        <f t="shared" si="3"/>
        <v>#DIV/0!</v>
      </c>
      <c r="U56" s="10" t="e">
        <f t="shared" si="4"/>
        <v>#DIV/0!</v>
      </c>
    </row>
    <row r="57" spans="2:21" ht="15.75">
      <c r="B57" s="185"/>
      <c r="C57" s="91" t="s">
        <v>210</v>
      </c>
      <c r="D57" s="69">
        <f>HARIAN!D66</f>
        <v>6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2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2</v>
      </c>
      <c r="P57" s="69">
        <f>HARIAN!P66</f>
        <v>1</v>
      </c>
      <c r="Q57" s="40">
        <f t="shared" si="2"/>
        <v>0.2</v>
      </c>
      <c r="R57" s="40">
        <f t="shared" si="1"/>
        <v>0.33333333333333331</v>
      </c>
      <c r="S57" s="40">
        <f>VLOOKUP(C57,Sheet3!$A$19:$G$81,7,FALSE)</f>
        <v>1</v>
      </c>
      <c r="T57" s="10">
        <f t="shared" si="3"/>
        <v>0.2</v>
      </c>
      <c r="U57" s="10">
        <f t="shared" si="4"/>
        <v>0.33333333333333331</v>
      </c>
    </row>
    <row r="58" spans="2:21" ht="15.75">
      <c r="B58" s="185"/>
      <c r="C58" s="91" t="s">
        <v>113</v>
      </c>
      <c r="D58" s="69">
        <f>HARIAN!D67</f>
        <v>4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4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>
        <f t="shared" si="2"/>
        <v>0</v>
      </c>
      <c r="R58" s="40" t="e">
        <f t="shared" si="1"/>
        <v>#DIV/0!</v>
      </c>
      <c r="S58" s="40" t="e">
        <f>VLOOKUP(C58,Sheet3!$A$19:$G$81,7,FALSE)</f>
        <v>#DIV/0!</v>
      </c>
      <c r="T58" s="10">
        <f t="shared" si="3"/>
        <v>0</v>
      </c>
      <c r="U58" s="10" t="e">
        <f t="shared" si="4"/>
        <v>#DIV/0!</v>
      </c>
    </row>
    <row r="59" spans="2:21" ht="15.75">
      <c r="B59" s="185"/>
      <c r="C59" s="91" t="s">
        <v>114</v>
      </c>
      <c r="D59" s="69">
        <f>HARIAN!D68</f>
        <v>1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>
        <f t="shared" si="2"/>
        <v>0</v>
      </c>
      <c r="R59" s="40" t="e">
        <f t="shared" si="1"/>
        <v>#DIV/0!</v>
      </c>
      <c r="S59" s="40" t="e">
        <f>VLOOKUP(C59,Sheet3!$A$19:$G$81,7,FALSE)</f>
        <v>#DIV/0!</v>
      </c>
      <c r="T59" s="10">
        <f t="shared" si="3"/>
        <v>0</v>
      </c>
      <c r="U59" s="10" t="e">
        <f t="shared" si="4"/>
        <v>#DIV/0!</v>
      </c>
    </row>
    <row r="60" spans="2:21" ht="15.75">
      <c r="B60" s="185"/>
      <c r="C60" s="91" t="s">
        <v>781</v>
      </c>
      <c r="D60" s="69">
        <f>HARIAN!D69+HARIAN!D70</f>
        <v>12</v>
      </c>
      <c r="E60" s="69">
        <f>HARIAN!E69+HARIAN!E70</f>
        <v>2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5</v>
      </c>
      <c r="K60" s="69">
        <f>HARIAN!K69+HARIAN!K70</f>
        <v>1</v>
      </c>
      <c r="L60" s="69">
        <f>HARIAN!L69+HARIAN!L70</f>
        <v>0</v>
      </c>
      <c r="M60" s="69">
        <f>HARIAN!M69+HARIAN!M70</f>
        <v>1</v>
      </c>
      <c r="N60" s="69">
        <f>HARIAN!N69+HARIAN!N70</f>
        <v>0</v>
      </c>
      <c r="O60" s="69">
        <f>HARIAN!O69+HARIAN!O70</f>
        <v>3</v>
      </c>
      <c r="P60" s="69">
        <f>HARIAN!P69+HARIAN!P70</f>
        <v>0</v>
      </c>
      <c r="Q60" s="40">
        <f t="shared" si="2"/>
        <v>0</v>
      </c>
      <c r="R60" s="40">
        <f t="shared" si="1"/>
        <v>0</v>
      </c>
      <c r="S60" s="40" t="e">
        <f>VLOOKUP(C60,Sheet3!$A$19:$G$81,7,FALSE)</f>
        <v>#DIV/0!</v>
      </c>
      <c r="T60" s="10">
        <f t="shared" si="3"/>
        <v>0</v>
      </c>
      <c r="U60" s="10">
        <f t="shared" si="4"/>
        <v>0</v>
      </c>
    </row>
    <row r="61" spans="2:21" ht="15.75">
      <c r="B61" s="185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#N/A</v>
      </c>
      <c r="T61" s="10" t="e">
        <f t="shared" si="3"/>
        <v>#DIV/0!</v>
      </c>
      <c r="U61" s="10" t="e">
        <f t="shared" si="4"/>
        <v>#DIV/0!</v>
      </c>
    </row>
    <row r="62" spans="2:21" ht="15.75">
      <c r="B62" s="185"/>
      <c r="C62" s="91" t="s">
        <v>118</v>
      </c>
      <c r="D62" s="69">
        <f>HARIAN!D72</f>
        <v>5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5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>
        <f t="shared" si="2"/>
        <v>0</v>
      </c>
      <c r="R62" s="40" t="e">
        <f t="shared" si="1"/>
        <v>#DIV/0!</v>
      </c>
      <c r="S62" s="40" t="e">
        <f>VLOOKUP(C62,Sheet3!$A$19:$G$81,7,FALSE)</f>
        <v>#DIV/0!</v>
      </c>
      <c r="T62" s="10">
        <f t="shared" si="3"/>
        <v>0</v>
      </c>
      <c r="U62" s="10" t="e">
        <f t="shared" si="4"/>
        <v>#DIV/0!</v>
      </c>
    </row>
    <row r="63" spans="2:21" ht="15.75">
      <c r="B63" s="185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75">
      <c r="B64" s="186" t="s">
        <v>55</v>
      </c>
      <c r="C64" s="92" t="s">
        <v>227</v>
      </c>
      <c r="D64" s="71">
        <f>HARIAN!D75+HARIAN!D81</f>
        <v>3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2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>
        <f t="shared" si="2"/>
        <v>0</v>
      </c>
      <c r="R64" s="40" t="e">
        <f t="shared" si="1"/>
        <v>#DIV/0!</v>
      </c>
      <c r="S64" s="40" t="e">
        <f>VLOOKUP(C64,Sheet3!$A$19:$G$81,7,FALSE)</f>
        <v>#DIV/0!</v>
      </c>
      <c r="T64" s="10">
        <f t="shared" si="3"/>
        <v>0</v>
      </c>
      <c r="U64" s="10" t="e">
        <f t="shared" si="4"/>
        <v>#DIV/0!</v>
      </c>
    </row>
    <row r="65" spans="2:21" ht="15.75">
      <c r="B65" s="186"/>
      <c r="C65" s="92" t="s">
        <v>122</v>
      </c>
      <c r="D65" s="71">
        <f>HARIAN!D76+HARIAN!D79</f>
        <v>5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2</v>
      </c>
      <c r="Q65" s="40">
        <f t="shared" si="2"/>
        <v>0.4</v>
      </c>
      <c r="R65" s="40">
        <f t="shared" si="1"/>
        <v>1</v>
      </c>
      <c r="S65" s="40">
        <f>VLOOKUP(C65,Sheet3!$A$19:$G$81,7,FALSE)</f>
        <v>1</v>
      </c>
      <c r="T65" s="10">
        <f t="shared" si="3"/>
        <v>0.4</v>
      </c>
      <c r="U65" s="10">
        <f t="shared" si="4"/>
        <v>1</v>
      </c>
    </row>
    <row r="66" spans="2:21" ht="15.75">
      <c r="B66" s="186"/>
      <c r="C66" s="92" t="s">
        <v>663</v>
      </c>
      <c r="D66" s="71">
        <f>HARIAN!D77+HARIAN!D82</f>
        <v>1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1</v>
      </c>
      <c r="Q66" s="40">
        <f t="shared" si="2"/>
        <v>1</v>
      </c>
      <c r="R66" s="40">
        <f t="shared" si="1"/>
        <v>1</v>
      </c>
      <c r="S66" s="40">
        <f>VLOOKUP(C66,Sheet3!$A$19:$G$81,7,FALSE)</f>
        <v>1</v>
      </c>
      <c r="T66" s="10">
        <f t="shared" si="3"/>
        <v>1</v>
      </c>
      <c r="U66" s="10">
        <f t="shared" si="4"/>
        <v>1</v>
      </c>
    </row>
    <row r="67" spans="2:21" ht="15.75">
      <c r="B67" s="186"/>
      <c r="C67" s="92" t="s">
        <v>666</v>
      </c>
      <c r="D67" s="71">
        <f>HARIAN!D78+HARIAN!D80</f>
        <v>6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2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4</v>
      </c>
      <c r="Q67" s="40">
        <f t="shared" si="2"/>
        <v>0.66666666666666663</v>
      </c>
      <c r="R67" s="40">
        <f t="shared" si="1"/>
        <v>1</v>
      </c>
      <c r="S67" s="40">
        <f>VLOOKUP(C67,Sheet3!$A$19:$G$81,7,FALSE)</f>
        <v>1</v>
      </c>
      <c r="T67" s="10">
        <f t="shared" si="3"/>
        <v>0.66666666666666663</v>
      </c>
      <c r="U67" s="10">
        <f t="shared" si="4"/>
        <v>1</v>
      </c>
    </row>
    <row r="68" spans="2:21" ht="15.75">
      <c r="B68" s="151" t="s">
        <v>62</v>
      </c>
      <c r="C68" s="151"/>
      <c r="D68" s="26">
        <f t="shared" ref="D68:P68" si="5">SUM(D32:D67)</f>
        <v>82</v>
      </c>
      <c r="E68" s="26">
        <f t="shared" si="5"/>
        <v>5</v>
      </c>
      <c r="F68" s="26">
        <f t="shared" si="5"/>
        <v>0</v>
      </c>
      <c r="G68" s="26">
        <f t="shared" si="5"/>
        <v>0</v>
      </c>
      <c r="H68" s="26">
        <f t="shared" si="5"/>
        <v>0</v>
      </c>
      <c r="I68" s="26">
        <f t="shared" si="5"/>
        <v>0</v>
      </c>
      <c r="J68" s="26">
        <f t="shared" si="5"/>
        <v>45</v>
      </c>
      <c r="K68" s="26">
        <f t="shared" si="5"/>
        <v>2</v>
      </c>
      <c r="L68" s="26">
        <f t="shared" si="5"/>
        <v>0</v>
      </c>
      <c r="M68" s="26">
        <f t="shared" si="5"/>
        <v>1</v>
      </c>
      <c r="N68" s="26">
        <f t="shared" si="5"/>
        <v>0</v>
      </c>
      <c r="O68" s="26">
        <f t="shared" si="5"/>
        <v>9</v>
      </c>
      <c r="P68" s="26">
        <f t="shared" si="5"/>
        <v>21</v>
      </c>
      <c r="Q68" s="41">
        <f>Q14</f>
        <v>0.25</v>
      </c>
      <c r="R68" s="41">
        <f>R14</f>
        <v>0.66666666666666663</v>
      </c>
      <c r="S68" s="41">
        <f>S14</f>
        <v>1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1" sqref="C1:N1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9" t="s">
        <v>868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</row>
    <row r="2" spans="3:14">
      <c r="C2" s="149" t="str">
        <f ca="1">LAPORAN!C2</f>
        <v xml:space="preserve">PERIODE ORDER &amp; PS : 2026-08-01 to  2026-09-01 </v>
      </c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</row>
    <row r="3" spans="3:14">
      <c r="C3" s="149" t="str">
        <f>LAPORAN!C3</f>
        <v>Last update proses : 02-09-2026 06:49:05 WIB (Source: ETL XPRO)</v>
      </c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</row>
    <row r="5" spans="3:14" ht="47.25">
      <c r="C5" s="74" t="s">
        <v>1</v>
      </c>
      <c r="D5" s="74" t="s">
        <v>963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867</v>
      </c>
      <c r="K5" s="75" t="s">
        <v>218</v>
      </c>
      <c r="L5" s="72" t="s">
        <v>130</v>
      </c>
      <c r="M5" s="72" t="s">
        <v>865</v>
      </c>
      <c r="N5" s="72" t="s">
        <v>866</v>
      </c>
    </row>
    <row r="6" spans="3:14" ht="15.75">
      <c r="C6" s="76" t="str">
        <f>[1]LAPORAN!C9</f>
        <v>BALI</v>
      </c>
      <c r="D6" s="4">
        <f>LAPORAN!D9</f>
        <v>7</v>
      </c>
      <c r="E6" s="94">
        <f>LAPORAN!J9</f>
        <v>1</v>
      </c>
      <c r="F6" s="94">
        <f>LAPORAN!K9</f>
        <v>0</v>
      </c>
      <c r="G6" s="94">
        <f>LAPORAN!L9</f>
        <v>0</v>
      </c>
      <c r="H6" s="94">
        <f>LAPORAN!M9</f>
        <v>0</v>
      </c>
      <c r="I6" s="94">
        <f>LAPORAN!N9</f>
        <v>0</v>
      </c>
      <c r="J6" s="94">
        <f>LAPORAN!O9</f>
        <v>1</v>
      </c>
      <c r="K6" s="94">
        <f>LAPORAN!P9</f>
        <v>4</v>
      </c>
      <c r="L6" s="40">
        <f>LAPORAN!Q9</f>
        <v>0.5714285714285714</v>
      </c>
      <c r="M6" s="40">
        <f>LAPORAN!R9</f>
        <v>0.8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12</v>
      </c>
      <c r="E7" s="94">
        <f>LAPORAN!J10</f>
        <v>10</v>
      </c>
      <c r="F7" s="94">
        <f>LAPORAN!K10</f>
        <v>0</v>
      </c>
      <c r="G7" s="94">
        <f>LAPORAN!L10</f>
        <v>0</v>
      </c>
      <c r="H7" s="94">
        <f>LAPORAN!M10</f>
        <v>0</v>
      </c>
      <c r="I7" s="94">
        <f>LAPORAN!N10</f>
        <v>0</v>
      </c>
      <c r="J7" s="94">
        <f>LAPORAN!O10</f>
        <v>0</v>
      </c>
      <c r="K7" s="94">
        <f>LAPORAN!P10</f>
        <v>1</v>
      </c>
      <c r="L7" s="40">
        <f>LAPORAN!Q10</f>
        <v>8.3333333333333329E-2</v>
      </c>
      <c r="M7" s="40">
        <f>LAPORAN!R10</f>
        <v>1</v>
      </c>
      <c r="N7" s="40">
        <f>LAPORAN!S10</f>
        <v>1</v>
      </c>
    </row>
    <row r="8" spans="3:14" ht="15.75">
      <c r="C8" s="76" t="str">
        <f>[1]LAPORAN!C11</f>
        <v>JATIM TIMUR</v>
      </c>
      <c r="D8" s="4">
        <f>LAPORAN!D11</f>
        <v>14</v>
      </c>
      <c r="E8" s="94">
        <f>LAPORAN!J11</f>
        <v>8</v>
      </c>
      <c r="F8" s="94">
        <f>LAPORAN!K11</f>
        <v>0</v>
      </c>
      <c r="G8" s="94">
        <f>LAPORAN!L11</f>
        <v>0</v>
      </c>
      <c r="H8" s="94">
        <f>LAPORAN!M11</f>
        <v>0</v>
      </c>
      <c r="I8" s="94">
        <f>LAPORAN!N11</f>
        <v>0</v>
      </c>
      <c r="J8" s="94">
        <f>LAPORAN!O11</f>
        <v>0</v>
      </c>
      <c r="K8" s="94">
        <f>LAPORAN!P11</f>
        <v>6</v>
      </c>
      <c r="L8" s="40">
        <f>LAPORAN!Q11</f>
        <v>0.42857142857142855</v>
      </c>
      <c r="M8" s="40">
        <f>LAPORAN!R11</f>
        <v>1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34</v>
      </c>
      <c r="E9" s="94">
        <f>LAPORAN!J12</f>
        <v>19</v>
      </c>
      <c r="F9" s="94">
        <f>LAPORAN!K12</f>
        <v>2</v>
      </c>
      <c r="G9" s="94">
        <f>LAPORAN!L12</f>
        <v>0</v>
      </c>
      <c r="H9" s="94">
        <f>LAPORAN!M12</f>
        <v>1</v>
      </c>
      <c r="I9" s="94">
        <f>LAPORAN!N12</f>
        <v>0</v>
      </c>
      <c r="J9" s="94">
        <f>LAPORAN!O12</f>
        <v>8</v>
      </c>
      <c r="K9" s="94">
        <f>LAPORAN!P12</f>
        <v>2</v>
      </c>
      <c r="L9" s="40">
        <f>LAPORAN!Q12</f>
        <v>6.25E-2</v>
      </c>
      <c r="M9" s="40">
        <f>LAPORAN!R12</f>
        <v>0.18181818181818182</v>
      </c>
      <c r="N9" s="40">
        <f>LAPORAN!S12</f>
        <v>1</v>
      </c>
    </row>
    <row r="10" spans="3:14" ht="15.75">
      <c r="C10" s="76" t="str">
        <f>[1]LAPORAN!C13</f>
        <v>SURAMADU</v>
      </c>
      <c r="D10" s="4">
        <f>LAPORAN!D13</f>
        <v>15</v>
      </c>
      <c r="E10" s="94">
        <f>LAPORAN!J13</f>
        <v>7</v>
      </c>
      <c r="F10" s="94">
        <f>LAPORAN!K13</f>
        <v>0</v>
      </c>
      <c r="G10" s="94">
        <f>LAPORAN!L13</f>
        <v>0</v>
      </c>
      <c r="H10" s="94">
        <f>LAPORAN!M13</f>
        <v>0</v>
      </c>
      <c r="I10" s="94">
        <f>LAPORAN!N13</f>
        <v>0</v>
      </c>
      <c r="J10" s="94">
        <f>LAPORAN!O13</f>
        <v>0</v>
      </c>
      <c r="K10" s="94">
        <f>LAPORAN!P13</f>
        <v>7</v>
      </c>
      <c r="L10" s="40">
        <f>LAPORAN!Q13</f>
        <v>0.46666666666666667</v>
      </c>
      <c r="M10" s="40">
        <f>LAPORAN!R13</f>
        <v>1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82</v>
      </c>
      <c r="E11" s="96">
        <f>LAPORAN!J14</f>
        <v>45</v>
      </c>
      <c r="F11" s="96">
        <f>LAPORAN!K14</f>
        <v>2</v>
      </c>
      <c r="G11" s="96">
        <f>LAPORAN!L14</f>
        <v>0</v>
      </c>
      <c r="H11" s="96">
        <f>LAPORAN!M14</f>
        <v>1</v>
      </c>
      <c r="I11" s="96">
        <f>LAPORAN!N14</f>
        <v>0</v>
      </c>
      <c r="J11" s="96">
        <f>LAPORAN!O14</f>
        <v>9</v>
      </c>
      <c r="K11" s="96">
        <f>LAPORAN!P14</f>
        <v>20</v>
      </c>
      <c r="L11" s="97">
        <f>LAPORAN!Q14</f>
        <v>0.25</v>
      </c>
      <c r="M11" s="97">
        <f>LAPORAN!R14</f>
        <v>0.66666666666666663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3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50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100</v>
      </c>
      <c r="AH9">
        <f>IFERROR(VLOOKUP(C9,'COPY DATA XPRO'!$C$7:$AI$58,32,FALSE),0)</f>
        <v>100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100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2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33.33</v>
      </c>
      <c r="AH18">
        <f>IFERROR(VLOOKUP(C18,'COPY DATA XPRO'!$C$7:$AI$58,32,FALSE),0)</f>
        <v>33.33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66.67</v>
      </c>
      <c r="AH27">
        <f>IFERROR(VLOOKUP(C27,'COPY DATA XPRO'!$C$7:$AI$58,32,FALSE),0)</f>
        <v>66.67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33.33</v>
      </c>
      <c r="AH29">
        <f>IFERROR(VLOOKUP(C29,'COPY DATA XPRO'!$C$7:$AI$58,32,FALSE),0)</f>
        <v>33.33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6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4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33.33</v>
      </c>
      <c r="AH31">
        <f>IFERROR(VLOOKUP(C31,'COPY DATA XPRO'!$C$7:$AI$58,32,FALSE),0)</f>
        <v>33.33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100</v>
      </c>
      <c r="AH33">
        <f>IFERROR(VLOOKUP(C33,'COPY DATA XPRO'!$C$7:$AI$58,32,FALSE),0)</f>
        <v>100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3</v>
      </c>
      <c r="Z38">
        <f>IFERROR(VLOOKUP(C38,'COPY DATA XPRO'!$C$7:$AI$58,24,FALSE),0)</f>
        <v>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66.67</v>
      </c>
      <c r="AH38">
        <f>IFERROR(VLOOKUP(C38,'COPY DATA XPRO'!$C$7:$AI$58,32,FALSE),0)</f>
        <v>16.670000000000002</v>
      </c>
      <c r="AI38">
        <f>IFERROR(VLOOKUP(C38,'COPY DATA XPRO'!$C$7:$AI$58,33,FALSE),0)</f>
        <v>25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2</v>
      </c>
      <c r="Z40">
        <f>IFERROR(VLOOKUP(C40,'COPY DATA XPRO'!$C$7:$AI$58,24,FALSE),0)</f>
        <v>1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50</v>
      </c>
      <c r="AH40">
        <f>IFERROR(VLOOKUP(C40,'COPY DATA XPRO'!$C$7:$AI$58,32,FALSE),0)</f>
        <v>20</v>
      </c>
      <c r="AI40">
        <f>IFERROR(VLOOKUP(C40,'COPY DATA XPRO'!$C$7:$AI$58,33,FALSE),0)</f>
        <v>33.33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4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1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28.57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2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40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5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1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2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50</v>
      </c>
      <c r="AH50">
        <f>IFERROR(VLOOKUP(C50,'COPY DATA XPRO'!$C$7:$AI$58,32,FALSE),0)</f>
        <v>50</v>
      </c>
      <c r="AI50">
        <f>IFERROR(VLOOKUP(C50,'COPY DATA XPRO'!$C$7:$AI$58,33,FALSE),0)</f>
        <v>100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100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1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80</v>
      </c>
      <c r="AH54">
        <f>IFERROR(VLOOKUP(C54,'COPY DATA XPRO'!$C$7:$AI$58,32,FALSE),0)</f>
        <v>80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90" t="s">
        <v>140</v>
      </c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</row>
    <row r="62" spans="2:35"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</row>
    <row r="63" spans="2:35">
      <c r="C63" s="122" t="s">
        <v>1</v>
      </c>
      <c r="D63" s="100" t="s">
        <v>2</v>
      </c>
      <c r="E63" s="100" t="s">
        <v>3</v>
      </c>
      <c r="F63" s="100" t="s">
        <v>4</v>
      </c>
      <c r="G63" s="100" t="s">
        <v>5</v>
      </c>
      <c r="H63" s="100" t="s">
        <v>6</v>
      </c>
      <c r="I63" s="100" t="s">
        <v>7</v>
      </c>
      <c r="J63" s="100" t="s">
        <v>8</v>
      </c>
      <c r="K63" s="100" t="s">
        <v>9</v>
      </c>
      <c r="L63" s="100" t="s">
        <v>10</v>
      </c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 t="s">
        <v>11</v>
      </c>
      <c r="AA63" s="100" t="s">
        <v>12</v>
      </c>
      <c r="AB63" s="100"/>
      <c r="AC63" s="100"/>
      <c r="AD63" s="100"/>
      <c r="AE63" s="100" t="s">
        <v>13</v>
      </c>
      <c r="AF63" s="100" t="s">
        <v>14</v>
      </c>
      <c r="AG63" s="100" t="s">
        <v>15</v>
      </c>
      <c r="AH63" s="100" t="s">
        <v>16</v>
      </c>
      <c r="AI63" s="100" t="s">
        <v>17</v>
      </c>
    </row>
    <row r="64" spans="2:35">
      <c r="C64" s="122"/>
      <c r="D64" s="100"/>
      <c r="E64" s="100"/>
      <c r="F64" s="100"/>
      <c r="G64" s="100"/>
      <c r="H64" s="100"/>
      <c r="I64" s="100"/>
      <c r="J64" s="100"/>
      <c r="K64" s="100"/>
      <c r="L64" s="100" t="s">
        <v>2</v>
      </c>
      <c r="M64" s="100" t="s">
        <v>18</v>
      </c>
      <c r="N64" s="100"/>
      <c r="O64" s="100"/>
      <c r="P64" s="100" t="s">
        <v>19</v>
      </c>
      <c r="Q64" s="100" t="s">
        <v>20</v>
      </c>
      <c r="R64" s="100"/>
      <c r="S64" s="100"/>
      <c r="T64" s="100"/>
      <c r="U64" s="100"/>
      <c r="V64" s="100"/>
      <c r="W64" s="100"/>
      <c r="X64" s="100" t="s">
        <v>21</v>
      </c>
      <c r="Y64" s="100" t="s">
        <v>22</v>
      </c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</row>
    <row r="65" spans="2:35">
      <c r="C65" s="122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 t="s">
        <v>23</v>
      </c>
      <c r="R65" s="100"/>
      <c r="S65" s="100"/>
      <c r="T65" s="100"/>
      <c r="U65" s="100" t="s">
        <v>24</v>
      </c>
      <c r="V65" s="100" t="s">
        <v>25</v>
      </c>
      <c r="W65" s="100" t="s">
        <v>26</v>
      </c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</row>
    <row r="66" spans="2:35" ht="30">
      <c r="C66" s="122"/>
      <c r="D66" s="100"/>
      <c r="E66" s="100"/>
      <c r="F66" s="100"/>
      <c r="G66" s="100"/>
      <c r="H66" s="100"/>
      <c r="I66" s="100"/>
      <c r="J66" s="100"/>
      <c r="K66" s="100"/>
      <c r="L66" s="13"/>
      <c r="M66" s="13" t="s">
        <v>27</v>
      </c>
      <c r="N66" s="13" t="s">
        <v>28</v>
      </c>
      <c r="O66" s="13" t="s">
        <v>29</v>
      </c>
      <c r="P66" s="100"/>
      <c r="Q66" s="13" t="s">
        <v>30</v>
      </c>
      <c r="R66" s="13" t="s">
        <v>31</v>
      </c>
      <c r="S66" s="13" t="s">
        <v>32</v>
      </c>
      <c r="T66" s="13" t="s">
        <v>33</v>
      </c>
      <c r="U66" s="100"/>
      <c r="V66" s="100"/>
      <c r="W66" s="100"/>
      <c r="X66" s="100"/>
      <c r="Y66" s="100"/>
      <c r="Z66" s="100"/>
      <c r="AA66" s="13" t="s">
        <v>30</v>
      </c>
      <c r="AB66" s="13" t="s">
        <v>31</v>
      </c>
      <c r="AC66" s="13" t="s">
        <v>32</v>
      </c>
      <c r="AD66" s="13" t="s">
        <v>33</v>
      </c>
      <c r="AE66" s="100"/>
      <c r="AF66" s="100"/>
      <c r="AG66" s="100"/>
      <c r="AH66" s="100"/>
      <c r="AI66" s="100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13" zoomScale="60" zoomScaleNormal="60" workbookViewId="0">
      <selection activeCell="AP49" sqref="AP49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6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v>0</v>
      </c>
      <c r="E7">
        <v>2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50</v>
      </c>
      <c r="AH7">
        <v>0</v>
      </c>
      <c r="AI7">
        <v>0</v>
      </c>
    </row>
    <row r="8" spans="2:35">
      <c r="C8" t="s">
        <v>81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82</v>
      </c>
      <c r="D9">
        <v>0</v>
      </c>
      <c r="E9">
        <v>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100</v>
      </c>
      <c r="AH9">
        <v>100</v>
      </c>
      <c r="AI9">
        <v>100</v>
      </c>
    </row>
    <row r="10" spans="2:35">
      <c r="C10" t="s">
        <v>83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6" spans="2:35">
      <c r="B16" t="s">
        <v>38</v>
      </c>
      <c r="C16" t="s">
        <v>87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</row>
    <row r="17" spans="2:35">
      <c r="C17" t="s">
        <v>88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</row>
    <row r="18" spans="2:35">
      <c r="C18" t="s">
        <v>90</v>
      </c>
      <c r="D18">
        <v>0</v>
      </c>
      <c r="E18">
        <v>3</v>
      </c>
      <c r="F18">
        <v>0</v>
      </c>
      <c r="G18">
        <v>0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33.33</v>
      </c>
      <c r="AH18">
        <v>33.33</v>
      </c>
      <c r="AI18">
        <v>100</v>
      </c>
    </row>
    <row r="19" spans="2:35">
      <c r="C19" t="s">
        <v>91</v>
      </c>
      <c r="D19">
        <v>0</v>
      </c>
      <c r="E19">
        <v>5</v>
      </c>
      <c r="F19">
        <v>1</v>
      </c>
      <c r="G19">
        <v>0</v>
      </c>
      <c r="H19">
        <v>0</v>
      </c>
      <c r="I19">
        <v>0</v>
      </c>
      <c r="J19">
        <v>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</row>
    <row r="20" spans="2:35">
      <c r="C20" t="s">
        <v>93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</row>
    <row r="28" spans="2:35">
      <c r="B28" t="s">
        <v>42</v>
      </c>
      <c r="C28" t="s">
        <v>99</v>
      </c>
      <c r="D28">
        <v>0</v>
      </c>
      <c r="E28">
        <v>3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66.67</v>
      </c>
      <c r="AH28">
        <v>66.67</v>
      </c>
      <c r="AI28">
        <v>100</v>
      </c>
    </row>
    <row r="29" spans="2:35">
      <c r="C29" t="s">
        <v>101</v>
      </c>
      <c r="D29">
        <v>0</v>
      </c>
      <c r="E29">
        <v>3</v>
      </c>
      <c r="F29">
        <v>0</v>
      </c>
      <c r="G29">
        <v>0</v>
      </c>
      <c r="H29">
        <v>0</v>
      </c>
      <c r="I29">
        <v>0</v>
      </c>
      <c r="J29">
        <v>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33.33</v>
      </c>
      <c r="AH29">
        <v>33.33</v>
      </c>
      <c r="AI29">
        <v>100</v>
      </c>
    </row>
    <row r="30" spans="2:35">
      <c r="C30" t="s">
        <v>102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</row>
    <row r="31" spans="2:35">
      <c r="C31" t="s">
        <v>103</v>
      </c>
      <c r="D31">
        <v>0</v>
      </c>
      <c r="E31">
        <v>6</v>
      </c>
      <c r="F31">
        <v>0</v>
      </c>
      <c r="G31">
        <v>0</v>
      </c>
      <c r="H31">
        <v>0</v>
      </c>
      <c r="I31">
        <v>0</v>
      </c>
      <c r="J31">
        <v>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33.33</v>
      </c>
      <c r="AH31">
        <v>33.33</v>
      </c>
      <c r="AI31">
        <v>100</v>
      </c>
    </row>
    <row r="32" spans="2:35">
      <c r="C32" t="s">
        <v>105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8" spans="2:35">
      <c r="B38" t="s">
        <v>70</v>
      </c>
      <c r="C38" t="s">
        <v>110</v>
      </c>
      <c r="D38">
        <v>0</v>
      </c>
      <c r="E38">
        <v>6</v>
      </c>
      <c r="F38">
        <v>0</v>
      </c>
      <c r="G38">
        <v>0</v>
      </c>
      <c r="H38">
        <v>0</v>
      </c>
      <c r="I38">
        <v>0</v>
      </c>
      <c r="J38">
        <v>2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3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66.67</v>
      </c>
      <c r="AH38">
        <v>16.670000000000002</v>
      </c>
      <c r="AI38">
        <v>25</v>
      </c>
    </row>
    <row r="39" spans="2:35">
      <c r="C39" t="s">
        <v>112</v>
      </c>
      <c r="D39">
        <v>0</v>
      </c>
      <c r="E39">
        <v>6</v>
      </c>
      <c r="F39">
        <v>0</v>
      </c>
      <c r="G39">
        <v>0</v>
      </c>
      <c r="H39">
        <v>0</v>
      </c>
      <c r="I39">
        <v>0</v>
      </c>
      <c r="J39">
        <v>2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50</v>
      </c>
      <c r="AH39">
        <v>20</v>
      </c>
      <c r="AI39">
        <v>33.33</v>
      </c>
    </row>
    <row r="40" spans="2:35">
      <c r="C40" t="s">
        <v>113</v>
      </c>
      <c r="D40">
        <v>0</v>
      </c>
      <c r="E40">
        <v>4</v>
      </c>
      <c r="F40">
        <v>0</v>
      </c>
      <c r="G40">
        <v>0</v>
      </c>
      <c r="H40">
        <v>0</v>
      </c>
      <c r="I40">
        <v>0</v>
      </c>
      <c r="J40">
        <v>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:35">
      <c r="C41" t="s">
        <v>114</v>
      </c>
      <c r="D41">
        <v>0</v>
      </c>
      <c r="E41">
        <v>1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</row>
    <row r="42" spans="2:35">
      <c r="C42" t="s">
        <v>115</v>
      </c>
      <c r="D42">
        <v>0</v>
      </c>
      <c r="E42">
        <v>7</v>
      </c>
      <c r="F42">
        <v>0</v>
      </c>
      <c r="G42">
        <v>0</v>
      </c>
      <c r="H42">
        <v>1</v>
      </c>
      <c r="I42">
        <v>0</v>
      </c>
      <c r="J42">
        <v>3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28.57</v>
      </c>
      <c r="AH42">
        <v>0</v>
      </c>
      <c r="AI42">
        <v>0</v>
      </c>
    </row>
    <row r="43" spans="2:35">
      <c r="C43" t="s">
        <v>116</v>
      </c>
      <c r="D43">
        <v>0</v>
      </c>
      <c r="E43">
        <v>5</v>
      </c>
      <c r="F43">
        <v>0</v>
      </c>
      <c r="G43">
        <v>1</v>
      </c>
      <c r="H43">
        <v>0</v>
      </c>
      <c r="I43">
        <v>0</v>
      </c>
      <c r="J43">
        <v>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</v>
      </c>
      <c r="AH43">
        <v>0</v>
      </c>
      <c r="AI43">
        <v>0</v>
      </c>
    </row>
    <row r="44" spans="2:35">
      <c r="C44" t="s">
        <v>118</v>
      </c>
      <c r="D44">
        <v>0</v>
      </c>
      <c r="E44">
        <v>5</v>
      </c>
      <c r="F44">
        <v>0</v>
      </c>
      <c r="G44">
        <v>0</v>
      </c>
      <c r="H44">
        <v>0</v>
      </c>
      <c r="I44">
        <v>0</v>
      </c>
      <c r="J44">
        <v>5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</row>
    <row r="50" spans="2:35">
      <c r="B50" t="s">
        <v>55</v>
      </c>
      <c r="C50" t="s">
        <v>121</v>
      </c>
      <c r="D50">
        <v>0</v>
      </c>
      <c r="E50">
        <v>3</v>
      </c>
      <c r="F50">
        <v>0</v>
      </c>
      <c r="G50">
        <v>0</v>
      </c>
      <c r="H50">
        <v>1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:35">
      <c r="C51" t="s">
        <v>122</v>
      </c>
      <c r="D51">
        <v>0</v>
      </c>
      <c r="E51">
        <v>4</v>
      </c>
      <c r="F51">
        <v>0</v>
      </c>
      <c r="G51">
        <v>0</v>
      </c>
      <c r="H51">
        <v>0</v>
      </c>
      <c r="I51">
        <v>0</v>
      </c>
      <c r="J51">
        <v>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50</v>
      </c>
      <c r="AH51">
        <v>50</v>
      </c>
      <c r="AI51">
        <v>100</v>
      </c>
    </row>
    <row r="52" spans="2:35">
      <c r="C52" t="s">
        <v>123</v>
      </c>
      <c r="D52">
        <v>0</v>
      </c>
      <c r="E52">
        <v>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100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</row>
    <row r="54" spans="2:35">
      <c r="C54" t="s">
        <v>125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</row>
    <row r="55" spans="2:35">
      <c r="C55" t="s">
        <v>126</v>
      </c>
      <c r="D55">
        <v>0</v>
      </c>
      <c r="E55">
        <v>5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80</v>
      </c>
      <c r="AH55">
        <v>80</v>
      </c>
      <c r="AI55">
        <v>100</v>
      </c>
    </row>
    <row r="59" spans="2:35">
      <c r="C59" s="122" t="s">
        <v>1</v>
      </c>
      <c r="D59" s="100" t="s">
        <v>2</v>
      </c>
      <c r="E59" s="100" t="s">
        <v>3</v>
      </c>
      <c r="F59" s="100" t="s">
        <v>4</v>
      </c>
      <c r="G59" s="100" t="s">
        <v>5</v>
      </c>
      <c r="H59" s="100" t="s">
        <v>6</v>
      </c>
      <c r="I59" s="100" t="s">
        <v>7</v>
      </c>
      <c r="J59" s="100" t="s">
        <v>8</v>
      </c>
      <c r="K59" s="100" t="s">
        <v>9</v>
      </c>
      <c r="L59" s="100" t="s">
        <v>10</v>
      </c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 t="s">
        <v>11</v>
      </c>
      <c r="AA59" s="100" t="s">
        <v>12</v>
      </c>
      <c r="AB59" s="100"/>
      <c r="AC59" s="100"/>
      <c r="AD59" s="100"/>
      <c r="AE59" s="100" t="s">
        <v>13</v>
      </c>
      <c r="AF59" s="100" t="s">
        <v>14</v>
      </c>
      <c r="AG59" s="100" t="s">
        <v>15</v>
      </c>
      <c r="AH59" s="100" t="s">
        <v>16</v>
      </c>
      <c r="AI59" s="100" t="s">
        <v>17</v>
      </c>
    </row>
    <row r="60" spans="2:35">
      <c r="C60" s="122"/>
      <c r="D60" s="100"/>
      <c r="E60" s="100"/>
      <c r="F60" s="100"/>
      <c r="G60" s="100"/>
      <c r="H60" s="100"/>
      <c r="I60" s="100"/>
      <c r="J60" s="100"/>
      <c r="K60" s="100"/>
      <c r="L60" s="100" t="s">
        <v>2</v>
      </c>
      <c r="M60" s="100" t="s">
        <v>18</v>
      </c>
      <c r="N60" s="100"/>
      <c r="O60" s="100"/>
      <c r="P60" s="100" t="s">
        <v>19</v>
      </c>
      <c r="Q60" s="100" t="s">
        <v>20</v>
      </c>
      <c r="R60" s="100"/>
      <c r="S60" s="100"/>
      <c r="T60" s="100"/>
      <c r="U60" s="100"/>
      <c r="V60" s="100"/>
      <c r="W60" s="100"/>
      <c r="X60" s="100" t="s">
        <v>21</v>
      </c>
      <c r="Y60" s="100" t="s">
        <v>22</v>
      </c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</row>
    <row r="61" spans="2:35" ht="15" customHeight="1">
      <c r="C61" s="122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 t="s">
        <v>23</v>
      </c>
      <c r="R61" s="100"/>
      <c r="S61" s="100"/>
      <c r="T61" s="100"/>
      <c r="U61" s="100" t="s">
        <v>24</v>
      </c>
      <c r="V61" s="100" t="s">
        <v>25</v>
      </c>
      <c r="W61" s="100" t="s">
        <v>26</v>
      </c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</row>
    <row r="62" spans="2:35" ht="60.75" thickBot="1">
      <c r="C62" s="122"/>
      <c r="D62" s="100"/>
      <c r="E62" s="100"/>
      <c r="F62" s="100"/>
      <c r="G62" s="100"/>
      <c r="H62" s="100"/>
      <c r="I62" s="100"/>
      <c r="J62" s="100"/>
      <c r="K62" s="100"/>
      <c r="L62" s="13"/>
      <c r="M62" s="13" t="s">
        <v>27</v>
      </c>
      <c r="N62" s="13" t="s">
        <v>28</v>
      </c>
      <c r="O62" s="13" t="s">
        <v>29</v>
      </c>
      <c r="P62" s="100"/>
      <c r="Q62" s="13" t="s">
        <v>30</v>
      </c>
      <c r="R62" s="13" t="s">
        <v>31</v>
      </c>
      <c r="S62" s="13" t="s">
        <v>32</v>
      </c>
      <c r="T62" s="13" t="s">
        <v>33</v>
      </c>
      <c r="U62" s="100"/>
      <c r="V62" s="100"/>
      <c r="W62" s="100"/>
      <c r="X62" s="100"/>
      <c r="Y62" s="100"/>
      <c r="Z62" s="100"/>
      <c r="AA62" s="13" t="s">
        <v>30</v>
      </c>
      <c r="AB62" s="13" t="s">
        <v>31</v>
      </c>
      <c r="AC62" s="13" t="s">
        <v>32</v>
      </c>
      <c r="AD62" s="13" t="s">
        <v>33</v>
      </c>
      <c r="AE62" s="100"/>
      <c r="AF62" s="100"/>
      <c r="AG62" s="100"/>
      <c r="AH62" s="100"/>
      <c r="AI62" s="100"/>
    </row>
    <row r="63" spans="2:35" ht="21" thickBot="1">
      <c r="C63" s="11" t="s">
        <v>34</v>
      </c>
      <c r="D63" s="12">
        <v>0</v>
      </c>
      <c r="E63" s="12">
        <v>7</v>
      </c>
      <c r="F63" s="12">
        <v>0</v>
      </c>
      <c r="G63" s="12">
        <v>0</v>
      </c>
      <c r="H63" s="12">
        <v>1</v>
      </c>
      <c r="I63" s="12">
        <v>0</v>
      </c>
      <c r="J63" s="12">
        <v>1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1</v>
      </c>
      <c r="Z63" s="12">
        <v>4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71.430000000000007</v>
      </c>
      <c r="AH63" s="12">
        <v>57.14</v>
      </c>
      <c r="AI63" s="12">
        <v>80</v>
      </c>
    </row>
    <row r="64" spans="2:35" ht="21" thickBot="1">
      <c r="C64" s="11" t="s">
        <v>38</v>
      </c>
      <c r="D64" s="12">
        <v>0</v>
      </c>
      <c r="E64" s="12">
        <v>12</v>
      </c>
      <c r="F64" s="12">
        <v>1</v>
      </c>
      <c r="G64" s="12">
        <v>0</v>
      </c>
      <c r="H64" s="12">
        <v>0</v>
      </c>
      <c r="I64" s="12">
        <v>0</v>
      </c>
      <c r="J64" s="12">
        <v>10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8.33</v>
      </c>
      <c r="AH64" s="14">
        <v>8.33</v>
      </c>
      <c r="AI64" s="14">
        <v>100</v>
      </c>
    </row>
    <row r="65" spans="3:35" ht="21" thickBot="1">
      <c r="C65" s="11" t="s">
        <v>42</v>
      </c>
      <c r="D65" s="12">
        <v>0</v>
      </c>
      <c r="E65" s="12">
        <v>14</v>
      </c>
      <c r="F65" s="12">
        <v>0</v>
      </c>
      <c r="G65" s="12">
        <v>0</v>
      </c>
      <c r="H65" s="12">
        <v>0</v>
      </c>
      <c r="I65" s="12">
        <v>0</v>
      </c>
      <c r="J65" s="12">
        <v>8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6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42.86</v>
      </c>
      <c r="AH65" s="14">
        <v>42.86</v>
      </c>
      <c r="AI65" s="14">
        <v>100</v>
      </c>
    </row>
    <row r="66" spans="3:35" ht="21" thickBot="1">
      <c r="C66" s="11" t="s">
        <v>45</v>
      </c>
      <c r="D66" s="12">
        <v>0</v>
      </c>
      <c r="E66" s="12">
        <v>34</v>
      </c>
      <c r="F66" s="12">
        <v>0</v>
      </c>
      <c r="G66" s="12">
        <v>1</v>
      </c>
      <c r="H66" s="12">
        <v>1</v>
      </c>
      <c r="I66" s="12">
        <v>0</v>
      </c>
      <c r="J66" s="12">
        <v>19</v>
      </c>
      <c r="K66" s="12">
        <v>2</v>
      </c>
      <c r="L66" s="12">
        <v>0</v>
      </c>
      <c r="M66" s="12">
        <v>0</v>
      </c>
      <c r="N66" s="12">
        <v>1</v>
      </c>
      <c r="O66" s="12">
        <v>0</v>
      </c>
      <c r="P66" s="12">
        <v>1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8</v>
      </c>
      <c r="Z66" s="12">
        <v>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32.35</v>
      </c>
      <c r="AH66" s="14">
        <v>6.25</v>
      </c>
      <c r="AI66" s="14">
        <v>18.18</v>
      </c>
    </row>
    <row r="67" spans="3:35" ht="21" thickBot="1">
      <c r="C67" s="11" t="s">
        <v>49</v>
      </c>
      <c r="D67" s="12">
        <v>0</v>
      </c>
      <c r="E67" s="12">
        <v>13</v>
      </c>
      <c r="F67" s="12">
        <v>0</v>
      </c>
      <c r="G67" s="12">
        <v>0</v>
      </c>
      <c r="H67" s="12">
        <v>0</v>
      </c>
      <c r="I67" s="12">
        <v>1</v>
      </c>
      <c r="J67" s="12">
        <v>7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5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0</v>
      </c>
      <c r="AG67" s="14">
        <v>46.15</v>
      </c>
      <c r="AH67" s="14">
        <v>41.67</v>
      </c>
      <c r="AI67" s="14">
        <v>100</v>
      </c>
    </row>
    <row r="68" spans="3:35" ht="21" thickBot="1">
      <c r="C68" s="11" t="s">
        <v>51</v>
      </c>
      <c r="D68" s="12">
        <v>0</v>
      </c>
      <c r="E68" s="12">
        <v>16</v>
      </c>
      <c r="F68" s="12">
        <v>0</v>
      </c>
      <c r="G68" s="12">
        <v>1</v>
      </c>
      <c r="H68" s="12">
        <v>0</v>
      </c>
      <c r="I68" s="12">
        <v>0</v>
      </c>
      <c r="J68" s="12">
        <v>10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1</v>
      </c>
      <c r="Z68" s="12">
        <v>4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31.25</v>
      </c>
      <c r="AH68" s="14">
        <v>25</v>
      </c>
      <c r="AI68" s="14">
        <v>80</v>
      </c>
    </row>
    <row r="69" spans="3:35" ht="21" thickBot="1">
      <c r="C69" s="11" t="s">
        <v>55</v>
      </c>
      <c r="D69" s="12">
        <v>0</v>
      </c>
      <c r="E69" s="12">
        <v>15</v>
      </c>
      <c r="F69" s="12">
        <v>0</v>
      </c>
      <c r="G69" s="12">
        <v>0</v>
      </c>
      <c r="H69" s="12">
        <v>1</v>
      </c>
      <c r="I69" s="12">
        <v>0</v>
      </c>
      <c r="J69" s="12">
        <v>7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7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4">
        <v>46.67</v>
      </c>
      <c r="AH69" s="14">
        <v>46.67</v>
      </c>
      <c r="AI69" s="14">
        <v>100</v>
      </c>
    </row>
    <row r="70" spans="3:35" ht="21" thickBot="1">
      <c r="C70" s="11" t="s">
        <v>59</v>
      </c>
      <c r="D70" s="12">
        <v>0</v>
      </c>
      <c r="E70" s="12">
        <v>19</v>
      </c>
      <c r="F70" s="12">
        <v>1</v>
      </c>
      <c r="G70" s="12">
        <v>1</v>
      </c>
      <c r="H70" s="12">
        <v>0</v>
      </c>
      <c r="I70" s="12">
        <v>0</v>
      </c>
      <c r="J70" s="12">
        <v>13</v>
      </c>
      <c r="K70" s="12">
        <v>1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3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4">
        <v>15.79</v>
      </c>
      <c r="AH70" s="14">
        <v>16.670000000000002</v>
      </c>
      <c r="AI70" s="14">
        <v>100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34" workbookViewId="0">
      <selection activeCell="G19" sqref="G19:G47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7.42578125" bestFit="1" customWidth="1"/>
    <col min="4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530</v>
      </c>
      <c r="D4" t="s">
        <v>154</v>
      </c>
    </row>
    <row r="5" spans="1:7">
      <c r="A5" s="7" t="s">
        <v>34</v>
      </c>
      <c r="B5" s="192">
        <v>4</v>
      </c>
      <c r="C5" s="192">
        <v>3</v>
      </c>
      <c r="D5" s="192">
        <v>7</v>
      </c>
      <c r="G5" s="8">
        <f>B5/(B5+0)</f>
        <v>1</v>
      </c>
    </row>
    <row r="6" spans="1:7">
      <c r="A6" s="7" t="s">
        <v>38</v>
      </c>
      <c r="B6" s="192">
        <v>1</v>
      </c>
      <c r="C6" s="192">
        <v>11</v>
      </c>
      <c r="D6" s="192">
        <v>12</v>
      </c>
      <c r="G6" s="8">
        <f t="shared" ref="G6:G10" si="0">B6/(B6+0)</f>
        <v>1</v>
      </c>
    </row>
    <row r="7" spans="1:7">
      <c r="A7" s="7" t="s">
        <v>42</v>
      </c>
      <c r="B7" s="192">
        <v>6</v>
      </c>
      <c r="C7" s="192">
        <v>8</v>
      </c>
      <c r="D7" s="192">
        <v>14</v>
      </c>
      <c r="G7" s="8">
        <f t="shared" si="0"/>
        <v>1</v>
      </c>
    </row>
    <row r="8" spans="1:7">
      <c r="A8" s="7" t="s">
        <v>45</v>
      </c>
      <c r="B8" s="192">
        <v>2</v>
      </c>
      <c r="C8" s="192">
        <v>32</v>
      </c>
      <c r="D8" s="192">
        <v>34</v>
      </c>
      <c r="G8" s="8">
        <f t="shared" si="0"/>
        <v>1</v>
      </c>
    </row>
    <row r="9" spans="1:7">
      <c r="A9" s="7" t="s">
        <v>55</v>
      </c>
      <c r="B9" s="192">
        <v>7</v>
      </c>
      <c r="C9" s="192">
        <v>8</v>
      </c>
      <c r="D9" s="192">
        <v>15</v>
      </c>
      <c r="G9" s="8">
        <f t="shared" si="0"/>
        <v>1</v>
      </c>
    </row>
    <row r="10" spans="1:7">
      <c r="A10" s="7" t="s">
        <v>154</v>
      </c>
      <c r="B10" s="192">
        <v>20</v>
      </c>
      <c r="C10" s="192">
        <v>62</v>
      </c>
      <c r="D10" s="192">
        <v>82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530</v>
      </c>
      <c r="D18" t="s">
        <v>154</v>
      </c>
    </row>
    <row r="19" spans="1:7">
      <c r="A19" s="7" t="s">
        <v>34</v>
      </c>
      <c r="B19" s="192">
        <v>4</v>
      </c>
      <c r="C19" s="192">
        <v>3</v>
      </c>
      <c r="D19" s="192">
        <v>7</v>
      </c>
      <c r="G19" s="8">
        <f>B19/(B19+0)</f>
        <v>1</v>
      </c>
    </row>
    <row r="20" spans="1:7">
      <c r="A20" s="9" t="s">
        <v>81</v>
      </c>
      <c r="B20" s="192">
        <v>2</v>
      </c>
      <c r="C20" s="192"/>
      <c r="D20" s="192">
        <v>2</v>
      </c>
      <c r="G20" s="8">
        <f t="shared" ref="G20:G47" si="1">B20/(B20+0)</f>
        <v>1</v>
      </c>
    </row>
    <row r="21" spans="1:7">
      <c r="A21" s="9" t="s">
        <v>79</v>
      </c>
      <c r="B21" s="192"/>
      <c r="C21" s="192">
        <v>2</v>
      </c>
      <c r="D21" s="192">
        <v>2</v>
      </c>
      <c r="G21" s="8" t="e">
        <f t="shared" si="1"/>
        <v>#DIV/0!</v>
      </c>
    </row>
    <row r="22" spans="1:7">
      <c r="A22" s="9" t="s">
        <v>82</v>
      </c>
      <c r="B22" s="192">
        <v>2</v>
      </c>
      <c r="C22" s="192"/>
      <c r="D22" s="192">
        <v>2</v>
      </c>
      <c r="G22" s="8">
        <f t="shared" si="1"/>
        <v>1</v>
      </c>
    </row>
    <row r="23" spans="1:7">
      <c r="A23" s="9" t="s">
        <v>83</v>
      </c>
      <c r="B23" s="192"/>
      <c r="C23" s="192">
        <v>1</v>
      </c>
      <c r="D23" s="192">
        <v>1</v>
      </c>
      <c r="G23" s="8" t="e">
        <f t="shared" si="1"/>
        <v>#DIV/0!</v>
      </c>
    </row>
    <row r="24" spans="1:7">
      <c r="A24" s="7" t="s">
        <v>38</v>
      </c>
      <c r="B24" s="192">
        <v>1</v>
      </c>
      <c r="C24" s="192">
        <v>11</v>
      </c>
      <c r="D24" s="192">
        <v>12</v>
      </c>
      <c r="G24" s="8">
        <f t="shared" si="1"/>
        <v>1</v>
      </c>
    </row>
    <row r="25" spans="1:7">
      <c r="A25" s="9" t="s">
        <v>93</v>
      </c>
      <c r="B25" s="192"/>
      <c r="C25" s="192">
        <v>1</v>
      </c>
      <c r="D25" s="192">
        <v>1</v>
      </c>
      <c r="G25" s="8" t="e">
        <f t="shared" si="1"/>
        <v>#DIV/0!</v>
      </c>
    </row>
    <row r="26" spans="1:7">
      <c r="A26" s="9" t="s">
        <v>87</v>
      </c>
      <c r="B26" s="192"/>
      <c r="C26" s="192">
        <v>2</v>
      </c>
      <c r="D26" s="192">
        <v>2</v>
      </c>
      <c r="G26" s="8" t="e">
        <f t="shared" si="1"/>
        <v>#DIV/0!</v>
      </c>
    </row>
    <row r="27" spans="1:7">
      <c r="A27" s="9" t="s">
        <v>90</v>
      </c>
      <c r="B27" s="192">
        <v>1</v>
      </c>
      <c r="C27" s="192">
        <v>2</v>
      </c>
      <c r="D27" s="192">
        <v>3</v>
      </c>
      <c r="G27" s="8">
        <f t="shared" si="1"/>
        <v>1</v>
      </c>
    </row>
    <row r="28" spans="1:7">
      <c r="A28" s="9" t="s">
        <v>88</v>
      </c>
      <c r="B28" s="192"/>
      <c r="C28" s="192">
        <v>1</v>
      </c>
      <c r="D28" s="192">
        <v>1</v>
      </c>
      <c r="G28" s="8" t="e">
        <f t="shared" si="1"/>
        <v>#DIV/0!</v>
      </c>
    </row>
    <row r="29" spans="1:7">
      <c r="A29" s="9" t="s">
        <v>248</v>
      </c>
      <c r="B29" s="192"/>
      <c r="C29" s="192">
        <v>5</v>
      </c>
      <c r="D29" s="192">
        <v>5</v>
      </c>
      <c r="G29" s="8" t="e">
        <f t="shared" si="1"/>
        <v>#DIV/0!</v>
      </c>
    </row>
    <row r="30" spans="1:7">
      <c r="A30" s="7" t="s">
        <v>42</v>
      </c>
      <c r="B30" s="192">
        <v>6</v>
      </c>
      <c r="C30" s="192">
        <v>8</v>
      </c>
      <c r="D30" s="192">
        <v>14</v>
      </c>
      <c r="G30" s="8">
        <f t="shared" si="1"/>
        <v>1</v>
      </c>
    </row>
    <row r="31" spans="1:7">
      <c r="A31" s="9" t="s">
        <v>102</v>
      </c>
      <c r="B31" s="192"/>
      <c r="C31" s="192">
        <v>1</v>
      </c>
      <c r="D31" s="192">
        <v>1</v>
      </c>
      <c r="G31" s="8" t="e">
        <f t="shared" si="1"/>
        <v>#DIV/0!</v>
      </c>
    </row>
    <row r="32" spans="1:7">
      <c r="A32" s="9" t="s">
        <v>105</v>
      </c>
      <c r="B32" s="192">
        <v>3</v>
      </c>
      <c r="C32" s="192">
        <v>4</v>
      </c>
      <c r="D32" s="192">
        <v>7</v>
      </c>
      <c r="G32" s="8">
        <f t="shared" si="1"/>
        <v>1</v>
      </c>
    </row>
    <row r="33" spans="1:7">
      <c r="A33" s="9" t="s">
        <v>99</v>
      </c>
      <c r="B33" s="192">
        <v>2</v>
      </c>
      <c r="C33" s="192">
        <v>1</v>
      </c>
      <c r="D33" s="192">
        <v>3</v>
      </c>
      <c r="G33" s="8">
        <f t="shared" si="1"/>
        <v>1</v>
      </c>
    </row>
    <row r="34" spans="1:7">
      <c r="A34" s="9" t="s">
        <v>232</v>
      </c>
      <c r="B34" s="192">
        <v>1</v>
      </c>
      <c r="C34" s="192">
        <v>2</v>
      </c>
      <c r="D34" s="192">
        <v>3</v>
      </c>
      <c r="G34" s="8">
        <f t="shared" si="1"/>
        <v>1</v>
      </c>
    </row>
    <row r="35" spans="1:7">
      <c r="A35" s="7" t="s">
        <v>45</v>
      </c>
      <c r="B35" s="192">
        <v>2</v>
      </c>
      <c r="C35" s="192">
        <v>32</v>
      </c>
      <c r="D35" s="192">
        <v>34</v>
      </c>
      <c r="G35" s="8">
        <f t="shared" si="1"/>
        <v>1</v>
      </c>
    </row>
    <row r="36" spans="1:7">
      <c r="A36" s="9" t="s">
        <v>118</v>
      </c>
      <c r="B36" s="192"/>
      <c r="C36" s="192">
        <v>5</v>
      </c>
      <c r="D36" s="192">
        <v>5</v>
      </c>
      <c r="G36" s="8" t="e">
        <f t="shared" si="1"/>
        <v>#DIV/0!</v>
      </c>
    </row>
    <row r="37" spans="1:7">
      <c r="A37" s="9" t="s">
        <v>110</v>
      </c>
      <c r="B37" s="192">
        <v>1</v>
      </c>
      <c r="C37" s="192">
        <v>5</v>
      </c>
      <c r="D37" s="192">
        <v>6</v>
      </c>
      <c r="G37" s="8">
        <f t="shared" si="1"/>
        <v>1</v>
      </c>
    </row>
    <row r="38" spans="1:7">
      <c r="A38" s="9" t="s">
        <v>113</v>
      </c>
      <c r="B38" s="192"/>
      <c r="C38" s="192">
        <v>4</v>
      </c>
      <c r="D38" s="192">
        <v>4</v>
      </c>
      <c r="G38" s="8" t="e">
        <f t="shared" si="1"/>
        <v>#DIV/0!</v>
      </c>
    </row>
    <row r="39" spans="1:7">
      <c r="A39" s="9" t="s">
        <v>114</v>
      </c>
      <c r="B39" s="192"/>
      <c r="C39" s="192">
        <v>1</v>
      </c>
      <c r="D39" s="192">
        <v>1</v>
      </c>
      <c r="G39" s="8" t="e">
        <f t="shared" si="1"/>
        <v>#DIV/0!</v>
      </c>
    </row>
    <row r="40" spans="1:7">
      <c r="A40" s="9" t="s">
        <v>781</v>
      </c>
      <c r="B40" s="192"/>
      <c r="C40" s="192">
        <v>12</v>
      </c>
      <c r="D40" s="192">
        <v>12</v>
      </c>
      <c r="G40" s="8" t="e">
        <f t="shared" si="1"/>
        <v>#DIV/0!</v>
      </c>
    </row>
    <row r="41" spans="1:7">
      <c r="A41" s="9" t="s">
        <v>210</v>
      </c>
      <c r="B41" s="192">
        <v>1</v>
      </c>
      <c r="C41" s="192">
        <v>5</v>
      </c>
      <c r="D41" s="192">
        <v>6</v>
      </c>
      <c r="G41" s="8">
        <f t="shared" si="1"/>
        <v>1</v>
      </c>
    </row>
    <row r="42" spans="1:7">
      <c r="A42" s="7" t="s">
        <v>55</v>
      </c>
      <c r="B42" s="192">
        <v>7</v>
      </c>
      <c r="C42" s="192">
        <v>8</v>
      </c>
      <c r="D42" s="192">
        <v>15</v>
      </c>
      <c r="G42" s="8">
        <f t="shared" si="1"/>
        <v>1</v>
      </c>
    </row>
    <row r="43" spans="1:7">
      <c r="A43" s="9" t="s">
        <v>122</v>
      </c>
      <c r="B43" s="192">
        <v>2</v>
      </c>
      <c r="C43" s="192">
        <v>3</v>
      </c>
      <c r="D43" s="192">
        <v>5</v>
      </c>
      <c r="G43" s="8">
        <f t="shared" si="1"/>
        <v>1</v>
      </c>
    </row>
    <row r="44" spans="1:7">
      <c r="A44" s="9" t="s">
        <v>227</v>
      </c>
      <c r="B44" s="192"/>
      <c r="C44" s="192">
        <v>3</v>
      </c>
      <c r="D44" s="192">
        <v>3</v>
      </c>
      <c r="G44" s="8" t="e">
        <f t="shared" si="1"/>
        <v>#DIV/0!</v>
      </c>
    </row>
    <row r="45" spans="1:7">
      <c r="A45" s="9" t="s">
        <v>666</v>
      </c>
      <c r="B45" s="192">
        <v>4</v>
      </c>
      <c r="C45" s="192">
        <v>2</v>
      </c>
      <c r="D45" s="192">
        <v>6</v>
      </c>
      <c r="G45" s="8">
        <f t="shared" si="1"/>
        <v>1</v>
      </c>
    </row>
    <row r="46" spans="1:7">
      <c r="A46" s="9" t="s">
        <v>663</v>
      </c>
      <c r="B46" s="192">
        <v>1</v>
      </c>
      <c r="C46" s="192"/>
      <c r="D46" s="192">
        <v>1</v>
      </c>
      <c r="G46" s="8">
        <f t="shared" si="1"/>
        <v>1</v>
      </c>
    </row>
    <row r="47" spans="1:7">
      <c r="A47" s="7" t="s">
        <v>154</v>
      </c>
      <c r="B47" s="192">
        <v>20</v>
      </c>
      <c r="C47" s="192">
        <v>62</v>
      </c>
      <c r="D47" s="192">
        <v>82</v>
      </c>
      <c r="G47" s="8">
        <f t="shared" si="1"/>
        <v>1</v>
      </c>
    </row>
    <row r="48" spans="1:7">
      <c r="G48" s="8" t="e">
        <f t="shared" ref="G20:G78" si="2">B48/(B48+C48)</f>
        <v>#DIV/0!</v>
      </c>
    </row>
    <row r="49" spans="7:7">
      <c r="G49" s="8" t="e">
        <f t="shared" si="2"/>
        <v>#DIV/0!</v>
      </c>
    </row>
    <row r="50" spans="7:7">
      <c r="G50" s="8" t="e">
        <f t="shared" si="2"/>
        <v>#DIV/0!</v>
      </c>
    </row>
    <row r="51" spans="7:7">
      <c r="G51" s="8" t="e">
        <f t="shared" si="2"/>
        <v>#DIV/0!</v>
      </c>
    </row>
    <row r="52" spans="7:7">
      <c r="G52" s="8" t="e">
        <f t="shared" si="2"/>
        <v>#DIV/0!</v>
      </c>
    </row>
    <row r="53" spans="7:7">
      <c r="G53" s="8" t="e">
        <f t="shared" si="2"/>
        <v>#DIV/0!</v>
      </c>
    </row>
    <row r="54" spans="7:7">
      <c r="G54" s="8" t="e">
        <f t="shared" si="2"/>
        <v>#DIV/0!</v>
      </c>
    </row>
    <row r="55" spans="7:7">
      <c r="G55" s="8" t="e">
        <f t="shared" si="2"/>
        <v>#DIV/0!</v>
      </c>
    </row>
    <row r="56" spans="7:7">
      <c r="G56" s="8" t="e">
        <f t="shared" si="2"/>
        <v>#DIV/0!</v>
      </c>
    </row>
    <row r="57" spans="7:7">
      <c r="G57" s="8" t="e">
        <f t="shared" si="2"/>
        <v>#DIV/0!</v>
      </c>
    </row>
    <row r="58" spans="7:7">
      <c r="G58" s="8" t="e">
        <f t="shared" si="2"/>
        <v>#DIV/0!</v>
      </c>
    </row>
    <row r="59" spans="7:7">
      <c r="G59" s="8" t="e">
        <f t="shared" si="2"/>
        <v>#DIV/0!</v>
      </c>
    </row>
    <row r="60" spans="7:7">
      <c r="G60" s="8" t="e">
        <f t="shared" si="2"/>
        <v>#DIV/0!</v>
      </c>
    </row>
    <row r="61" spans="7:7">
      <c r="G61" s="8" t="e">
        <f t="shared" si="2"/>
        <v>#DIV/0!</v>
      </c>
    </row>
    <row r="62" spans="7:7">
      <c r="G62" s="8" t="e">
        <f t="shared" si="2"/>
        <v>#DIV/0!</v>
      </c>
    </row>
    <row r="63" spans="7:7">
      <c r="G63" s="8" t="e">
        <f t="shared" si="2"/>
        <v>#DIV/0!</v>
      </c>
    </row>
    <row r="64" spans="7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M1" zoomScale="104" workbookViewId="0">
      <selection activeCell="BC1" sqref="BC1:BC1048576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1527</v>
      </c>
      <c r="BD1" s="99" t="s">
        <v>218</v>
      </c>
      <c r="BE1" s="99"/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1002564244</v>
      </c>
      <c r="C2">
        <v>3</v>
      </c>
      <c r="D2" t="s">
        <v>49</v>
      </c>
      <c r="E2">
        <v>4</v>
      </c>
      <c r="F2" t="s">
        <v>250</v>
      </c>
      <c r="G2" t="s">
        <v>250</v>
      </c>
      <c r="H2" t="s">
        <v>855</v>
      </c>
      <c r="I2" t="s">
        <v>212</v>
      </c>
      <c r="J2" t="s">
        <v>213</v>
      </c>
      <c r="K2" t="s">
        <v>149</v>
      </c>
      <c r="L2" t="s">
        <v>214</v>
      </c>
      <c r="M2" t="s">
        <v>235</v>
      </c>
      <c r="N2" t="s">
        <v>215</v>
      </c>
      <c r="O2" s="57">
        <v>46266.376064814816</v>
      </c>
      <c r="P2" s="57">
        <v>46266.622476851851</v>
      </c>
      <c r="Q2">
        <v>69377558</v>
      </c>
      <c r="T2" t="s">
        <v>968</v>
      </c>
      <c r="V2" t="s">
        <v>969</v>
      </c>
      <c r="Z2">
        <v>109.52406000000001</v>
      </c>
      <c r="AA2">
        <v>-7.0198</v>
      </c>
      <c r="AB2" t="s">
        <v>970</v>
      </c>
      <c r="AC2" t="s">
        <v>236</v>
      </c>
      <c r="AL2" t="s">
        <v>217</v>
      </c>
      <c r="AM2" t="s">
        <v>971</v>
      </c>
      <c r="AN2" t="s">
        <v>6</v>
      </c>
      <c r="AO2" s="57">
        <v>46031.382175925923</v>
      </c>
      <c r="AP2" s="57">
        <v>46262</v>
      </c>
      <c r="AR2" t="s">
        <v>306</v>
      </c>
      <c r="AS2" t="s">
        <v>900</v>
      </c>
      <c r="AT2" t="s">
        <v>230</v>
      </c>
      <c r="AV2" t="s">
        <v>1043</v>
      </c>
      <c r="AW2" t="s">
        <v>887</v>
      </c>
      <c r="AX2" t="s">
        <v>222</v>
      </c>
      <c r="AZ2" t="s">
        <v>1043</v>
      </c>
      <c r="BA2" s="57">
        <v>46262.333333333336</v>
      </c>
      <c r="BB2" t="s">
        <v>971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1002566538</v>
      </c>
      <c r="C3">
        <v>3</v>
      </c>
      <c r="D3" t="s">
        <v>59</v>
      </c>
      <c r="E3">
        <v>4</v>
      </c>
      <c r="F3" t="s">
        <v>549</v>
      </c>
      <c r="G3" t="s">
        <v>582</v>
      </c>
      <c r="H3" t="s">
        <v>583</v>
      </c>
      <c r="I3" t="s">
        <v>212</v>
      </c>
      <c r="J3" t="s">
        <v>213</v>
      </c>
      <c r="K3" t="s">
        <v>149</v>
      </c>
      <c r="M3" t="s">
        <v>975</v>
      </c>
      <c r="N3" t="s">
        <v>215</v>
      </c>
      <c r="O3" s="57">
        <v>46266.965520833335</v>
      </c>
      <c r="P3" s="57">
        <v>46266.966724537036</v>
      </c>
      <c r="Q3">
        <v>69381894</v>
      </c>
      <c r="S3">
        <v>146130138736</v>
      </c>
      <c r="T3" t="s">
        <v>1044</v>
      </c>
      <c r="U3" t="s">
        <v>1045</v>
      </c>
      <c r="Z3">
        <v>110.433431469799</v>
      </c>
      <c r="AA3">
        <v>-7.7632600050565603</v>
      </c>
      <c r="AB3" t="s">
        <v>1046</v>
      </c>
      <c r="AC3" t="s">
        <v>285</v>
      </c>
      <c r="AO3" s="57">
        <v>46031.975787037038</v>
      </c>
      <c r="AR3" t="s">
        <v>327</v>
      </c>
      <c r="AS3" t="s">
        <v>905</v>
      </c>
      <c r="AT3" t="s">
        <v>230</v>
      </c>
      <c r="AV3" t="s">
        <v>976</v>
      </c>
      <c r="AW3" t="s">
        <v>545</v>
      </c>
      <c r="AX3" t="s">
        <v>222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e">
        <f>VLOOKUP(H3,Sheet2!$A$1:$B$270,2,FALSE)</f>
        <v>#N/A</v>
      </c>
    </row>
    <row r="4" spans="1:61">
      <c r="A4">
        <v>3</v>
      </c>
      <c r="B4">
        <v>1002566294</v>
      </c>
      <c r="C4">
        <v>3</v>
      </c>
      <c r="D4" t="s">
        <v>38</v>
      </c>
      <c r="E4">
        <v>5</v>
      </c>
      <c r="F4" t="s">
        <v>248</v>
      </c>
      <c r="G4" t="s">
        <v>91</v>
      </c>
      <c r="H4" t="s">
        <v>436</v>
      </c>
      <c r="I4" t="s">
        <v>212</v>
      </c>
      <c r="J4" t="s">
        <v>213</v>
      </c>
      <c r="K4" t="s">
        <v>149</v>
      </c>
      <c r="M4" t="s">
        <v>975</v>
      </c>
      <c r="N4" t="s">
        <v>215</v>
      </c>
      <c r="O4" s="57">
        <v>46266.698819444442</v>
      </c>
      <c r="P4" s="57">
        <v>46266.700057870374</v>
      </c>
      <c r="Q4">
        <v>18307703</v>
      </c>
      <c r="S4">
        <v>152708207587</v>
      </c>
      <c r="T4" t="s">
        <v>1047</v>
      </c>
      <c r="U4" t="s">
        <v>1048</v>
      </c>
      <c r="Z4">
        <v>112.64316272698299</v>
      </c>
      <c r="AA4">
        <v>-8.0102556652347801</v>
      </c>
      <c r="AB4" t="s">
        <v>1049</v>
      </c>
      <c r="AC4" t="s">
        <v>229</v>
      </c>
      <c r="AO4" s="57">
        <v>46031.704814814817</v>
      </c>
      <c r="AR4" t="s">
        <v>327</v>
      </c>
      <c r="AS4" t="s">
        <v>591</v>
      </c>
      <c r="AT4" t="s">
        <v>230</v>
      </c>
      <c r="AV4" t="s">
        <v>976</v>
      </c>
      <c r="AW4" t="s">
        <v>546</v>
      </c>
      <c r="AX4" t="s">
        <v>222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MALANG</v>
      </c>
    </row>
    <row r="5" spans="1:61">
      <c r="A5">
        <v>4</v>
      </c>
      <c r="B5">
        <v>1002564602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273</v>
      </c>
      <c r="I5" t="s">
        <v>212</v>
      </c>
      <c r="J5" t="s">
        <v>213</v>
      </c>
      <c r="K5" t="s">
        <v>149</v>
      </c>
      <c r="L5" t="s">
        <v>214</v>
      </c>
      <c r="M5" t="s">
        <v>541</v>
      </c>
      <c r="N5" t="s">
        <v>215</v>
      </c>
      <c r="O5" s="57">
        <v>46266.418541666666</v>
      </c>
      <c r="P5" s="57">
        <v>46266.721284722225</v>
      </c>
      <c r="Q5">
        <v>69374745</v>
      </c>
      <c r="T5" t="s">
        <v>951</v>
      </c>
      <c r="V5" t="s">
        <v>952</v>
      </c>
      <c r="Z5">
        <v>116.316</v>
      </c>
      <c r="AA5">
        <v>-8.6163000000000007</v>
      </c>
      <c r="AB5" t="s">
        <v>953</v>
      </c>
      <c r="AC5" t="s">
        <v>216</v>
      </c>
      <c r="AL5" t="s">
        <v>217</v>
      </c>
      <c r="AM5" t="s">
        <v>954</v>
      </c>
      <c r="AN5" t="s">
        <v>6</v>
      </c>
      <c r="AO5" s="57">
        <v>46031.423645833333</v>
      </c>
      <c r="AP5" s="57">
        <v>46261</v>
      </c>
      <c r="AR5" t="s">
        <v>6</v>
      </c>
      <c r="AS5" t="s">
        <v>902</v>
      </c>
      <c r="AT5" t="s">
        <v>230</v>
      </c>
      <c r="AV5" t="s">
        <v>1050</v>
      </c>
      <c r="AW5" t="s">
        <v>831</v>
      </c>
      <c r="AX5" t="s">
        <v>222</v>
      </c>
      <c r="BA5" s="57">
        <v>46261.625</v>
      </c>
      <c r="BB5" t="s">
        <v>954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1002565696</v>
      </c>
      <c r="C6">
        <v>3</v>
      </c>
      <c r="D6" t="s">
        <v>34</v>
      </c>
      <c r="E6">
        <v>5</v>
      </c>
      <c r="F6" t="s">
        <v>554</v>
      </c>
      <c r="G6" t="s">
        <v>79</v>
      </c>
      <c r="H6" t="s">
        <v>461</v>
      </c>
      <c r="I6" t="s">
        <v>212</v>
      </c>
      <c r="J6" t="s">
        <v>213</v>
      </c>
      <c r="K6" t="s">
        <v>149</v>
      </c>
      <c r="M6" t="s">
        <v>541</v>
      </c>
      <c r="N6" t="s">
        <v>215</v>
      </c>
      <c r="O6" s="57">
        <v>46266.607731481483</v>
      </c>
      <c r="P6" s="57">
        <v>46266.779745370368</v>
      </c>
      <c r="Q6">
        <v>69381598</v>
      </c>
      <c r="S6">
        <v>172407215197</v>
      </c>
      <c r="T6" t="s">
        <v>1051</v>
      </c>
      <c r="U6" t="s">
        <v>1052</v>
      </c>
      <c r="Z6">
        <v>115.32357209118</v>
      </c>
      <c r="AA6">
        <v>-8.5396048130261306</v>
      </c>
      <c r="AB6" t="s">
        <v>1053</v>
      </c>
      <c r="AC6" t="s">
        <v>229</v>
      </c>
      <c r="AO6" s="57">
        <v>46031.611076388886</v>
      </c>
      <c r="AR6" t="s">
        <v>6</v>
      </c>
      <c r="AS6" t="s">
        <v>79</v>
      </c>
      <c r="AT6" t="s">
        <v>230</v>
      </c>
      <c r="AV6" t="s">
        <v>864</v>
      </c>
      <c r="AW6" t="s">
        <v>572</v>
      </c>
      <c r="AX6" t="s">
        <v>222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GIANYAR</v>
      </c>
    </row>
    <row r="7" spans="1:61">
      <c r="A7">
        <v>6</v>
      </c>
      <c r="B7">
        <v>1002564745</v>
      </c>
      <c r="C7">
        <v>3</v>
      </c>
      <c r="D7" t="s">
        <v>55</v>
      </c>
      <c r="E7">
        <v>5</v>
      </c>
      <c r="F7" t="s">
        <v>227</v>
      </c>
      <c r="G7" t="s">
        <v>121</v>
      </c>
      <c r="H7" t="s">
        <v>334</v>
      </c>
      <c r="I7" t="s">
        <v>212</v>
      </c>
      <c r="J7" t="s">
        <v>213</v>
      </c>
      <c r="K7" t="s">
        <v>149</v>
      </c>
      <c r="M7" t="s">
        <v>842</v>
      </c>
      <c r="N7" t="s">
        <v>215</v>
      </c>
      <c r="O7" s="57">
        <v>46266.44158564815</v>
      </c>
      <c r="P7" s="57">
        <v>46266.694004629629</v>
      </c>
      <c r="Q7">
        <v>69381308</v>
      </c>
      <c r="S7">
        <v>152434913996</v>
      </c>
      <c r="T7" t="s">
        <v>1054</v>
      </c>
      <c r="U7" t="s">
        <v>860</v>
      </c>
      <c r="Z7">
        <v>113.2519231</v>
      </c>
      <c r="AA7">
        <v>-7.1953864999999997</v>
      </c>
      <c r="AB7" t="s">
        <v>1055</v>
      </c>
      <c r="AC7" t="s">
        <v>229</v>
      </c>
      <c r="AO7" s="57">
        <v>46031.444409722222</v>
      </c>
      <c r="AR7" t="s">
        <v>6</v>
      </c>
      <c r="AS7" t="s">
        <v>335</v>
      </c>
      <c r="AT7" t="s">
        <v>230</v>
      </c>
      <c r="AV7" t="s">
        <v>1056</v>
      </c>
      <c r="AW7" t="s">
        <v>544</v>
      </c>
      <c r="AX7" t="s">
        <v>222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MADURA</v>
      </c>
    </row>
    <row r="8" spans="1:61">
      <c r="A8">
        <v>7</v>
      </c>
      <c r="B8">
        <v>1002564593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273</v>
      </c>
      <c r="I8" t="s">
        <v>212</v>
      </c>
      <c r="J8" t="s">
        <v>213</v>
      </c>
      <c r="K8" t="s">
        <v>149</v>
      </c>
      <c r="L8" t="s">
        <v>214</v>
      </c>
      <c r="M8" t="s">
        <v>559</v>
      </c>
      <c r="N8" t="s">
        <v>215</v>
      </c>
      <c r="O8" s="57">
        <v>46266.417303240742</v>
      </c>
      <c r="P8" s="57">
        <v>46266.652094907404</v>
      </c>
      <c r="Q8">
        <v>69376157</v>
      </c>
      <c r="T8" t="s">
        <v>943</v>
      </c>
      <c r="V8" t="s">
        <v>944</v>
      </c>
      <c r="Z8">
        <v>116.339</v>
      </c>
      <c r="AA8">
        <v>-8.6628299999999996</v>
      </c>
      <c r="AB8" t="s">
        <v>945</v>
      </c>
      <c r="AC8" t="s">
        <v>236</v>
      </c>
      <c r="AL8" t="s">
        <v>217</v>
      </c>
      <c r="AM8" t="s">
        <v>946</v>
      </c>
      <c r="AN8" t="s">
        <v>6</v>
      </c>
      <c r="AO8" s="57">
        <v>46031.423645833333</v>
      </c>
      <c r="AP8" s="57">
        <v>46264</v>
      </c>
      <c r="AR8" t="s">
        <v>548</v>
      </c>
      <c r="AS8" t="s">
        <v>902</v>
      </c>
      <c r="AT8" t="s">
        <v>230</v>
      </c>
      <c r="AV8" t="s">
        <v>847</v>
      </c>
      <c r="AW8" t="s">
        <v>895</v>
      </c>
      <c r="AX8" t="s">
        <v>222</v>
      </c>
      <c r="BA8" s="57">
        <v>46264.541666666664</v>
      </c>
      <c r="BB8" t="s">
        <v>946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1002566199</v>
      </c>
      <c r="C9">
        <v>3</v>
      </c>
      <c r="D9" t="s">
        <v>45</v>
      </c>
      <c r="E9">
        <v>5</v>
      </c>
      <c r="F9" t="s">
        <v>113</v>
      </c>
      <c r="G9" t="s">
        <v>113</v>
      </c>
      <c r="H9" t="s">
        <v>408</v>
      </c>
      <c r="I9" t="s">
        <v>212</v>
      </c>
      <c r="J9" t="s">
        <v>213</v>
      </c>
      <c r="K9" t="s">
        <v>149</v>
      </c>
      <c r="L9" t="s">
        <v>214</v>
      </c>
      <c r="M9" t="s">
        <v>239</v>
      </c>
      <c r="N9" t="s">
        <v>215</v>
      </c>
      <c r="O9" s="57">
        <v>46266.679814814815</v>
      </c>
      <c r="P9" s="57">
        <v>46266.680578703701</v>
      </c>
      <c r="Q9">
        <v>69381711</v>
      </c>
      <c r="S9">
        <v>172502311693</v>
      </c>
      <c r="T9" t="s">
        <v>1057</v>
      </c>
      <c r="U9" t="s">
        <v>1058</v>
      </c>
      <c r="V9" t="s">
        <v>1059</v>
      </c>
      <c r="Z9">
        <v>123.5713068</v>
      </c>
      <c r="AA9">
        <v>-10.166021300000001</v>
      </c>
      <c r="AB9" t="s">
        <v>1060</v>
      </c>
      <c r="AC9" t="s">
        <v>236</v>
      </c>
      <c r="AL9" t="s">
        <v>217</v>
      </c>
      <c r="AM9" t="s">
        <v>1061</v>
      </c>
      <c r="AN9" t="s">
        <v>6</v>
      </c>
      <c r="AO9" s="57">
        <v>46031.684131944443</v>
      </c>
      <c r="AP9" s="57">
        <v>46267.541666666664</v>
      </c>
      <c r="AR9" t="s">
        <v>240</v>
      </c>
      <c r="AS9" t="s">
        <v>113</v>
      </c>
      <c r="AT9" t="s">
        <v>230</v>
      </c>
      <c r="AV9" t="s">
        <v>239</v>
      </c>
      <c r="AW9" t="s">
        <v>891</v>
      </c>
      <c r="AX9" t="s">
        <v>222</v>
      </c>
      <c r="BA9" s="57">
        <v>46267.541666666664</v>
      </c>
      <c r="BB9" t="s">
        <v>1061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KUPANG</v>
      </c>
    </row>
    <row r="10" spans="1:61">
      <c r="A10">
        <v>9</v>
      </c>
      <c r="B10">
        <v>1002566014</v>
      </c>
      <c r="C10">
        <v>3</v>
      </c>
      <c r="D10" t="s">
        <v>51</v>
      </c>
      <c r="E10">
        <v>4</v>
      </c>
      <c r="F10" t="s">
        <v>234</v>
      </c>
      <c r="G10" t="s">
        <v>562</v>
      </c>
      <c r="H10" t="s">
        <v>874</v>
      </c>
      <c r="I10" t="s">
        <v>212</v>
      </c>
      <c r="J10" t="s">
        <v>213</v>
      </c>
      <c r="K10" t="s">
        <v>149</v>
      </c>
      <c r="L10" t="s">
        <v>214</v>
      </c>
      <c r="M10" t="s">
        <v>239</v>
      </c>
      <c r="N10" t="s">
        <v>215</v>
      </c>
      <c r="O10" s="57">
        <v>46266.650659722225</v>
      </c>
      <c r="P10" s="57">
        <v>46266.651400462964</v>
      </c>
      <c r="Q10">
        <v>69381694</v>
      </c>
      <c r="S10">
        <v>142526106506</v>
      </c>
      <c r="T10" t="s">
        <v>1062</v>
      </c>
      <c r="U10" t="s">
        <v>1063</v>
      </c>
      <c r="V10" t="s">
        <v>1064</v>
      </c>
      <c r="Z10">
        <v>110.878006</v>
      </c>
      <c r="AA10">
        <v>-7.5586039999999999</v>
      </c>
      <c r="AB10" t="s">
        <v>1065</v>
      </c>
      <c r="AC10" t="s">
        <v>236</v>
      </c>
      <c r="AL10" t="s">
        <v>217</v>
      </c>
      <c r="AM10" t="s">
        <v>1066</v>
      </c>
      <c r="AN10" t="s">
        <v>6</v>
      </c>
      <c r="AO10" s="57">
        <v>46031.653344907405</v>
      </c>
      <c r="AP10" s="57">
        <v>46272.541666666664</v>
      </c>
      <c r="AR10" t="s">
        <v>240</v>
      </c>
      <c r="AS10" t="s">
        <v>915</v>
      </c>
      <c r="AT10" t="s">
        <v>230</v>
      </c>
      <c r="AV10" t="s">
        <v>239</v>
      </c>
      <c r="AW10" t="s">
        <v>892</v>
      </c>
      <c r="AX10" t="s">
        <v>222</v>
      </c>
      <c r="BA10" s="57">
        <v>46272.541666666664</v>
      </c>
      <c r="BB10" t="s">
        <v>1066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1002566337</v>
      </c>
      <c r="C11">
        <v>3</v>
      </c>
      <c r="D11" t="s">
        <v>42</v>
      </c>
      <c r="E11">
        <v>5</v>
      </c>
      <c r="F11" t="s">
        <v>232</v>
      </c>
      <c r="G11" t="s">
        <v>103</v>
      </c>
      <c r="H11" t="s">
        <v>294</v>
      </c>
      <c r="I11" t="s">
        <v>212</v>
      </c>
      <c r="J11" t="s">
        <v>213</v>
      </c>
      <c r="K11" t="s">
        <v>149</v>
      </c>
      <c r="L11" t="s">
        <v>214</v>
      </c>
      <c r="M11" t="s">
        <v>239</v>
      </c>
      <c r="N11" t="s">
        <v>215</v>
      </c>
      <c r="O11" s="57">
        <v>46266.704814814817</v>
      </c>
      <c r="P11" s="57">
        <v>46266.705567129633</v>
      </c>
      <c r="Q11">
        <v>69381769</v>
      </c>
      <c r="S11">
        <v>152319208068</v>
      </c>
      <c r="T11" t="s">
        <v>1067</v>
      </c>
      <c r="U11" t="s">
        <v>1068</v>
      </c>
      <c r="V11" t="s">
        <v>1069</v>
      </c>
      <c r="Z11">
        <v>112.34413499999999</v>
      </c>
      <c r="AA11">
        <v>-7.5706119999999997</v>
      </c>
      <c r="AB11" t="s">
        <v>1070</v>
      </c>
      <c r="AC11" t="s">
        <v>236</v>
      </c>
      <c r="AL11" t="s">
        <v>217</v>
      </c>
      <c r="AM11" t="s">
        <v>1071</v>
      </c>
      <c r="AN11" t="s">
        <v>6</v>
      </c>
      <c r="AO11" s="57">
        <v>46031.715439814812</v>
      </c>
      <c r="AP11" s="57">
        <v>46267.625</v>
      </c>
      <c r="AR11" t="s">
        <v>240</v>
      </c>
      <c r="AS11" t="s">
        <v>103</v>
      </c>
      <c r="AT11" t="s">
        <v>230</v>
      </c>
      <c r="AV11" t="s">
        <v>239</v>
      </c>
      <c r="AW11" t="s">
        <v>574</v>
      </c>
      <c r="AX11" t="s">
        <v>222</v>
      </c>
      <c r="BA11" s="57">
        <v>46267.625</v>
      </c>
      <c r="BB11" t="s">
        <v>1071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MOJOKERTO</v>
      </c>
    </row>
    <row r="12" spans="1:61">
      <c r="A12">
        <v>11</v>
      </c>
      <c r="B12">
        <v>1002566360</v>
      </c>
      <c r="C12">
        <v>3</v>
      </c>
      <c r="D12" t="s">
        <v>59</v>
      </c>
      <c r="E12">
        <v>4</v>
      </c>
      <c r="F12" t="s">
        <v>223</v>
      </c>
      <c r="G12" t="s">
        <v>314</v>
      </c>
      <c r="H12" t="s">
        <v>315</v>
      </c>
      <c r="I12" t="s">
        <v>212</v>
      </c>
      <c r="J12" t="s">
        <v>213</v>
      </c>
      <c r="K12" t="s">
        <v>149</v>
      </c>
      <c r="L12" t="s">
        <v>214</v>
      </c>
      <c r="M12" t="s">
        <v>239</v>
      </c>
      <c r="N12" t="s">
        <v>215</v>
      </c>
      <c r="O12" s="57">
        <v>46266.711064814815</v>
      </c>
      <c r="P12" s="57">
        <v>46266.712511574071</v>
      </c>
      <c r="Q12">
        <v>69381775</v>
      </c>
      <c r="S12">
        <v>146372103147</v>
      </c>
      <c r="T12" t="s">
        <v>1072</v>
      </c>
      <c r="U12" t="s">
        <v>1073</v>
      </c>
      <c r="V12" t="s">
        <v>1074</v>
      </c>
      <c r="Z12">
        <v>109.636751</v>
      </c>
      <c r="AA12">
        <v>-7.3654310000000001</v>
      </c>
      <c r="AB12" t="s">
        <v>1075</v>
      </c>
      <c r="AC12" t="s">
        <v>236</v>
      </c>
      <c r="AL12" t="s">
        <v>217</v>
      </c>
      <c r="AM12" t="s">
        <v>1076</v>
      </c>
      <c r="AN12" t="s">
        <v>6</v>
      </c>
      <c r="AO12" s="57">
        <v>46031.715439814812</v>
      </c>
      <c r="AP12" s="57">
        <v>46269.333333333336</v>
      </c>
      <c r="AR12" t="s">
        <v>240</v>
      </c>
      <c r="AS12" t="s">
        <v>219</v>
      </c>
      <c r="AT12" t="s">
        <v>230</v>
      </c>
      <c r="AV12" t="s">
        <v>239</v>
      </c>
      <c r="AW12" t="s">
        <v>883</v>
      </c>
      <c r="AX12" t="s">
        <v>222</v>
      </c>
      <c r="BA12" s="57">
        <v>46269.333333333336</v>
      </c>
      <c r="BB12" t="s">
        <v>1076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1002564406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263</v>
      </c>
      <c r="I13" t="s">
        <v>212</v>
      </c>
      <c r="J13" t="s">
        <v>213</v>
      </c>
      <c r="K13" t="s">
        <v>149</v>
      </c>
      <c r="L13" t="s">
        <v>214</v>
      </c>
      <c r="M13" t="s">
        <v>239</v>
      </c>
      <c r="N13" t="s">
        <v>215</v>
      </c>
      <c r="O13" s="57">
        <v>46266.395798611113</v>
      </c>
      <c r="P13" s="57">
        <v>46266.397233796299</v>
      </c>
      <c r="Q13">
        <v>69381238</v>
      </c>
      <c r="S13">
        <v>172601795130</v>
      </c>
      <c r="T13" t="s">
        <v>1077</v>
      </c>
      <c r="U13" t="s">
        <v>1078</v>
      </c>
      <c r="V13" t="s">
        <v>1079</v>
      </c>
      <c r="Z13">
        <v>116.141443</v>
      </c>
      <c r="AA13">
        <v>-8.5526759999999999</v>
      </c>
      <c r="AB13" t="s">
        <v>1080</v>
      </c>
      <c r="AC13" t="s">
        <v>236</v>
      </c>
      <c r="AL13" t="s">
        <v>217</v>
      </c>
      <c r="AM13" t="s">
        <v>1081</v>
      </c>
      <c r="AN13" t="s">
        <v>6</v>
      </c>
      <c r="AO13" s="57">
        <v>46031.402905092589</v>
      </c>
      <c r="AP13" s="57">
        <v>46268.541666666664</v>
      </c>
      <c r="AR13" t="s">
        <v>240</v>
      </c>
      <c r="AS13" t="s">
        <v>219</v>
      </c>
      <c r="AT13" t="s">
        <v>230</v>
      </c>
      <c r="AV13" t="s">
        <v>239</v>
      </c>
      <c r="AW13" t="s">
        <v>889</v>
      </c>
      <c r="AX13" t="s">
        <v>222</v>
      </c>
      <c r="BA13" s="57">
        <v>46268.541666666664</v>
      </c>
      <c r="BB13" t="s">
        <v>1081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1002564394</v>
      </c>
      <c r="C14">
        <v>3</v>
      </c>
      <c r="D14" t="s">
        <v>45</v>
      </c>
      <c r="E14">
        <v>5</v>
      </c>
      <c r="F14" t="s">
        <v>210</v>
      </c>
      <c r="G14" t="s">
        <v>118</v>
      </c>
      <c r="H14" t="s">
        <v>211</v>
      </c>
      <c r="I14" t="s">
        <v>212</v>
      </c>
      <c r="J14" t="s">
        <v>213</v>
      </c>
      <c r="K14" t="s">
        <v>149</v>
      </c>
      <c r="L14" t="s">
        <v>214</v>
      </c>
      <c r="M14" t="s">
        <v>239</v>
      </c>
      <c r="N14" t="s">
        <v>215</v>
      </c>
      <c r="O14" s="57">
        <v>46266.39439814815</v>
      </c>
      <c r="P14" s="57">
        <v>46266.395844907405</v>
      </c>
      <c r="Q14">
        <v>69381216</v>
      </c>
      <c r="S14">
        <v>172606792056</v>
      </c>
      <c r="T14" t="s">
        <v>1082</v>
      </c>
      <c r="U14" t="s">
        <v>1083</v>
      </c>
      <c r="V14" t="s">
        <v>1084</v>
      </c>
      <c r="Z14">
        <v>117.705498151481</v>
      </c>
      <c r="AA14">
        <v>-8.6775460755313905</v>
      </c>
      <c r="AB14" t="s">
        <v>1085</v>
      </c>
      <c r="AC14" t="s">
        <v>216</v>
      </c>
      <c r="AL14" t="s">
        <v>217</v>
      </c>
      <c r="AM14" t="s">
        <v>1086</v>
      </c>
      <c r="AN14" t="s">
        <v>6</v>
      </c>
      <c r="AO14" s="57">
        <v>46031.402905092589</v>
      </c>
      <c r="AP14" s="57">
        <v>46267.333333333336</v>
      </c>
      <c r="AR14" t="s">
        <v>240</v>
      </c>
      <c r="AS14" t="s">
        <v>219</v>
      </c>
      <c r="AT14" t="s">
        <v>344</v>
      </c>
      <c r="AV14" t="s">
        <v>239</v>
      </c>
      <c r="AW14" t="s">
        <v>890</v>
      </c>
      <c r="AX14" t="s">
        <v>222</v>
      </c>
      <c r="BA14" s="57">
        <v>46267.333333333336</v>
      </c>
      <c r="BB14" t="s">
        <v>1086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SUMBAWA</v>
      </c>
    </row>
    <row r="15" spans="1:61">
      <c r="A15">
        <v>14</v>
      </c>
      <c r="B15">
        <v>1002564794</v>
      </c>
      <c r="C15">
        <v>3</v>
      </c>
      <c r="D15" t="s">
        <v>45</v>
      </c>
      <c r="E15">
        <v>5</v>
      </c>
      <c r="F15" t="s">
        <v>210</v>
      </c>
      <c r="G15" t="s">
        <v>110</v>
      </c>
      <c r="H15" t="s">
        <v>313</v>
      </c>
      <c r="I15" t="s">
        <v>212</v>
      </c>
      <c r="J15" t="s">
        <v>213</v>
      </c>
      <c r="K15" t="s">
        <v>149</v>
      </c>
      <c r="L15" t="s">
        <v>214</v>
      </c>
      <c r="M15" t="s">
        <v>239</v>
      </c>
      <c r="N15" t="s">
        <v>215</v>
      </c>
      <c r="O15" s="57">
        <v>46266.444398148145</v>
      </c>
      <c r="P15" s="57">
        <v>46266.445844907408</v>
      </c>
      <c r="Q15">
        <v>69381330</v>
      </c>
      <c r="S15">
        <v>172611786320</v>
      </c>
      <c r="T15" t="s">
        <v>1087</v>
      </c>
      <c r="U15" t="s">
        <v>1088</v>
      </c>
      <c r="V15" t="s">
        <v>1089</v>
      </c>
      <c r="Z15">
        <v>118.490178</v>
      </c>
      <c r="AA15">
        <v>-8.5041910000000005</v>
      </c>
      <c r="AB15" t="s">
        <v>1090</v>
      </c>
      <c r="AC15" t="s">
        <v>236</v>
      </c>
      <c r="AL15" t="s">
        <v>217</v>
      </c>
      <c r="AM15" t="s">
        <v>1091</v>
      </c>
      <c r="AN15" t="s">
        <v>6</v>
      </c>
      <c r="AO15" s="57">
        <v>46031.454826388886</v>
      </c>
      <c r="AP15" s="57">
        <v>46267.333333333336</v>
      </c>
      <c r="AR15" t="s">
        <v>240</v>
      </c>
      <c r="AS15" t="s">
        <v>569</v>
      </c>
      <c r="AT15" t="s">
        <v>552</v>
      </c>
      <c r="AV15" t="s">
        <v>239</v>
      </c>
      <c r="AW15" t="s">
        <v>869</v>
      </c>
      <c r="AX15" t="s">
        <v>222</v>
      </c>
      <c r="BA15" s="57">
        <v>46267.333333333336</v>
      </c>
      <c r="BB15" t="s">
        <v>1091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BIMA</v>
      </c>
    </row>
    <row r="16" spans="1:61">
      <c r="A16">
        <v>15</v>
      </c>
      <c r="B16">
        <v>1002564858</v>
      </c>
      <c r="C16">
        <v>3</v>
      </c>
      <c r="D16" t="s">
        <v>45</v>
      </c>
      <c r="E16">
        <v>5</v>
      </c>
      <c r="F16" t="s">
        <v>210</v>
      </c>
      <c r="G16" t="s">
        <v>118</v>
      </c>
      <c r="H16" t="s">
        <v>478</v>
      </c>
      <c r="I16" t="s">
        <v>212</v>
      </c>
      <c r="J16" t="s">
        <v>213</v>
      </c>
      <c r="K16" t="s">
        <v>149</v>
      </c>
      <c r="L16" t="s">
        <v>214</v>
      </c>
      <c r="M16" t="s">
        <v>239</v>
      </c>
      <c r="N16" t="s">
        <v>215</v>
      </c>
      <c r="O16" s="57">
        <v>46266.452048611114</v>
      </c>
      <c r="P16" s="57">
        <v>46266.452789351853</v>
      </c>
      <c r="Q16">
        <v>69381346</v>
      </c>
      <c r="S16">
        <v>172607203846</v>
      </c>
      <c r="T16" t="s">
        <v>1092</v>
      </c>
      <c r="U16" t="s">
        <v>1093</v>
      </c>
      <c r="V16" t="s">
        <v>1094</v>
      </c>
      <c r="Z16">
        <v>116.843798446929</v>
      </c>
      <c r="AA16">
        <v>-8.5673763751423309</v>
      </c>
      <c r="AB16" t="s">
        <v>1095</v>
      </c>
      <c r="AC16" t="s">
        <v>236</v>
      </c>
      <c r="AL16" t="s">
        <v>217</v>
      </c>
      <c r="AM16" t="s">
        <v>1096</v>
      </c>
      <c r="AN16" t="s">
        <v>6</v>
      </c>
      <c r="AO16" s="57">
        <v>46031.454826388886</v>
      </c>
      <c r="AP16" s="57">
        <v>46267.333333333336</v>
      </c>
      <c r="AR16" t="s">
        <v>240</v>
      </c>
      <c r="AS16" t="s">
        <v>903</v>
      </c>
      <c r="AT16" t="s">
        <v>230</v>
      </c>
      <c r="AV16" t="s">
        <v>239</v>
      </c>
      <c r="AW16" t="s">
        <v>885</v>
      </c>
      <c r="AX16" t="s">
        <v>222</v>
      </c>
      <c r="BA16" s="57">
        <v>46267.333333333336</v>
      </c>
      <c r="BB16" t="s">
        <v>1096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SUMBAWA</v>
      </c>
    </row>
    <row r="17" spans="1:61">
      <c r="A17">
        <v>16</v>
      </c>
      <c r="B17">
        <v>1002564025</v>
      </c>
      <c r="C17">
        <v>3</v>
      </c>
      <c r="D17" t="s">
        <v>45</v>
      </c>
      <c r="E17">
        <v>5</v>
      </c>
      <c r="F17" t="s">
        <v>210</v>
      </c>
      <c r="G17" t="s">
        <v>118</v>
      </c>
      <c r="H17" t="s">
        <v>211</v>
      </c>
      <c r="I17" t="s">
        <v>212</v>
      </c>
      <c r="J17" t="s">
        <v>213</v>
      </c>
      <c r="K17" t="s">
        <v>149</v>
      </c>
      <c r="L17" t="s">
        <v>214</v>
      </c>
      <c r="M17" t="s">
        <v>239</v>
      </c>
      <c r="N17" t="s">
        <v>215</v>
      </c>
      <c r="O17" s="57">
        <v>46266.313148148147</v>
      </c>
      <c r="P17" s="57">
        <v>46266.313900462963</v>
      </c>
      <c r="Q17">
        <v>69381121</v>
      </c>
      <c r="S17">
        <v>172606792340</v>
      </c>
      <c r="T17" t="s">
        <v>1097</v>
      </c>
      <c r="U17" t="s">
        <v>858</v>
      </c>
      <c r="V17" t="s">
        <v>1098</v>
      </c>
      <c r="Z17">
        <v>117.43840914219599</v>
      </c>
      <c r="AA17">
        <v>-8.6443586928006209</v>
      </c>
      <c r="AB17" t="s">
        <v>1099</v>
      </c>
      <c r="AC17" t="s">
        <v>216</v>
      </c>
      <c r="AL17" t="s">
        <v>217</v>
      </c>
      <c r="AM17" t="s">
        <v>1100</v>
      </c>
      <c r="AN17" t="s">
        <v>6</v>
      </c>
      <c r="AO17" s="57">
        <v>46031.319398148145</v>
      </c>
      <c r="AP17" s="57">
        <v>46267.333333333336</v>
      </c>
      <c r="AR17" t="s">
        <v>240</v>
      </c>
      <c r="AS17" t="s">
        <v>219</v>
      </c>
      <c r="AT17" t="s">
        <v>220</v>
      </c>
      <c r="AV17" t="s">
        <v>239</v>
      </c>
      <c r="AW17" t="s">
        <v>840</v>
      </c>
      <c r="AX17" t="s">
        <v>222</v>
      </c>
      <c r="BA17" s="57">
        <v>46267.333333333336</v>
      </c>
      <c r="BB17" t="s">
        <v>1100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SUMBAWA</v>
      </c>
    </row>
    <row r="18" spans="1:61">
      <c r="A18">
        <v>17</v>
      </c>
      <c r="B18">
        <v>1002564783</v>
      </c>
      <c r="C18">
        <v>3</v>
      </c>
      <c r="D18" t="s">
        <v>45</v>
      </c>
      <c r="E18">
        <v>5</v>
      </c>
      <c r="F18" t="s">
        <v>210</v>
      </c>
      <c r="G18" t="s">
        <v>116</v>
      </c>
      <c r="H18" t="s">
        <v>268</v>
      </c>
      <c r="I18" t="s">
        <v>212</v>
      </c>
      <c r="J18" t="s">
        <v>213</v>
      </c>
      <c r="K18" t="s">
        <v>149</v>
      </c>
      <c r="L18" t="s">
        <v>214</v>
      </c>
      <c r="M18" t="s">
        <v>239</v>
      </c>
      <c r="N18" t="s">
        <v>215</v>
      </c>
      <c r="O18" s="57">
        <v>46266.443703703706</v>
      </c>
      <c r="P18" s="57">
        <v>46266.444456018522</v>
      </c>
      <c r="Q18">
        <v>69381328</v>
      </c>
      <c r="S18">
        <v>172604214259</v>
      </c>
      <c r="T18" t="s">
        <v>1101</v>
      </c>
      <c r="U18" t="s">
        <v>1102</v>
      </c>
      <c r="V18" t="s">
        <v>1103</v>
      </c>
      <c r="Z18">
        <v>116.544966995716</v>
      </c>
      <c r="AA18">
        <v>-8.38643504546903</v>
      </c>
      <c r="AB18" t="s">
        <v>1104</v>
      </c>
      <c r="AC18" t="s">
        <v>216</v>
      </c>
      <c r="AL18" t="s">
        <v>217</v>
      </c>
      <c r="AM18" t="s">
        <v>1105</v>
      </c>
      <c r="AN18" t="s">
        <v>6</v>
      </c>
      <c r="AO18" s="57">
        <v>46031.444409722222</v>
      </c>
      <c r="AP18" s="57">
        <v>46267.625</v>
      </c>
      <c r="AR18" t="s">
        <v>240</v>
      </c>
      <c r="AS18" t="s">
        <v>913</v>
      </c>
      <c r="AT18" t="s">
        <v>230</v>
      </c>
      <c r="AV18" t="s">
        <v>239</v>
      </c>
      <c r="AW18" t="s">
        <v>885</v>
      </c>
      <c r="AX18" t="s">
        <v>222</v>
      </c>
      <c r="BA18" s="57">
        <v>46267.625</v>
      </c>
      <c r="BB18" t="s">
        <v>1105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1002565129</v>
      </c>
      <c r="C19">
        <v>3</v>
      </c>
      <c r="D19" t="s">
        <v>49</v>
      </c>
      <c r="E19">
        <v>4</v>
      </c>
      <c r="F19" t="s">
        <v>250</v>
      </c>
      <c r="G19" t="s">
        <v>539</v>
      </c>
      <c r="H19" t="s">
        <v>577</v>
      </c>
      <c r="I19" t="s">
        <v>212</v>
      </c>
      <c r="J19" t="s">
        <v>213</v>
      </c>
      <c r="K19" t="s">
        <v>149</v>
      </c>
      <c r="M19" t="s">
        <v>239</v>
      </c>
      <c r="N19" t="s">
        <v>215</v>
      </c>
      <c r="O19" s="57">
        <v>46266.493634259263</v>
      </c>
      <c r="P19" s="57">
        <v>46266.643067129633</v>
      </c>
      <c r="Q19">
        <v>69228573</v>
      </c>
      <c r="S19">
        <v>142214107371</v>
      </c>
      <c r="T19" t="s">
        <v>1106</v>
      </c>
      <c r="U19" t="s">
        <v>962</v>
      </c>
      <c r="V19" t="s">
        <v>1107</v>
      </c>
      <c r="Z19">
        <v>108.9829376</v>
      </c>
      <c r="AA19">
        <v>-6.9595906999999997</v>
      </c>
      <c r="AB19" t="s">
        <v>1108</v>
      </c>
      <c r="AC19" t="s">
        <v>225</v>
      </c>
      <c r="AL19" t="s">
        <v>217</v>
      </c>
      <c r="AM19" t="s">
        <v>1109</v>
      </c>
      <c r="AN19" t="s">
        <v>6</v>
      </c>
      <c r="AO19" s="57">
        <v>46031.49659722222</v>
      </c>
      <c r="AP19" s="57">
        <v>46267.541666666664</v>
      </c>
      <c r="AR19" t="s">
        <v>240</v>
      </c>
      <c r="AS19" t="s">
        <v>910</v>
      </c>
      <c r="AT19" t="s">
        <v>230</v>
      </c>
      <c r="AV19" t="s">
        <v>239</v>
      </c>
      <c r="AW19" t="s">
        <v>578</v>
      </c>
      <c r="AX19" t="s">
        <v>222</v>
      </c>
      <c r="BA19" s="57">
        <v>46267.541666666664</v>
      </c>
      <c r="BB19" t="s">
        <v>1109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1002564592</v>
      </c>
      <c r="C20">
        <v>3</v>
      </c>
      <c r="D20" t="s">
        <v>42</v>
      </c>
      <c r="E20">
        <v>5</v>
      </c>
      <c r="F20" t="s">
        <v>232</v>
      </c>
      <c r="G20" t="s">
        <v>103</v>
      </c>
      <c r="H20" t="s">
        <v>294</v>
      </c>
      <c r="I20" t="s">
        <v>212</v>
      </c>
      <c r="J20" t="s">
        <v>213</v>
      </c>
      <c r="K20" t="s">
        <v>149</v>
      </c>
      <c r="M20" t="s">
        <v>239</v>
      </c>
      <c r="N20" t="s">
        <v>215</v>
      </c>
      <c r="O20" s="57">
        <v>46266.417939814812</v>
      </c>
      <c r="P20" s="57">
        <v>46266.573622685188</v>
      </c>
      <c r="Q20">
        <v>69381278</v>
      </c>
      <c r="S20">
        <v>152319208061</v>
      </c>
      <c r="T20" t="s">
        <v>1110</v>
      </c>
      <c r="U20" t="s">
        <v>1111</v>
      </c>
      <c r="V20" t="s">
        <v>1112</v>
      </c>
      <c r="Z20">
        <v>112.3860248</v>
      </c>
      <c r="AA20">
        <v>-7.5268009999999999</v>
      </c>
      <c r="AB20" t="s">
        <v>1113</v>
      </c>
      <c r="AC20" t="s">
        <v>229</v>
      </c>
      <c r="AL20" t="s">
        <v>217</v>
      </c>
      <c r="AM20" t="s">
        <v>1114</v>
      </c>
      <c r="AN20" t="s">
        <v>6</v>
      </c>
      <c r="AO20" s="57">
        <v>46031.423645833333</v>
      </c>
      <c r="AP20" s="57">
        <v>46267.458333333336</v>
      </c>
      <c r="AR20" t="s">
        <v>240</v>
      </c>
      <c r="AS20" t="s">
        <v>103</v>
      </c>
      <c r="AT20" t="s">
        <v>230</v>
      </c>
      <c r="AV20" t="s">
        <v>239</v>
      </c>
      <c r="AW20" t="s">
        <v>544</v>
      </c>
      <c r="AX20" t="s">
        <v>222</v>
      </c>
      <c r="BA20" s="57">
        <v>46267.458333333336</v>
      </c>
      <c r="BB20" t="s">
        <v>1114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MOJOKERTO</v>
      </c>
    </row>
    <row r="21" spans="1:61">
      <c r="A21">
        <v>20</v>
      </c>
      <c r="B21">
        <v>1002565482</v>
      </c>
      <c r="C21">
        <v>3</v>
      </c>
      <c r="D21" t="s">
        <v>49</v>
      </c>
      <c r="E21">
        <v>4</v>
      </c>
      <c r="F21" t="s">
        <v>245</v>
      </c>
      <c r="G21" t="s">
        <v>246</v>
      </c>
      <c r="H21" t="s">
        <v>610</v>
      </c>
      <c r="I21" t="s">
        <v>212</v>
      </c>
      <c r="J21" t="s">
        <v>213</v>
      </c>
      <c r="K21" t="s">
        <v>149</v>
      </c>
      <c r="L21" t="s">
        <v>214</v>
      </c>
      <c r="M21" t="s">
        <v>239</v>
      </c>
      <c r="N21" t="s">
        <v>215</v>
      </c>
      <c r="O21" s="57">
        <v>46266.574953703705</v>
      </c>
      <c r="P21" s="57">
        <v>46266.576412037037</v>
      </c>
      <c r="Q21">
        <v>69381526</v>
      </c>
      <c r="S21">
        <v>141408116576</v>
      </c>
      <c r="T21" t="s">
        <v>1115</v>
      </c>
      <c r="U21" t="s">
        <v>1116</v>
      </c>
      <c r="V21" t="s">
        <v>1117</v>
      </c>
      <c r="Z21">
        <v>110.40788000000001</v>
      </c>
      <c r="AA21">
        <v>-6.9934120000000002</v>
      </c>
      <c r="AB21" t="s">
        <v>1118</v>
      </c>
      <c r="AC21" t="s">
        <v>236</v>
      </c>
      <c r="AL21" t="s">
        <v>217</v>
      </c>
      <c r="AM21" t="s">
        <v>1026</v>
      </c>
      <c r="AN21" t="s">
        <v>6</v>
      </c>
      <c r="AO21" s="57">
        <v>46031.579826388886</v>
      </c>
      <c r="AP21" s="57">
        <v>46267.541666666664</v>
      </c>
      <c r="AR21" t="s">
        <v>240</v>
      </c>
      <c r="AS21" t="s">
        <v>219</v>
      </c>
      <c r="AT21" t="s">
        <v>230</v>
      </c>
      <c r="AV21" t="s">
        <v>239</v>
      </c>
      <c r="AW21" t="s">
        <v>237</v>
      </c>
      <c r="AX21" t="s">
        <v>222</v>
      </c>
      <c r="BA21" s="57">
        <v>46267.541666666664</v>
      </c>
      <c r="BB21" t="s">
        <v>1026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1002564818</v>
      </c>
      <c r="C22">
        <v>3</v>
      </c>
      <c r="D22" t="s">
        <v>59</v>
      </c>
      <c r="E22">
        <v>4</v>
      </c>
      <c r="F22" t="s">
        <v>242</v>
      </c>
      <c r="G22" t="s">
        <v>542</v>
      </c>
      <c r="H22" t="s">
        <v>846</v>
      </c>
      <c r="I22" t="s">
        <v>212</v>
      </c>
      <c r="J22" t="s">
        <v>213</v>
      </c>
      <c r="K22" t="s">
        <v>149</v>
      </c>
      <c r="L22" t="s">
        <v>214</v>
      </c>
      <c r="M22" t="s">
        <v>239</v>
      </c>
      <c r="N22" t="s">
        <v>215</v>
      </c>
      <c r="O22" s="57">
        <v>46266.447870370372</v>
      </c>
      <c r="P22" s="57">
        <v>46266.448634259257</v>
      </c>
      <c r="Q22">
        <v>69381321</v>
      </c>
      <c r="S22">
        <v>142141120250</v>
      </c>
      <c r="T22" t="s">
        <v>1119</v>
      </c>
      <c r="U22" t="s">
        <v>1120</v>
      </c>
      <c r="V22" t="s">
        <v>1121</v>
      </c>
      <c r="Z22">
        <v>109.61434250000001</v>
      </c>
      <c r="AA22">
        <v>-7.7214121999999996</v>
      </c>
      <c r="AB22" t="s">
        <v>1122</v>
      </c>
      <c r="AC22" t="s">
        <v>236</v>
      </c>
      <c r="AL22" t="s">
        <v>217</v>
      </c>
      <c r="AM22" t="s">
        <v>1123</v>
      </c>
      <c r="AN22" t="s">
        <v>6</v>
      </c>
      <c r="AO22" s="57">
        <v>46031.454826388886</v>
      </c>
      <c r="AP22" s="57">
        <v>46267.333333333336</v>
      </c>
      <c r="AR22" t="s">
        <v>240</v>
      </c>
      <c r="AS22" t="s">
        <v>219</v>
      </c>
      <c r="AT22" t="s">
        <v>230</v>
      </c>
      <c r="AV22" t="s">
        <v>239</v>
      </c>
      <c r="AW22" t="s">
        <v>891</v>
      </c>
      <c r="AX22" t="s">
        <v>222</v>
      </c>
      <c r="BA22" s="57">
        <v>46267.333333333336</v>
      </c>
      <c r="BB22" t="s">
        <v>1123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e">
        <f>VLOOKUP(H22,Sheet2!$A$1:$B$270,2,FALSE)</f>
        <v>#N/A</v>
      </c>
    </row>
    <row r="23" spans="1:61">
      <c r="A23">
        <v>22</v>
      </c>
      <c r="B23">
        <v>1002566468</v>
      </c>
      <c r="C23">
        <v>3</v>
      </c>
      <c r="D23" t="s">
        <v>42</v>
      </c>
      <c r="E23">
        <v>5</v>
      </c>
      <c r="F23" t="s">
        <v>102</v>
      </c>
      <c r="G23" t="s">
        <v>102</v>
      </c>
      <c r="H23" t="s">
        <v>362</v>
      </c>
      <c r="I23" t="s">
        <v>212</v>
      </c>
      <c r="J23" t="s">
        <v>213</v>
      </c>
      <c r="K23" t="s">
        <v>149</v>
      </c>
      <c r="L23" t="s">
        <v>214</v>
      </c>
      <c r="M23" t="s">
        <v>239</v>
      </c>
      <c r="N23" t="s">
        <v>215</v>
      </c>
      <c r="O23" s="57">
        <v>46266.770821759259</v>
      </c>
      <c r="P23" s="57">
        <v>46266.772245370368</v>
      </c>
      <c r="Q23">
        <v>69381852</v>
      </c>
      <c r="S23">
        <v>152501280958</v>
      </c>
      <c r="T23" t="s">
        <v>1124</v>
      </c>
      <c r="U23" t="s">
        <v>1125</v>
      </c>
      <c r="V23" t="s">
        <v>1126</v>
      </c>
      <c r="Z23">
        <v>113.672512</v>
      </c>
      <c r="AA23">
        <v>-8.1785209999999999</v>
      </c>
      <c r="AB23" t="s">
        <v>1127</v>
      </c>
      <c r="AC23" t="s">
        <v>236</v>
      </c>
      <c r="AL23" t="s">
        <v>217</v>
      </c>
      <c r="AM23" t="s">
        <v>1128</v>
      </c>
      <c r="AN23" t="s">
        <v>6</v>
      </c>
      <c r="AO23" s="57">
        <v>46031.777754629627</v>
      </c>
      <c r="AP23" s="57">
        <v>46267.625</v>
      </c>
      <c r="AR23" t="s">
        <v>240</v>
      </c>
      <c r="AS23" t="s">
        <v>102</v>
      </c>
      <c r="AT23" t="s">
        <v>230</v>
      </c>
      <c r="AV23" t="s">
        <v>239</v>
      </c>
      <c r="AW23" t="s">
        <v>888</v>
      </c>
      <c r="AX23" t="s">
        <v>222</v>
      </c>
      <c r="BA23" s="57">
        <v>46267.625</v>
      </c>
      <c r="BB23" t="s">
        <v>1128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JEMBER</v>
      </c>
    </row>
    <row r="24" spans="1:61">
      <c r="A24">
        <v>23</v>
      </c>
      <c r="B24">
        <v>1002566497</v>
      </c>
      <c r="C24">
        <v>3</v>
      </c>
      <c r="D24" t="s">
        <v>45</v>
      </c>
      <c r="E24">
        <v>5</v>
      </c>
      <c r="F24" t="s">
        <v>113</v>
      </c>
      <c r="G24" t="s">
        <v>113</v>
      </c>
      <c r="H24" t="s">
        <v>404</v>
      </c>
      <c r="I24" t="s">
        <v>212</v>
      </c>
      <c r="J24" t="s">
        <v>213</v>
      </c>
      <c r="K24" t="s">
        <v>149</v>
      </c>
      <c r="L24" t="s">
        <v>214</v>
      </c>
      <c r="M24" t="s">
        <v>239</v>
      </c>
      <c r="N24" t="s">
        <v>215</v>
      </c>
      <c r="O24" s="57">
        <v>46266.800023148149</v>
      </c>
      <c r="P24" s="57">
        <v>46266.801400462966</v>
      </c>
      <c r="Q24">
        <v>69381866</v>
      </c>
      <c r="S24">
        <v>172522660839</v>
      </c>
      <c r="T24" t="s">
        <v>933</v>
      </c>
      <c r="U24" t="s">
        <v>934</v>
      </c>
      <c r="V24" t="s">
        <v>1129</v>
      </c>
      <c r="Z24">
        <v>123.06012080000001</v>
      </c>
      <c r="AA24">
        <v>-10.751958999999999</v>
      </c>
      <c r="AB24" t="s">
        <v>1130</v>
      </c>
      <c r="AC24" t="s">
        <v>236</v>
      </c>
      <c r="AL24" t="s">
        <v>217</v>
      </c>
      <c r="AM24" t="s">
        <v>1131</v>
      </c>
      <c r="AN24" t="s">
        <v>6</v>
      </c>
      <c r="AO24" s="57">
        <v>46031.809212962966</v>
      </c>
      <c r="AP24" s="57">
        <v>46268.333333333336</v>
      </c>
      <c r="AR24" t="s">
        <v>240</v>
      </c>
      <c r="AS24" t="s">
        <v>219</v>
      </c>
      <c r="AT24" t="s">
        <v>220</v>
      </c>
      <c r="AV24" t="s">
        <v>239</v>
      </c>
      <c r="AW24" t="s">
        <v>882</v>
      </c>
      <c r="AX24" t="s">
        <v>222</v>
      </c>
      <c r="BA24" s="57">
        <v>46268.333333333336</v>
      </c>
      <c r="BB24" t="s">
        <v>1131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KUPANG</v>
      </c>
    </row>
    <row r="25" spans="1:61">
      <c r="A25">
        <v>24</v>
      </c>
      <c r="B25">
        <v>1002566474</v>
      </c>
      <c r="C25">
        <v>3</v>
      </c>
      <c r="D25" t="s">
        <v>51</v>
      </c>
      <c r="E25">
        <v>4</v>
      </c>
      <c r="F25" t="s">
        <v>269</v>
      </c>
      <c r="G25" t="s">
        <v>551</v>
      </c>
      <c r="H25" t="s">
        <v>597</v>
      </c>
      <c r="I25" t="s">
        <v>212</v>
      </c>
      <c r="J25" t="s">
        <v>213</v>
      </c>
      <c r="K25" t="s">
        <v>149</v>
      </c>
      <c r="L25" t="s">
        <v>214</v>
      </c>
      <c r="M25" t="s">
        <v>239</v>
      </c>
      <c r="N25" t="s">
        <v>215</v>
      </c>
      <c r="O25" s="57">
        <v>46266.775648148148</v>
      </c>
      <c r="P25" s="57">
        <v>46266.776412037034</v>
      </c>
      <c r="Q25">
        <v>69381855</v>
      </c>
      <c r="S25">
        <v>146516109250</v>
      </c>
      <c r="T25" t="s">
        <v>1132</v>
      </c>
      <c r="U25" t="s">
        <v>1133</v>
      </c>
      <c r="V25" t="s">
        <v>1134</v>
      </c>
      <c r="Z25">
        <v>110.669162</v>
      </c>
      <c r="AA25">
        <v>-7.0585110000000002</v>
      </c>
      <c r="AB25" t="s">
        <v>1135</v>
      </c>
      <c r="AC25" t="s">
        <v>236</v>
      </c>
      <c r="AL25" t="s">
        <v>217</v>
      </c>
      <c r="AM25" t="s">
        <v>1136</v>
      </c>
      <c r="AN25" t="s">
        <v>6</v>
      </c>
      <c r="AO25" s="57">
        <v>46031.777754629627</v>
      </c>
      <c r="AP25" s="57">
        <v>46268.333333333336</v>
      </c>
      <c r="AR25" t="s">
        <v>240</v>
      </c>
      <c r="AS25" t="s">
        <v>914</v>
      </c>
      <c r="AT25" t="s">
        <v>230</v>
      </c>
      <c r="AV25" t="s">
        <v>239</v>
      </c>
      <c r="AW25" t="s">
        <v>888</v>
      </c>
      <c r="AX25" t="s">
        <v>222</v>
      </c>
      <c r="BA25" s="57">
        <v>46268.333333333336</v>
      </c>
      <c r="BB25" t="s">
        <v>1136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25</v>
      </c>
      <c r="B26">
        <v>1002566472</v>
      </c>
      <c r="C26">
        <v>3</v>
      </c>
      <c r="D26" t="s">
        <v>51</v>
      </c>
      <c r="E26">
        <v>4</v>
      </c>
      <c r="F26" t="s">
        <v>269</v>
      </c>
      <c r="G26" t="s">
        <v>551</v>
      </c>
      <c r="H26" t="s">
        <v>597</v>
      </c>
      <c r="I26" t="s">
        <v>212</v>
      </c>
      <c r="J26" t="s">
        <v>213</v>
      </c>
      <c r="K26" t="s">
        <v>149</v>
      </c>
      <c r="L26" t="s">
        <v>214</v>
      </c>
      <c r="M26" t="s">
        <v>239</v>
      </c>
      <c r="N26" t="s">
        <v>215</v>
      </c>
      <c r="O26" s="57">
        <v>46266.774953703702</v>
      </c>
      <c r="P26" s="57">
        <v>46266.776400462964</v>
      </c>
      <c r="Q26">
        <v>69381854</v>
      </c>
      <c r="S26">
        <v>146516109249</v>
      </c>
      <c r="T26" t="s">
        <v>1132</v>
      </c>
      <c r="U26" t="s">
        <v>1133</v>
      </c>
      <c r="V26" t="s">
        <v>1137</v>
      </c>
      <c r="Z26">
        <v>110.669185</v>
      </c>
      <c r="AA26">
        <v>-7.0584210000000001</v>
      </c>
      <c r="AB26" t="s">
        <v>1138</v>
      </c>
      <c r="AC26" t="s">
        <v>236</v>
      </c>
      <c r="AL26" t="s">
        <v>217</v>
      </c>
      <c r="AM26" t="s">
        <v>1139</v>
      </c>
      <c r="AN26" t="s">
        <v>6</v>
      </c>
      <c r="AO26" s="57">
        <v>46031.777754629627</v>
      </c>
      <c r="AP26" s="57">
        <v>46267.625</v>
      </c>
      <c r="AR26" t="s">
        <v>240</v>
      </c>
      <c r="AS26" t="s">
        <v>914</v>
      </c>
      <c r="AT26" t="s">
        <v>230</v>
      </c>
      <c r="AV26" t="s">
        <v>239</v>
      </c>
      <c r="AW26" t="s">
        <v>888</v>
      </c>
      <c r="AX26" t="s">
        <v>222</v>
      </c>
      <c r="BA26" s="57">
        <v>46267.625</v>
      </c>
      <c r="BB26" t="s">
        <v>1139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e">
        <f>VLOOKUP(H26,Sheet2!$A$1:$B$270,2,FALSE)</f>
        <v>#N/A</v>
      </c>
    </row>
    <row r="27" spans="1:61">
      <c r="A27">
        <v>26</v>
      </c>
      <c r="B27">
        <v>1002565810</v>
      </c>
      <c r="C27">
        <v>3</v>
      </c>
      <c r="D27" t="s">
        <v>42</v>
      </c>
      <c r="E27">
        <v>5</v>
      </c>
      <c r="F27" t="s">
        <v>102</v>
      </c>
      <c r="G27" t="s">
        <v>99</v>
      </c>
      <c r="H27" t="s">
        <v>450</v>
      </c>
      <c r="I27" t="s">
        <v>212</v>
      </c>
      <c r="J27" t="s">
        <v>213</v>
      </c>
      <c r="K27" t="s">
        <v>149</v>
      </c>
      <c r="L27" t="s">
        <v>214</v>
      </c>
      <c r="M27" t="s">
        <v>239</v>
      </c>
      <c r="N27" t="s">
        <v>215</v>
      </c>
      <c r="O27" s="57">
        <v>46266.624965277777</v>
      </c>
      <c r="P27" s="57">
        <v>46266.62641203704</v>
      </c>
      <c r="Q27">
        <v>69381617</v>
      </c>
      <c r="S27">
        <v>152518202018</v>
      </c>
      <c r="T27" t="s">
        <v>929</v>
      </c>
      <c r="U27" t="s">
        <v>1140</v>
      </c>
      <c r="V27" t="s">
        <v>1141</v>
      </c>
      <c r="Z27">
        <v>114.38845310000001</v>
      </c>
      <c r="AA27">
        <v>-7.9216124999999904</v>
      </c>
      <c r="AB27" t="s">
        <v>1142</v>
      </c>
      <c r="AC27" t="s">
        <v>216</v>
      </c>
      <c r="AL27" t="s">
        <v>217</v>
      </c>
      <c r="AM27" t="s">
        <v>1143</v>
      </c>
      <c r="AN27" t="s">
        <v>6</v>
      </c>
      <c r="AO27" s="57">
        <v>46031.631921296299</v>
      </c>
      <c r="AP27" s="57">
        <v>46267.541666666664</v>
      </c>
      <c r="AR27" t="s">
        <v>240</v>
      </c>
      <c r="AS27" t="s">
        <v>99</v>
      </c>
      <c r="AT27" t="s">
        <v>220</v>
      </c>
      <c r="AV27" t="s">
        <v>239</v>
      </c>
      <c r="AW27" t="s">
        <v>853</v>
      </c>
      <c r="AX27" t="s">
        <v>222</v>
      </c>
      <c r="BA27" s="57">
        <v>46267.541666666664</v>
      </c>
      <c r="BB27" t="s">
        <v>1143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BANYUWANGI</v>
      </c>
    </row>
    <row r="28" spans="1:61">
      <c r="A28">
        <v>27</v>
      </c>
      <c r="B28">
        <v>1002565759</v>
      </c>
      <c r="C28">
        <v>3</v>
      </c>
      <c r="D28" t="s">
        <v>51</v>
      </c>
      <c r="E28">
        <v>4</v>
      </c>
      <c r="F28" t="s">
        <v>234</v>
      </c>
      <c r="G28" t="s">
        <v>562</v>
      </c>
      <c r="H28" t="s">
        <v>848</v>
      </c>
      <c r="I28" t="s">
        <v>212</v>
      </c>
      <c r="J28" t="s">
        <v>213</v>
      </c>
      <c r="K28" t="s">
        <v>149</v>
      </c>
      <c r="L28" t="s">
        <v>214</v>
      </c>
      <c r="M28" t="s">
        <v>239</v>
      </c>
      <c r="N28" t="s">
        <v>215</v>
      </c>
      <c r="O28" s="57">
        <v>46266.616631944446</v>
      </c>
      <c r="P28" s="57">
        <v>46266.618217592593</v>
      </c>
      <c r="Q28">
        <v>69381629</v>
      </c>
      <c r="S28">
        <v>146514602773</v>
      </c>
      <c r="T28" t="s">
        <v>1144</v>
      </c>
      <c r="U28" t="s">
        <v>1145</v>
      </c>
      <c r="V28" t="s">
        <v>1146</v>
      </c>
      <c r="Z28">
        <v>110.86271000000001</v>
      </c>
      <c r="AA28">
        <v>-7.5542189999999998</v>
      </c>
      <c r="AB28" t="s">
        <v>1147</v>
      </c>
      <c r="AC28" t="s">
        <v>236</v>
      </c>
      <c r="AL28" t="s">
        <v>217</v>
      </c>
      <c r="AM28" t="s">
        <v>1148</v>
      </c>
      <c r="AN28" t="s">
        <v>6</v>
      </c>
      <c r="AO28" s="57">
        <v>46031.621435185189</v>
      </c>
      <c r="AP28" s="57">
        <v>46267.541666666664</v>
      </c>
      <c r="AR28" t="s">
        <v>240</v>
      </c>
      <c r="AS28" t="s">
        <v>219</v>
      </c>
      <c r="AT28" t="s">
        <v>230</v>
      </c>
      <c r="AV28" t="s">
        <v>239</v>
      </c>
      <c r="AW28" t="s">
        <v>888</v>
      </c>
      <c r="AX28" t="s">
        <v>222</v>
      </c>
      <c r="BA28" s="57">
        <v>46267.541666666664</v>
      </c>
      <c r="BB28" t="s">
        <v>1148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1002565854</v>
      </c>
      <c r="C29">
        <v>3</v>
      </c>
      <c r="D29" t="s">
        <v>49</v>
      </c>
      <c r="E29">
        <v>4</v>
      </c>
      <c r="F29" t="s">
        <v>250</v>
      </c>
      <c r="G29" t="s">
        <v>253</v>
      </c>
      <c r="H29" t="s">
        <v>821</v>
      </c>
      <c r="I29" t="s">
        <v>212</v>
      </c>
      <c r="J29" t="s">
        <v>213</v>
      </c>
      <c r="K29" t="s">
        <v>149</v>
      </c>
      <c r="L29" t="s">
        <v>214</v>
      </c>
      <c r="M29" t="s">
        <v>239</v>
      </c>
      <c r="N29" t="s">
        <v>215</v>
      </c>
      <c r="O29" s="57">
        <v>46266.631203703706</v>
      </c>
      <c r="P29" s="57">
        <v>46266.631956018522</v>
      </c>
      <c r="Q29">
        <v>69381654</v>
      </c>
      <c r="S29">
        <v>142206131379</v>
      </c>
      <c r="T29" t="s">
        <v>1149</v>
      </c>
      <c r="U29" t="s">
        <v>859</v>
      </c>
      <c r="V29" t="s">
        <v>1150</v>
      </c>
      <c r="Z29">
        <v>109.08651988953299</v>
      </c>
      <c r="AA29">
        <v>-7.0883428813953202</v>
      </c>
      <c r="AB29" t="s">
        <v>1151</v>
      </c>
      <c r="AC29" t="s">
        <v>216</v>
      </c>
      <c r="AL29" t="s">
        <v>217</v>
      </c>
      <c r="AM29" t="s">
        <v>1152</v>
      </c>
      <c r="AN29" t="s">
        <v>6</v>
      </c>
      <c r="AO29" s="57">
        <v>46031.631921296299</v>
      </c>
      <c r="AP29" s="57">
        <v>46267.541666666664</v>
      </c>
      <c r="AR29" t="s">
        <v>240</v>
      </c>
      <c r="AS29" t="s">
        <v>219</v>
      </c>
      <c r="AT29" t="s">
        <v>230</v>
      </c>
      <c r="AV29" t="s">
        <v>239</v>
      </c>
      <c r="AW29" t="s">
        <v>886</v>
      </c>
      <c r="AX29" t="s">
        <v>222</v>
      </c>
      <c r="BA29" s="57">
        <v>46267.541666666664</v>
      </c>
      <c r="BB29" t="s">
        <v>1152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e">
        <f>VLOOKUP(H29,Sheet2!$A$1:$B$270,2,FALSE)</f>
        <v>#N/A</v>
      </c>
    </row>
    <row r="30" spans="1:61">
      <c r="A30">
        <v>29</v>
      </c>
      <c r="B30">
        <v>1002565843</v>
      </c>
      <c r="C30">
        <v>3</v>
      </c>
      <c r="D30" t="s">
        <v>42</v>
      </c>
      <c r="E30">
        <v>5</v>
      </c>
      <c r="F30" t="s">
        <v>232</v>
      </c>
      <c r="G30" t="s">
        <v>101</v>
      </c>
      <c r="H30" t="s">
        <v>233</v>
      </c>
      <c r="I30" t="s">
        <v>212</v>
      </c>
      <c r="J30" t="s">
        <v>213</v>
      </c>
      <c r="K30" t="s">
        <v>149</v>
      </c>
      <c r="M30" t="s">
        <v>239</v>
      </c>
      <c r="N30" t="s">
        <v>215</v>
      </c>
      <c r="O30" s="57">
        <v>46266.630925925929</v>
      </c>
      <c r="P30" s="57">
        <v>46266.652789351851</v>
      </c>
      <c r="Q30">
        <v>69381650</v>
      </c>
      <c r="S30">
        <v>152327226522</v>
      </c>
      <c r="T30" t="s">
        <v>1153</v>
      </c>
      <c r="U30" t="s">
        <v>1154</v>
      </c>
      <c r="V30" t="s">
        <v>1155</v>
      </c>
      <c r="Z30">
        <v>112.6471193</v>
      </c>
      <c r="AA30">
        <v>-7.4807923000000001</v>
      </c>
      <c r="AB30" t="s">
        <v>1156</v>
      </c>
      <c r="AC30" t="s">
        <v>229</v>
      </c>
      <c r="AL30" t="s">
        <v>217</v>
      </c>
      <c r="AM30" t="s">
        <v>1157</v>
      </c>
      <c r="AN30" t="s">
        <v>6</v>
      </c>
      <c r="AO30" s="57">
        <v>46031.631921296299</v>
      </c>
      <c r="AP30" s="57">
        <v>46267.625</v>
      </c>
      <c r="AR30" t="s">
        <v>240</v>
      </c>
      <c r="AS30" t="s">
        <v>770</v>
      </c>
      <c r="AT30" t="s">
        <v>220</v>
      </c>
      <c r="AV30" t="s">
        <v>239</v>
      </c>
      <c r="AW30" t="s">
        <v>598</v>
      </c>
      <c r="AX30" t="s">
        <v>222</v>
      </c>
      <c r="BA30" s="57">
        <v>46267.625</v>
      </c>
      <c r="BB30" t="s">
        <v>1157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SIDOARJO</v>
      </c>
    </row>
    <row r="31" spans="1:61">
      <c r="A31">
        <v>30</v>
      </c>
      <c r="B31">
        <v>1002565201</v>
      </c>
      <c r="C31">
        <v>3</v>
      </c>
      <c r="D31" t="s">
        <v>51</v>
      </c>
      <c r="E31">
        <v>4</v>
      </c>
      <c r="F31" t="s">
        <v>269</v>
      </c>
      <c r="G31" t="s">
        <v>289</v>
      </c>
      <c r="H31" t="s">
        <v>824</v>
      </c>
      <c r="I31" t="s">
        <v>212</v>
      </c>
      <c r="J31" t="s">
        <v>213</v>
      </c>
      <c r="K31" t="s">
        <v>149</v>
      </c>
      <c r="L31" t="s">
        <v>214</v>
      </c>
      <c r="M31" t="s">
        <v>239</v>
      </c>
      <c r="N31" t="s">
        <v>215</v>
      </c>
      <c r="O31" s="57">
        <v>46266.506909722222</v>
      </c>
      <c r="P31" s="57">
        <v>46266.508344907408</v>
      </c>
      <c r="Q31">
        <v>69381448</v>
      </c>
      <c r="S31">
        <v>142551119569</v>
      </c>
      <c r="T31" t="s">
        <v>1158</v>
      </c>
      <c r="U31" t="s">
        <v>1159</v>
      </c>
      <c r="V31" t="s">
        <v>1160</v>
      </c>
      <c r="Z31">
        <v>111.017602</v>
      </c>
      <c r="AA31">
        <v>-6.7608309999999996</v>
      </c>
      <c r="AB31" t="s">
        <v>1161</v>
      </c>
      <c r="AC31" t="s">
        <v>236</v>
      </c>
      <c r="AL31" t="s">
        <v>217</v>
      </c>
      <c r="AM31" t="s">
        <v>1162</v>
      </c>
      <c r="AN31" t="s">
        <v>6</v>
      </c>
      <c r="AO31" s="57">
        <v>46031.517465277779</v>
      </c>
      <c r="AP31" s="57">
        <v>46267.541666666664</v>
      </c>
      <c r="AR31" t="s">
        <v>240</v>
      </c>
      <c r="AS31" t="s">
        <v>219</v>
      </c>
      <c r="AT31" t="s">
        <v>230</v>
      </c>
      <c r="AV31" t="s">
        <v>239</v>
      </c>
      <c r="AW31" t="s">
        <v>883</v>
      </c>
      <c r="AX31" t="s">
        <v>222</v>
      </c>
      <c r="BA31" s="57">
        <v>46267.541666666664</v>
      </c>
      <c r="BB31" t="s">
        <v>1162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1002565223</v>
      </c>
      <c r="C32">
        <v>3</v>
      </c>
      <c r="D32" t="s">
        <v>45</v>
      </c>
      <c r="E32">
        <v>5</v>
      </c>
      <c r="F32" t="s">
        <v>113</v>
      </c>
      <c r="G32" t="s">
        <v>113</v>
      </c>
      <c r="H32" t="s">
        <v>317</v>
      </c>
      <c r="I32" t="s">
        <v>212</v>
      </c>
      <c r="J32" t="s">
        <v>213</v>
      </c>
      <c r="K32" t="s">
        <v>149</v>
      </c>
      <c r="L32" t="s">
        <v>214</v>
      </c>
      <c r="M32" t="s">
        <v>239</v>
      </c>
      <c r="N32" t="s">
        <v>215</v>
      </c>
      <c r="O32" s="57">
        <v>46266.51525462963</v>
      </c>
      <c r="P32" s="57">
        <v>46266.51667824074</v>
      </c>
      <c r="Q32">
        <v>69381467</v>
      </c>
      <c r="S32">
        <v>172503813656</v>
      </c>
      <c r="T32" t="s">
        <v>1163</v>
      </c>
      <c r="U32" t="s">
        <v>1164</v>
      </c>
      <c r="V32" t="s">
        <v>1165</v>
      </c>
      <c r="Z32">
        <v>123.652345</v>
      </c>
      <c r="AA32">
        <v>-10.157748</v>
      </c>
      <c r="AB32" t="s">
        <v>1166</v>
      </c>
      <c r="AC32" t="s">
        <v>236</v>
      </c>
      <c r="AL32" t="s">
        <v>217</v>
      </c>
      <c r="AM32" t="s">
        <v>1167</v>
      </c>
      <c r="AN32" t="s">
        <v>6</v>
      </c>
      <c r="AO32" s="57">
        <v>46031.517465277779</v>
      </c>
      <c r="AP32" s="57">
        <v>46267.541666666664</v>
      </c>
      <c r="AR32" t="s">
        <v>240</v>
      </c>
      <c r="AS32" t="s">
        <v>113</v>
      </c>
      <c r="AT32" t="s">
        <v>230</v>
      </c>
      <c r="AV32" t="s">
        <v>239</v>
      </c>
      <c r="AW32" t="s">
        <v>922</v>
      </c>
      <c r="AX32" t="s">
        <v>222</v>
      </c>
      <c r="BA32" s="57">
        <v>46267.541666666664</v>
      </c>
      <c r="BB32" t="s">
        <v>1167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KUPANG</v>
      </c>
    </row>
    <row r="33" spans="1:61">
      <c r="A33">
        <v>32</v>
      </c>
      <c r="B33">
        <v>1002566046</v>
      </c>
      <c r="C33">
        <v>3</v>
      </c>
      <c r="D33" t="s">
        <v>45</v>
      </c>
      <c r="E33">
        <v>5</v>
      </c>
      <c r="F33" t="s">
        <v>113</v>
      </c>
      <c r="G33" t="s">
        <v>114</v>
      </c>
      <c r="H33" t="s">
        <v>359</v>
      </c>
      <c r="I33" t="s">
        <v>212</v>
      </c>
      <c r="J33" t="s">
        <v>213</v>
      </c>
      <c r="K33" t="s">
        <v>149</v>
      </c>
      <c r="L33" t="s">
        <v>214</v>
      </c>
      <c r="M33" t="s">
        <v>239</v>
      </c>
      <c r="N33" t="s">
        <v>215</v>
      </c>
      <c r="O33" s="57">
        <v>46266.654826388891</v>
      </c>
      <c r="P33" s="57">
        <v>46266.65556712963</v>
      </c>
      <c r="Q33">
        <v>69381700</v>
      </c>
      <c r="S33">
        <v>172514217027</v>
      </c>
      <c r="T33" t="s">
        <v>1168</v>
      </c>
      <c r="U33" t="s">
        <v>893</v>
      </c>
      <c r="V33" t="s">
        <v>1169</v>
      </c>
      <c r="Z33">
        <v>120.466625488734</v>
      </c>
      <c r="AA33">
        <v>-8.6137046416800995</v>
      </c>
      <c r="AB33" t="s">
        <v>1170</v>
      </c>
      <c r="AC33" t="s">
        <v>236</v>
      </c>
      <c r="AL33" t="s">
        <v>217</v>
      </c>
      <c r="AM33" t="s">
        <v>1171</v>
      </c>
      <c r="AN33" t="s">
        <v>6</v>
      </c>
      <c r="AO33" s="57">
        <v>46031.663206018522</v>
      </c>
      <c r="AP33" s="57">
        <v>46267.541666666664</v>
      </c>
      <c r="AR33" t="s">
        <v>240</v>
      </c>
      <c r="AS33" t="s">
        <v>219</v>
      </c>
      <c r="AT33" t="s">
        <v>230</v>
      </c>
      <c r="AV33" t="s">
        <v>239</v>
      </c>
      <c r="AW33" t="s">
        <v>892</v>
      </c>
      <c r="AX33" t="s">
        <v>222</v>
      </c>
      <c r="BA33" s="57">
        <v>46267.541666666664</v>
      </c>
      <c r="BB33" t="s">
        <v>1171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LABOAN BAJO</v>
      </c>
    </row>
    <row r="34" spans="1:61">
      <c r="A34">
        <v>33</v>
      </c>
      <c r="B34">
        <v>1002564469</v>
      </c>
      <c r="C34">
        <v>3</v>
      </c>
      <c r="D34" t="s">
        <v>59</v>
      </c>
      <c r="E34">
        <v>4</v>
      </c>
      <c r="F34" t="s">
        <v>549</v>
      </c>
      <c r="G34" t="s">
        <v>582</v>
      </c>
      <c r="H34" t="s">
        <v>590</v>
      </c>
      <c r="I34" t="s">
        <v>212</v>
      </c>
      <c r="J34" t="s">
        <v>213</v>
      </c>
      <c r="K34" t="s">
        <v>149</v>
      </c>
      <c r="M34" t="s">
        <v>239</v>
      </c>
      <c r="N34" t="s">
        <v>215</v>
      </c>
      <c r="O34" s="57">
        <v>46266.402719907404</v>
      </c>
      <c r="P34" s="57">
        <v>46266.583344907405</v>
      </c>
      <c r="Q34">
        <v>69381251</v>
      </c>
      <c r="S34">
        <v>146131120709</v>
      </c>
      <c r="T34" t="s">
        <v>1172</v>
      </c>
      <c r="U34" t="s">
        <v>1173</v>
      </c>
      <c r="V34" t="s">
        <v>1174</v>
      </c>
      <c r="Z34">
        <v>110.41681440000001</v>
      </c>
      <c r="AA34">
        <v>-7.7777422999999999</v>
      </c>
      <c r="AB34" t="s">
        <v>1175</v>
      </c>
      <c r="AC34" t="s">
        <v>284</v>
      </c>
      <c r="AL34" t="s">
        <v>217</v>
      </c>
      <c r="AM34" t="s">
        <v>1176</v>
      </c>
      <c r="AN34" t="s">
        <v>6</v>
      </c>
      <c r="AO34" s="57">
        <v>46031.413310185184</v>
      </c>
      <c r="AP34" s="57">
        <v>46267.541666666664</v>
      </c>
      <c r="AR34" t="s">
        <v>240</v>
      </c>
      <c r="AS34" t="s">
        <v>219</v>
      </c>
      <c r="AT34" t="s">
        <v>230</v>
      </c>
      <c r="AV34" t="s">
        <v>239</v>
      </c>
      <c r="AW34" t="s">
        <v>544</v>
      </c>
      <c r="AX34" t="s">
        <v>222</v>
      </c>
      <c r="BA34" s="57">
        <v>46267.541666666664</v>
      </c>
      <c r="BB34" t="s">
        <v>1176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1002564921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46266.461087962962</v>
      </c>
      <c r="P35" s="57">
        <v>46266.462511574071</v>
      </c>
      <c r="Q35">
        <v>69381359</v>
      </c>
      <c r="S35">
        <v>172605804339</v>
      </c>
      <c r="T35" t="s">
        <v>1177</v>
      </c>
      <c r="U35" t="s">
        <v>1178</v>
      </c>
      <c r="V35" t="s">
        <v>1179</v>
      </c>
      <c r="Z35">
        <v>116.16773810237601</v>
      </c>
      <c r="AA35">
        <v>-8.6071967053905798</v>
      </c>
      <c r="AB35" t="s">
        <v>1180</v>
      </c>
      <c r="AC35" t="s">
        <v>216</v>
      </c>
      <c r="AL35" t="s">
        <v>217</v>
      </c>
      <c r="AM35" t="s">
        <v>1181</v>
      </c>
      <c r="AN35" t="s">
        <v>6</v>
      </c>
      <c r="AO35" s="57">
        <v>46031.465405092589</v>
      </c>
      <c r="AP35" s="57">
        <v>46268.333333333336</v>
      </c>
      <c r="AR35" t="s">
        <v>240</v>
      </c>
      <c r="AS35" t="s">
        <v>219</v>
      </c>
      <c r="AT35" t="s">
        <v>230</v>
      </c>
      <c r="AV35" t="s">
        <v>239</v>
      </c>
      <c r="AW35" t="s">
        <v>889</v>
      </c>
      <c r="AX35" t="s">
        <v>222</v>
      </c>
      <c r="BA35" s="57">
        <v>46268.333333333336</v>
      </c>
      <c r="BB35" t="s">
        <v>1181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1002564873</v>
      </c>
      <c r="C36">
        <v>3</v>
      </c>
      <c r="D36" t="s">
        <v>49</v>
      </c>
      <c r="E36">
        <v>4</v>
      </c>
      <c r="F36" t="s">
        <v>250</v>
      </c>
      <c r="G36" t="s">
        <v>539</v>
      </c>
      <c r="H36" t="s">
        <v>838</v>
      </c>
      <c r="I36" t="s">
        <v>212</v>
      </c>
      <c r="J36" t="s">
        <v>213</v>
      </c>
      <c r="K36" t="s">
        <v>149</v>
      </c>
      <c r="L36" t="s">
        <v>214</v>
      </c>
      <c r="M36" t="s">
        <v>239</v>
      </c>
      <c r="N36" t="s">
        <v>215</v>
      </c>
      <c r="O36" s="57">
        <v>46266.454814814817</v>
      </c>
      <c r="P36" s="57">
        <v>46266.455567129633</v>
      </c>
      <c r="Q36">
        <v>69381339</v>
      </c>
      <c r="S36">
        <v>142205105696</v>
      </c>
      <c r="T36" t="s">
        <v>1182</v>
      </c>
      <c r="U36" t="s">
        <v>1183</v>
      </c>
      <c r="V36" t="s">
        <v>1184</v>
      </c>
      <c r="Z36">
        <v>108.9903396</v>
      </c>
      <c r="AA36">
        <v>-6.9210346999999999</v>
      </c>
      <c r="AB36" t="s">
        <v>1185</v>
      </c>
      <c r="AC36" t="s">
        <v>236</v>
      </c>
      <c r="AL36" t="s">
        <v>217</v>
      </c>
      <c r="AM36" t="s">
        <v>1186</v>
      </c>
      <c r="AN36" t="s">
        <v>6</v>
      </c>
      <c r="AO36" s="57">
        <v>46031.465405092589</v>
      </c>
      <c r="AP36" s="57">
        <v>46267.333333333336</v>
      </c>
      <c r="AR36" t="s">
        <v>240</v>
      </c>
      <c r="AS36" t="s">
        <v>219</v>
      </c>
      <c r="AT36" t="s">
        <v>230</v>
      </c>
      <c r="AV36" t="s">
        <v>239</v>
      </c>
      <c r="AW36" t="s">
        <v>887</v>
      </c>
      <c r="AX36" t="s">
        <v>222</v>
      </c>
      <c r="BA36" s="57">
        <v>46267.333333333336</v>
      </c>
      <c r="BB36" t="s">
        <v>1186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1002564872</v>
      </c>
      <c r="C37">
        <v>3</v>
      </c>
      <c r="D37" t="s">
        <v>45</v>
      </c>
      <c r="E37">
        <v>5</v>
      </c>
      <c r="F37" t="s">
        <v>210</v>
      </c>
      <c r="G37" t="s">
        <v>118</v>
      </c>
      <c r="H37" t="s">
        <v>211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46266.454814814817</v>
      </c>
      <c r="P37" s="57">
        <v>46266.455567129633</v>
      </c>
      <c r="Q37">
        <v>69381348</v>
      </c>
      <c r="S37">
        <v>172606792348</v>
      </c>
      <c r="T37" t="s">
        <v>1187</v>
      </c>
      <c r="U37" t="s">
        <v>1188</v>
      </c>
      <c r="V37" t="s">
        <v>1189</v>
      </c>
      <c r="Z37">
        <v>117.67344566999699</v>
      </c>
      <c r="AA37">
        <v>-8.6544796736751799</v>
      </c>
      <c r="AB37" t="s">
        <v>1190</v>
      </c>
      <c r="AC37" t="s">
        <v>236</v>
      </c>
      <c r="AL37" t="s">
        <v>217</v>
      </c>
      <c r="AM37" t="s">
        <v>1191</v>
      </c>
      <c r="AN37" t="s">
        <v>6</v>
      </c>
      <c r="AO37" s="57">
        <v>46031.465405092589</v>
      </c>
      <c r="AP37" s="57">
        <v>46267.541666666664</v>
      </c>
      <c r="AR37" t="s">
        <v>240</v>
      </c>
      <c r="AS37" t="s">
        <v>219</v>
      </c>
      <c r="AT37" t="s">
        <v>344</v>
      </c>
      <c r="AV37" t="s">
        <v>239</v>
      </c>
      <c r="AW37" t="s">
        <v>1192</v>
      </c>
      <c r="AX37" t="s">
        <v>222</v>
      </c>
      <c r="BA37" s="57">
        <v>46267.541666666664</v>
      </c>
      <c r="BB37" t="s">
        <v>1191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SUMBAWA</v>
      </c>
    </row>
    <row r="38" spans="1:61">
      <c r="A38">
        <v>37</v>
      </c>
      <c r="B38">
        <v>1002564906</v>
      </c>
      <c r="C38">
        <v>3</v>
      </c>
      <c r="D38" t="s">
        <v>59</v>
      </c>
      <c r="E38">
        <v>4</v>
      </c>
      <c r="F38" t="s">
        <v>242</v>
      </c>
      <c r="G38" t="s">
        <v>600</v>
      </c>
      <c r="H38" t="s">
        <v>873</v>
      </c>
      <c r="I38" t="s">
        <v>212</v>
      </c>
      <c r="J38" t="s">
        <v>213</v>
      </c>
      <c r="K38" t="s">
        <v>149</v>
      </c>
      <c r="L38" t="s">
        <v>214</v>
      </c>
      <c r="M38" t="s">
        <v>239</v>
      </c>
      <c r="N38" t="s">
        <v>215</v>
      </c>
      <c r="O38" s="57">
        <v>46266.458981481483</v>
      </c>
      <c r="P38" s="57">
        <v>46266.459733796299</v>
      </c>
      <c r="Q38">
        <v>69381352</v>
      </c>
      <c r="S38">
        <v>146149124469</v>
      </c>
      <c r="T38" t="s">
        <v>1193</v>
      </c>
      <c r="U38" t="s">
        <v>1194</v>
      </c>
      <c r="V38" t="s">
        <v>1195</v>
      </c>
      <c r="Z38">
        <v>110.1240986</v>
      </c>
      <c r="AA38">
        <v>-7.3415486999999997</v>
      </c>
      <c r="AB38" t="s">
        <v>1196</v>
      </c>
      <c r="AC38" t="s">
        <v>236</v>
      </c>
      <c r="AL38" t="s">
        <v>217</v>
      </c>
      <c r="AM38" t="s">
        <v>1197</v>
      </c>
      <c r="AN38" t="s">
        <v>6</v>
      </c>
      <c r="AO38" s="57">
        <v>46031.465405092589</v>
      </c>
      <c r="AP38" s="57">
        <v>46267.333333333336</v>
      </c>
      <c r="AR38" t="s">
        <v>240</v>
      </c>
      <c r="AS38" t="s">
        <v>219</v>
      </c>
      <c r="AT38" t="s">
        <v>230</v>
      </c>
      <c r="AV38" t="s">
        <v>239</v>
      </c>
      <c r="AW38" t="s">
        <v>884</v>
      </c>
      <c r="AX38" t="s">
        <v>222</v>
      </c>
      <c r="BA38" s="57">
        <v>46267.333333333336</v>
      </c>
      <c r="BB38" t="s">
        <v>1197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e">
        <f>VLOOKUP(H38,Sheet2!$A$1:$B$270,2,FALSE)</f>
        <v>#N/A</v>
      </c>
    </row>
    <row r="39" spans="1:61">
      <c r="A39">
        <v>38</v>
      </c>
      <c r="B39">
        <v>1002564895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395</v>
      </c>
      <c r="I39" t="s">
        <v>212</v>
      </c>
      <c r="J39" t="s">
        <v>213</v>
      </c>
      <c r="K39" t="s">
        <v>149</v>
      </c>
      <c r="L39" t="s">
        <v>214</v>
      </c>
      <c r="M39" t="s">
        <v>239</v>
      </c>
      <c r="N39" t="s">
        <v>215</v>
      </c>
      <c r="O39" s="57">
        <v>46266.458287037036</v>
      </c>
      <c r="P39" s="57">
        <v>46266.459733796299</v>
      </c>
      <c r="Q39">
        <v>69381343</v>
      </c>
      <c r="S39">
        <v>172602202850</v>
      </c>
      <c r="T39" t="s">
        <v>1198</v>
      </c>
      <c r="U39" t="s">
        <v>1199</v>
      </c>
      <c r="V39" t="s">
        <v>1200</v>
      </c>
      <c r="Z39">
        <v>115.88324419999999</v>
      </c>
      <c r="AA39">
        <v>-8.7682804999999995</v>
      </c>
      <c r="AB39" t="s">
        <v>1201</v>
      </c>
      <c r="AC39" t="s">
        <v>236</v>
      </c>
      <c r="AL39" t="s">
        <v>217</v>
      </c>
      <c r="AM39" t="s">
        <v>1202</v>
      </c>
      <c r="AN39" t="s">
        <v>6</v>
      </c>
      <c r="AO39" s="57">
        <v>46031.465405092589</v>
      </c>
      <c r="AP39" s="57">
        <v>46270.625</v>
      </c>
      <c r="AR39" t="s">
        <v>240</v>
      </c>
      <c r="AS39" t="s">
        <v>902</v>
      </c>
      <c r="AT39" t="s">
        <v>230</v>
      </c>
      <c r="AV39" t="s">
        <v>239</v>
      </c>
      <c r="AW39" t="s">
        <v>888</v>
      </c>
      <c r="AX39" t="s">
        <v>222</v>
      </c>
      <c r="BA39" s="57">
        <v>46270.625</v>
      </c>
      <c r="BB39" t="s">
        <v>1202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1002564932</v>
      </c>
      <c r="C40">
        <v>3</v>
      </c>
      <c r="D40" t="s">
        <v>59</v>
      </c>
      <c r="E40">
        <v>4</v>
      </c>
      <c r="F40" t="s">
        <v>223</v>
      </c>
      <c r="G40" t="s">
        <v>580</v>
      </c>
      <c r="H40" t="s">
        <v>829</v>
      </c>
      <c r="I40" t="s">
        <v>212</v>
      </c>
      <c r="J40" t="s">
        <v>213</v>
      </c>
      <c r="K40" t="s">
        <v>149</v>
      </c>
      <c r="L40" t="s">
        <v>214</v>
      </c>
      <c r="M40" t="s">
        <v>239</v>
      </c>
      <c r="N40" t="s">
        <v>215</v>
      </c>
      <c r="O40" s="57">
        <v>46266.463159722225</v>
      </c>
      <c r="P40" s="57">
        <v>46266.463900462964</v>
      </c>
      <c r="Q40">
        <v>69381362</v>
      </c>
      <c r="S40">
        <v>143361127092</v>
      </c>
      <c r="T40" t="s">
        <v>1203</v>
      </c>
      <c r="U40" t="s">
        <v>1204</v>
      </c>
      <c r="V40" t="s">
        <v>1205</v>
      </c>
      <c r="Z40">
        <v>109.0122937</v>
      </c>
      <c r="AA40">
        <v>-7.7399620000000002</v>
      </c>
      <c r="AB40" t="s">
        <v>1206</v>
      </c>
      <c r="AC40" t="s">
        <v>236</v>
      </c>
      <c r="AL40" t="s">
        <v>217</v>
      </c>
      <c r="AM40" t="s">
        <v>1207</v>
      </c>
      <c r="AN40" t="s">
        <v>6</v>
      </c>
      <c r="AO40" s="57">
        <v>46031.465405092589</v>
      </c>
      <c r="AP40" s="57">
        <v>46272.333333333336</v>
      </c>
      <c r="AR40" t="s">
        <v>240</v>
      </c>
      <c r="AS40" t="s">
        <v>219</v>
      </c>
      <c r="AT40" t="s">
        <v>230</v>
      </c>
      <c r="AV40" t="s">
        <v>239</v>
      </c>
      <c r="AW40" t="s">
        <v>889</v>
      </c>
      <c r="AX40" t="s">
        <v>222</v>
      </c>
      <c r="BA40" s="57">
        <v>46272.333333333336</v>
      </c>
      <c r="BB40" t="s">
        <v>1207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e">
        <f>VLOOKUP(H40,Sheet2!$A$1:$B$270,2,FALSE)</f>
        <v>#N/A</v>
      </c>
    </row>
    <row r="41" spans="1:61">
      <c r="A41">
        <v>40</v>
      </c>
      <c r="B41">
        <v>1002564524</v>
      </c>
      <c r="C41">
        <v>3</v>
      </c>
      <c r="D41" t="s">
        <v>51</v>
      </c>
      <c r="E41">
        <v>4</v>
      </c>
      <c r="F41" t="s">
        <v>234</v>
      </c>
      <c r="G41" t="s">
        <v>562</v>
      </c>
      <c r="H41" t="s">
        <v>588</v>
      </c>
      <c r="I41" t="s">
        <v>212</v>
      </c>
      <c r="J41" t="s">
        <v>213</v>
      </c>
      <c r="K41" t="s">
        <v>149</v>
      </c>
      <c r="L41" t="s">
        <v>214</v>
      </c>
      <c r="M41" t="s">
        <v>239</v>
      </c>
      <c r="N41" t="s">
        <v>215</v>
      </c>
      <c r="O41" s="57">
        <v>46266.40898148148</v>
      </c>
      <c r="P41" s="57">
        <v>46266.410069444442</v>
      </c>
      <c r="Q41">
        <v>69381266</v>
      </c>
      <c r="S41">
        <v>142505402916</v>
      </c>
      <c r="T41" t="s">
        <v>1208</v>
      </c>
      <c r="U41" t="s">
        <v>1209</v>
      </c>
      <c r="V41" t="s">
        <v>1210</v>
      </c>
      <c r="Z41">
        <v>110.800161100924</v>
      </c>
      <c r="AA41">
        <v>-7.5824571276059904</v>
      </c>
      <c r="AB41" t="s">
        <v>1211</v>
      </c>
      <c r="AC41" t="s">
        <v>216</v>
      </c>
      <c r="AL41" t="s">
        <v>217</v>
      </c>
      <c r="AM41" t="s">
        <v>1212</v>
      </c>
      <c r="AN41" t="s">
        <v>6</v>
      </c>
      <c r="AO41" s="57">
        <v>46031.413310185184</v>
      </c>
      <c r="AP41" s="57">
        <v>46267.333333333336</v>
      </c>
      <c r="AR41" t="s">
        <v>240</v>
      </c>
      <c r="AS41" t="s">
        <v>219</v>
      </c>
      <c r="AT41" t="s">
        <v>230</v>
      </c>
      <c r="AV41" t="s">
        <v>239</v>
      </c>
      <c r="AW41" t="s">
        <v>887</v>
      </c>
      <c r="AX41" t="s">
        <v>222</v>
      </c>
      <c r="BA41" s="57">
        <v>46267.333333333336</v>
      </c>
      <c r="BB41" t="s">
        <v>1212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1002566268</v>
      </c>
      <c r="C42">
        <v>3</v>
      </c>
      <c r="D42" t="s">
        <v>38</v>
      </c>
      <c r="E42">
        <v>5</v>
      </c>
      <c r="F42" t="s">
        <v>90</v>
      </c>
      <c r="G42" t="s">
        <v>90</v>
      </c>
      <c r="H42" t="s">
        <v>430</v>
      </c>
      <c r="I42" t="s">
        <v>212</v>
      </c>
      <c r="J42" t="s">
        <v>213</v>
      </c>
      <c r="K42" t="s">
        <v>149</v>
      </c>
      <c r="L42" t="s">
        <v>214</v>
      </c>
      <c r="M42" t="s">
        <v>239</v>
      </c>
      <c r="N42" t="s">
        <v>215</v>
      </c>
      <c r="O42" s="57">
        <v>46266.692314814813</v>
      </c>
      <c r="P42" s="57">
        <v>46266.693078703705</v>
      </c>
      <c r="Q42">
        <v>69381748</v>
      </c>
      <c r="S42">
        <v>152651207810</v>
      </c>
      <c r="T42" t="s">
        <v>1213</v>
      </c>
      <c r="U42" t="s">
        <v>1214</v>
      </c>
      <c r="V42" t="s">
        <v>1215</v>
      </c>
      <c r="Z42">
        <v>111.99246805161199</v>
      </c>
      <c r="AA42">
        <v>-7.8936391494959697</v>
      </c>
      <c r="AB42" t="s">
        <v>1216</v>
      </c>
      <c r="AC42" t="s">
        <v>216</v>
      </c>
      <c r="AL42" t="s">
        <v>217</v>
      </c>
      <c r="AM42" t="s">
        <v>1217</v>
      </c>
      <c r="AN42" t="s">
        <v>6</v>
      </c>
      <c r="AO42" s="57">
        <v>46031.694467592592</v>
      </c>
      <c r="AP42" s="57">
        <v>46267.541666666664</v>
      </c>
      <c r="AR42" t="s">
        <v>240</v>
      </c>
      <c r="AS42" t="s">
        <v>556</v>
      </c>
      <c r="AT42" t="s">
        <v>230</v>
      </c>
      <c r="AV42" t="s">
        <v>239</v>
      </c>
      <c r="AW42" t="s">
        <v>889</v>
      </c>
      <c r="AX42" t="s">
        <v>222</v>
      </c>
      <c r="BA42" s="57">
        <v>46267.541666666664</v>
      </c>
      <c r="BB42" t="s">
        <v>1217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KEDIRI</v>
      </c>
    </row>
    <row r="43" spans="1:61">
      <c r="A43">
        <v>42</v>
      </c>
      <c r="B43">
        <v>1002565310</v>
      </c>
      <c r="C43">
        <v>3</v>
      </c>
      <c r="D43" t="s">
        <v>45</v>
      </c>
      <c r="E43">
        <v>5</v>
      </c>
      <c r="F43" t="s">
        <v>210</v>
      </c>
      <c r="G43" t="s">
        <v>118</v>
      </c>
      <c r="H43" t="s">
        <v>277</v>
      </c>
      <c r="I43" t="s">
        <v>212</v>
      </c>
      <c r="J43" t="s">
        <v>213</v>
      </c>
      <c r="K43" t="s">
        <v>149</v>
      </c>
      <c r="L43" t="s">
        <v>214</v>
      </c>
      <c r="M43" t="s">
        <v>239</v>
      </c>
      <c r="N43" t="s">
        <v>215</v>
      </c>
      <c r="O43" s="57">
        <v>46266.542314814818</v>
      </c>
      <c r="P43" s="57">
        <v>46266.543067129627</v>
      </c>
      <c r="Q43">
        <v>69381485</v>
      </c>
      <c r="S43">
        <v>172610203695</v>
      </c>
      <c r="T43" t="s">
        <v>966</v>
      </c>
      <c r="U43" t="s">
        <v>1218</v>
      </c>
      <c r="V43" t="s">
        <v>1219</v>
      </c>
      <c r="Z43">
        <v>116.844051070511</v>
      </c>
      <c r="AA43">
        <v>-8.7440700973437906</v>
      </c>
      <c r="AB43" t="s">
        <v>1220</v>
      </c>
      <c r="AC43" t="s">
        <v>216</v>
      </c>
      <c r="AL43" t="s">
        <v>217</v>
      </c>
      <c r="AM43" t="s">
        <v>1038</v>
      </c>
      <c r="AN43" t="s">
        <v>6</v>
      </c>
      <c r="AO43" s="57">
        <v>46031.548877314817</v>
      </c>
      <c r="AP43" s="57">
        <v>46267.541666666664</v>
      </c>
      <c r="AR43" t="s">
        <v>240</v>
      </c>
      <c r="AS43" t="s">
        <v>909</v>
      </c>
      <c r="AT43" t="s">
        <v>230</v>
      </c>
      <c r="AV43" t="s">
        <v>239</v>
      </c>
      <c r="AW43" t="s">
        <v>888</v>
      </c>
      <c r="AX43" t="s">
        <v>222</v>
      </c>
      <c r="BA43" s="57">
        <v>46267.541666666664</v>
      </c>
      <c r="BB43" t="s">
        <v>1038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SUMBAWA</v>
      </c>
    </row>
    <row r="44" spans="1:61">
      <c r="A44">
        <v>43</v>
      </c>
      <c r="B44">
        <v>1002566276</v>
      </c>
      <c r="C44">
        <v>3</v>
      </c>
      <c r="D44" t="s">
        <v>59</v>
      </c>
      <c r="E44">
        <v>4</v>
      </c>
      <c r="F44" t="s">
        <v>242</v>
      </c>
      <c r="G44" t="s">
        <v>242</v>
      </c>
      <c r="H44" t="s">
        <v>288</v>
      </c>
      <c r="I44" t="s">
        <v>212</v>
      </c>
      <c r="J44" t="s">
        <v>213</v>
      </c>
      <c r="K44" t="s">
        <v>149</v>
      </c>
      <c r="L44" t="s">
        <v>214</v>
      </c>
      <c r="M44" t="s">
        <v>239</v>
      </c>
      <c r="N44" t="s">
        <v>215</v>
      </c>
      <c r="O44" s="57">
        <v>46266.693715277775</v>
      </c>
      <c r="P44" s="57">
        <v>46266.694675925923</v>
      </c>
      <c r="Q44">
        <v>69381721</v>
      </c>
      <c r="S44">
        <v>146137147391</v>
      </c>
      <c r="T44" t="s">
        <v>1221</v>
      </c>
      <c r="U44" t="s">
        <v>1222</v>
      </c>
      <c r="V44" t="s">
        <v>1223</v>
      </c>
      <c r="Z44">
        <v>110.31212480000001</v>
      </c>
      <c r="AA44">
        <v>-7.4485051000000002</v>
      </c>
      <c r="AB44" t="s">
        <v>1224</v>
      </c>
      <c r="AC44" t="s">
        <v>236</v>
      </c>
      <c r="AL44" t="s">
        <v>217</v>
      </c>
      <c r="AM44" t="s">
        <v>1225</v>
      </c>
      <c r="AN44" t="s">
        <v>6</v>
      </c>
      <c r="AO44" s="57">
        <v>46031.694467592592</v>
      </c>
      <c r="AP44" s="57">
        <v>46267.541666666664</v>
      </c>
      <c r="AR44" t="s">
        <v>240</v>
      </c>
      <c r="AS44" t="s">
        <v>219</v>
      </c>
      <c r="AT44" t="s">
        <v>230</v>
      </c>
      <c r="AV44" t="s">
        <v>239</v>
      </c>
      <c r="AW44" t="s">
        <v>891</v>
      </c>
      <c r="AX44" t="s">
        <v>222</v>
      </c>
      <c r="BA44" s="57">
        <v>46267.541666666664</v>
      </c>
      <c r="BB44" t="s">
        <v>1225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1002565406</v>
      </c>
      <c r="C45">
        <v>3</v>
      </c>
      <c r="D45" t="s">
        <v>38</v>
      </c>
      <c r="E45">
        <v>5</v>
      </c>
      <c r="F45" t="s">
        <v>248</v>
      </c>
      <c r="G45" t="s">
        <v>87</v>
      </c>
      <c r="H45" t="s">
        <v>354</v>
      </c>
      <c r="I45" t="s">
        <v>212</v>
      </c>
      <c r="J45" t="s">
        <v>213</v>
      </c>
      <c r="K45" t="s">
        <v>149</v>
      </c>
      <c r="L45" t="s">
        <v>214</v>
      </c>
      <c r="M45" t="s">
        <v>239</v>
      </c>
      <c r="N45" t="s">
        <v>215</v>
      </c>
      <c r="O45" s="57">
        <v>46266.558993055558</v>
      </c>
      <c r="P45" s="57">
        <v>46266.559733796297</v>
      </c>
      <c r="Q45">
        <v>69381495</v>
      </c>
      <c r="S45">
        <v>152707239344</v>
      </c>
      <c r="T45" t="s">
        <v>1226</v>
      </c>
      <c r="U45" t="s">
        <v>1227</v>
      </c>
      <c r="V45" t="s">
        <v>1228</v>
      </c>
      <c r="Z45">
        <v>112.54147330000001</v>
      </c>
      <c r="AA45">
        <v>-7.8921427</v>
      </c>
      <c r="AB45" t="s">
        <v>1229</v>
      </c>
      <c r="AC45" t="s">
        <v>236</v>
      </c>
      <c r="AL45" t="s">
        <v>217</v>
      </c>
      <c r="AM45" t="s">
        <v>1230</v>
      </c>
      <c r="AN45" t="s">
        <v>6</v>
      </c>
      <c r="AO45" s="57">
        <v>46031.569398148145</v>
      </c>
      <c r="AP45" s="57">
        <v>46267.541666666664</v>
      </c>
      <c r="AR45" t="s">
        <v>240</v>
      </c>
      <c r="AS45" t="s">
        <v>87</v>
      </c>
      <c r="AT45" t="s">
        <v>230</v>
      </c>
      <c r="AV45" t="s">
        <v>239</v>
      </c>
      <c r="AW45" t="s">
        <v>885</v>
      </c>
      <c r="AX45" t="s">
        <v>222</v>
      </c>
      <c r="BA45" s="57">
        <v>46267.541666666664</v>
      </c>
      <c r="BB45" t="s">
        <v>1230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BATU</v>
      </c>
    </row>
    <row r="46" spans="1:61">
      <c r="A46">
        <v>45</v>
      </c>
      <c r="B46">
        <v>1002565062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268</v>
      </c>
      <c r="I46" t="s">
        <v>212</v>
      </c>
      <c r="J46" t="s">
        <v>213</v>
      </c>
      <c r="K46" t="s">
        <v>149</v>
      </c>
      <c r="L46" t="s">
        <v>214</v>
      </c>
      <c r="M46" t="s">
        <v>239</v>
      </c>
      <c r="N46" t="s">
        <v>215</v>
      </c>
      <c r="O46" s="57">
        <v>46266.479120370372</v>
      </c>
      <c r="P46" s="57">
        <v>46266.480567129627</v>
      </c>
      <c r="Q46">
        <v>69381411</v>
      </c>
      <c r="S46">
        <v>172604214261</v>
      </c>
      <c r="T46" t="s">
        <v>1231</v>
      </c>
      <c r="U46" t="s">
        <v>967</v>
      </c>
      <c r="V46" t="s">
        <v>1232</v>
      </c>
      <c r="Z46">
        <v>116.0894498</v>
      </c>
      <c r="AA46">
        <v>-8.4311583999999993</v>
      </c>
      <c r="AB46" t="s">
        <v>1233</v>
      </c>
      <c r="AC46" t="s">
        <v>216</v>
      </c>
      <c r="AL46" t="s">
        <v>217</v>
      </c>
      <c r="AM46" t="s">
        <v>1234</v>
      </c>
      <c r="AN46" t="s">
        <v>6</v>
      </c>
      <c r="AO46" s="57">
        <v>46031.48609953704</v>
      </c>
      <c r="AP46" s="57">
        <v>46268.541666666664</v>
      </c>
      <c r="AR46" t="s">
        <v>240</v>
      </c>
      <c r="AS46" t="s">
        <v>913</v>
      </c>
      <c r="AT46" t="s">
        <v>230</v>
      </c>
      <c r="AV46" t="s">
        <v>239</v>
      </c>
      <c r="AW46" t="s">
        <v>831</v>
      </c>
      <c r="AX46" t="s">
        <v>222</v>
      </c>
      <c r="BA46" s="57">
        <v>46268.541666666664</v>
      </c>
      <c r="BB46" t="s">
        <v>1234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1002566521</v>
      </c>
      <c r="C47">
        <v>3</v>
      </c>
      <c r="D47" t="s">
        <v>51</v>
      </c>
      <c r="E47">
        <v>4</v>
      </c>
      <c r="F47" t="s">
        <v>269</v>
      </c>
      <c r="G47" t="s">
        <v>823</v>
      </c>
      <c r="H47" t="s">
        <v>837</v>
      </c>
      <c r="I47" t="s">
        <v>212</v>
      </c>
      <c r="J47" t="s">
        <v>213</v>
      </c>
      <c r="K47" t="s">
        <v>149</v>
      </c>
      <c r="L47" t="s">
        <v>214</v>
      </c>
      <c r="M47" t="s">
        <v>239</v>
      </c>
      <c r="N47" t="s">
        <v>215</v>
      </c>
      <c r="O47" s="57">
        <v>46266.824965277781</v>
      </c>
      <c r="P47" s="57">
        <v>46266.82640046296</v>
      </c>
      <c r="Q47">
        <v>69381888</v>
      </c>
      <c r="S47">
        <v>146593115584</v>
      </c>
      <c r="T47" t="s">
        <v>1235</v>
      </c>
      <c r="U47" t="s">
        <v>1236</v>
      </c>
      <c r="V47" t="s">
        <v>1237</v>
      </c>
      <c r="Z47">
        <v>110.767922960221</v>
      </c>
      <c r="AA47">
        <v>-6.7224900203460596</v>
      </c>
      <c r="AB47" t="s">
        <v>1238</v>
      </c>
      <c r="AC47" t="s">
        <v>216</v>
      </c>
      <c r="AL47" t="s">
        <v>217</v>
      </c>
      <c r="AM47" t="s">
        <v>1239</v>
      </c>
      <c r="AN47" t="s">
        <v>6</v>
      </c>
      <c r="AO47" s="57">
        <v>46031.829826388886</v>
      </c>
      <c r="AP47" s="57">
        <v>46268.333333333336</v>
      </c>
      <c r="AR47" t="s">
        <v>240</v>
      </c>
      <c r="AS47" t="s">
        <v>920</v>
      </c>
      <c r="AT47" t="s">
        <v>230</v>
      </c>
      <c r="AV47" t="s">
        <v>239</v>
      </c>
      <c r="AW47" t="s">
        <v>886</v>
      </c>
      <c r="AX47" t="s">
        <v>222</v>
      </c>
      <c r="BA47" s="57">
        <v>46268.333333333336</v>
      </c>
      <c r="BB47" t="s">
        <v>1239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1002566519</v>
      </c>
      <c r="C48">
        <v>3</v>
      </c>
      <c r="D48" t="s">
        <v>42</v>
      </c>
      <c r="E48">
        <v>5</v>
      </c>
      <c r="F48" t="s">
        <v>232</v>
      </c>
      <c r="G48" t="s">
        <v>101</v>
      </c>
      <c r="H48" t="s">
        <v>427</v>
      </c>
      <c r="I48" t="s">
        <v>212</v>
      </c>
      <c r="J48" t="s">
        <v>213</v>
      </c>
      <c r="K48" t="s">
        <v>149</v>
      </c>
      <c r="L48" t="s">
        <v>214</v>
      </c>
      <c r="M48" t="s">
        <v>239</v>
      </c>
      <c r="N48" t="s">
        <v>215</v>
      </c>
      <c r="O48" s="57">
        <v>46266.824953703705</v>
      </c>
      <c r="P48" s="57">
        <v>46266.82640046296</v>
      </c>
      <c r="Q48">
        <v>69381889</v>
      </c>
      <c r="S48">
        <v>152331251345</v>
      </c>
      <c r="T48" t="s">
        <v>1240</v>
      </c>
      <c r="U48" t="s">
        <v>1241</v>
      </c>
      <c r="V48" t="s">
        <v>1242</v>
      </c>
      <c r="Z48">
        <v>112.63038083910899</v>
      </c>
      <c r="AA48">
        <v>-7.4526970491075497</v>
      </c>
      <c r="AB48" t="s">
        <v>1243</v>
      </c>
      <c r="AC48" t="s">
        <v>216</v>
      </c>
      <c r="AL48" t="s">
        <v>217</v>
      </c>
      <c r="AM48" t="s">
        <v>1244</v>
      </c>
      <c r="AN48" t="s">
        <v>6</v>
      </c>
      <c r="AO48" s="57">
        <v>46031.829826388886</v>
      </c>
      <c r="AP48" s="57">
        <v>46268.333333333336</v>
      </c>
      <c r="AR48" t="s">
        <v>240</v>
      </c>
      <c r="AS48" t="s">
        <v>573</v>
      </c>
      <c r="AT48" t="s">
        <v>230</v>
      </c>
      <c r="AV48" t="s">
        <v>239</v>
      </c>
      <c r="AW48" t="s">
        <v>888</v>
      </c>
      <c r="AX48" t="s">
        <v>222</v>
      </c>
      <c r="BA48" s="57">
        <v>46268.333333333336</v>
      </c>
      <c r="BB48" t="s">
        <v>1244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SIDOARJO</v>
      </c>
    </row>
    <row r="49" spans="1:61">
      <c r="A49">
        <v>48</v>
      </c>
      <c r="B49">
        <v>1002566093</v>
      </c>
      <c r="C49">
        <v>3</v>
      </c>
      <c r="D49" t="s">
        <v>55</v>
      </c>
      <c r="E49">
        <v>5</v>
      </c>
      <c r="F49" t="s">
        <v>261</v>
      </c>
      <c r="G49" t="s">
        <v>126</v>
      </c>
      <c r="H49" t="s">
        <v>262</v>
      </c>
      <c r="I49" t="s">
        <v>212</v>
      </c>
      <c r="J49" t="s">
        <v>213</v>
      </c>
      <c r="K49" t="s">
        <v>149</v>
      </c>
      <c r="L49" t="s">
        <v>214</v>
      </c>
      <c r="M49" t="s">
        <v>239</v>
      </c>
      <c r="N49" t="s">
        <v>215</v>
      </c>
      <c r="O49" s="57">
        <v>46266.661076388889</v>
      </c>
      <c r="P49" s="57">
        <v>46266.662511574075</v>
      </c>
      <c r="Q49">
        <v>69381678</v>
      </c>
      <c r="S49">
        <v>152413167908</v>
      </c>
      <c r="T49" t="s">
        <v>1245</v>
      </c>
      <c r="U49" t="s">
        <v>1246</v>
      </c>
      <c r="V49" t="s">
        <v>1247</v>
      </c>
      <c r="Z49">
        <v>112.73735809999999</v>
      </c>
      <c r="AA49">
        <v>-7.2504498000000002</v>
      </c>
      <c r="AB49" t="s">
        <v>1248</v>
      </c>
      <c r="AC49" t="s">
        <v>216</v>
      </c>
      <c r="AL49" t="s">
        <v>217</v>
      </c>
      <c r="AM49" t="s">
        <v>1128</v>
      </c>
      <c r="AN49" t="s">
        <v>6</v>
      </c>
      <c r="AO49" s="57">
        <v>46031.663206018522</v>
      </c>
      <c r="AP49" s="57">
        <v>46267.625</v>
      </c>
      <c r="AR49" t="s">
        <v>240</v>
      </c>
      <c r="AS49" t="s">
        <v>575</v>
      </c>
      <c r="AT49" t="s">
        <v>230</v>
      </c>
      <c r="AV49" t="s">
        <v>239</v>
      </c>
      <c r="AW49" t="s">
        <v>887</v>
      </c>
      <c r="AX49" t="s">
        <v>222</v>
      </c>
      <c r="BA49" s="57">
        <v>46267.625</v>
      </c>
      <c r="BB49" t="s">
        <v>1128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SURABAYA SELATAN</v>
      </c>
    </row>
    <row r="50" spans="1:61">
      <c r="A50">
        <v>49</v>
      </c>
      <c r="B50">
        <v>1002566030</v>
      </c>
      <c r="C50">
        <v>3</v>
      </c>
      <c r="D50" t="s">
        <v>38</v>
      </c>
      <c r="E50">
        <v>5</v>
      </c>
      <c r="F50" t="s">
        <v>248</v>
      </c>
      <c r="G50" t="s">
        <v>91</v>
      </c>
      <c r="H50" t="s">
        <v>388</v>
      </c>
      <c r="I50" t="s">
        <v>212</v>
      </c>
      <c r="J50" t="s">
        <v>213</v>
      </c>
      <c r="K50" t="s">
        <v>149</v>
      </c>
      <c r="L50" t="s">
        <v>214</v>
      </c>
      <c r="M50" t="s">
        <v>239</v>
      </c>
      <c r="N50" t="s">
        <v>215</v>
      </c>
      <c r="O50" s="57">
        <v>46266.652743055558</v>
      </c>
      <c r="P50" s="57">
        <v>46266.654178240744</v>
      </c>
      <c r="Q50">
        <v>69381696</v>
      </c>
      <c r="S50">
        <v>152703903703</v>
      </c>
      <c r="T50" t="s">
        <v>1249</v>
      </c>
      <c r="U50" t="s">
        <v>1250</v>
      </c>
      <c r="V50" t="s">
        <v>1251</v>
      </c>
      <c r="Z50">
        <v>112.62214299999999</v>
      </c>
      <c r="AA50">
        <v>-7.9638900000000001</v>
      </c>
      <c r="AB50" t="s">
        <v>1252</v>
      </c>
      <c r="AC50" t="s">
        <v>236</v>
      </c>
      <c r="AL50" t="s">
        <v>217</v>
      </c>
      <c r="AM50" t="s">
        <v>1167</v>
      </c>
      <c r="AN50" t="s">
        <v>6</v>
      </c>
      <c r="AO50" s="57">
        <v>46031.663206018522</v>
      </c>
      <c r="AP50" s="57">
        <v>46267.541666666664</v>
      </c>
      <c r="AR50" t="s">
        <v>240</v>
      </c>
      <c r="AS50" t="s">
        <v>557</v>
      </c>
      <c r="AT50" t="s">
        <v>230</v>
      </c>
      <c r="AV50" t="s">
        <v>239</v>
      </c>
      <c r="AW50" t="s">
        <v>888</v>
      </c>
      <c r="AX50" t="s">
        <v>222</v>
      </c>
      <c r="BA50" s="57">
        <v>46267.541666666664</v>
      </c>
      <c r="BB50" t="s">
        <v>1167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MALANG</v>
      </c>
    </row>
    <row r="51" spans="1:61">
      <c r="A51">
        <v>50</v>
      </c>
      <c r="B51">
        <v>1002565865</v>
      </c>
      <c r="C51">
        <v>3</v>
      </c>
      <c r="D51" t="s">
        <v>38</v>
      </c>
      <c r="E51">
        <v>5</v>
      </c>
      <c r="F51" t="s">
        <v>90</v>
      </c>
      <c r="G51" t="s">
        <v>90</v>
      </c>
      <c r="H51" t="s">
        <v>458</v>
      </c>
      <c r="I51" t="s">
        <v>212</v>
      </c>
      <c r="J51" t="s">
        <v>213</v>
      </c>
      <c r="K51" t="s">
        <v>149</v>
      </c>
      <c r="L51" t="s">
        <v>214</v>
      </c>
      <c r="M51" t="s">
        <v>239</v>
      </c>
      <c r="N51" t="s">
        <v>215</v>
      </c>
      <c r="O51" s="57">
        <v>46266.633310185185</v>
      </c>
      <c r="P51" s="57">
        <v>46266.634733796294</v>
      </c>
      <c r="Q51">
        <v>69381655</v>
      </c>
      <c r="S51">
        <v>152652205004</v>
      </c>
      <c r="T51" t="s">
        <v>1253</v>
      </c>
      <c r="U51" t="s">
        <v>1254</v>
      </c>
      <c r="V51" t="s">
        <v>1255</v>
      </c>
      <c r="Z51">
        <v>112.105591</v>
      </c>
      <c r="AA51">
        <v>-7.6803629999999998</v>
      </c>
      <c r="AB51" t="s">
        <v>1256</v>
      </c>
      <c r="AC51" t="s">
        <v>236</v>
      </c>
      <c r="AL51" t="s">
        <v>217</v>
      </c>
      <c r="AM51" t="s">
        <v>1257</v>
      </c>
      <c r="AN51" t="s">
        <v>6</v>
      </c>
      <c r="AO51" s="57">
        <v>46031.642361111109</v>
      </c>
      <c r="AP51" s="57">
        <v>46267.541666666664</v>
      </c>
      <c r="AR51" t="s">
        <v>240</v>
      </c>
      <c r="AS51" t="s">
        <v>304</v>
      </c>
      <c r="AT51" t="s">
        <v>230</v>
      </c>
      <c r="AV51" t="s">
        <v>239</v>
      </c>
      <c r="AW51" t="s">
        <v>883</v>
      </c>
      <c r="AX51" t="s">
        <v>222</v>
      </c>
      <c r="BA51" s="57">
        <v>46267.541666666664</v>
      </c>
      <c r="BB51" t="s">
        <v>1257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KEDIRI</v>
      </c>
    </row>
    <row r="52" spans="1:61">
      <c r="A52">
        <v>51</v>
      </c>
      <c r="B52">
        <v>1002565915</v>
      </c>
      <c r="C52">
        <v>3</v>
      </c>
      <c r="D52" t="s">
        <v>45</v>
      </c>
      <c r="E52">
        <v>5</v>
      </c>
      <c r="F52" t="s">
        <v>113</v>
      </c>
      <c r="G52" t="s">
        <v>113</v>
      </c>
      <c r="H52" t="s">
        <v>408</v>
      </c>
      <c r="I52" t="s">
        <v>212</v>
      </c>
      <c r="J52" t="s">
        <v>213</v>
      </c>
      <c r="K52" t="s">
        <v>149</v>
      </c>
      <c r="L52" t="s">
        <v>214</v>
      </c>
      <c r="M52" t="s">
        <v>239</v>
      </c>
      <c r="N52" t="s">
        <v>215</v>
      </c>
      <c r="O52" s="57">
        <v>46266.640243055554</v>
      </c>
      <c r="P52" s="57">
        <v>46266.64167824074</v>
      </c>
      <c r="Q52">
        <v>69381663</v>
      </c>
      <c r="S52">
        <v>172502311690</v>
      </c>
      <c r="T52" t="s">
        <v>1258</v>
      </c>
      <c r="U52" t="s">
        <v>1259</v>
      </c>
      <c r="V52" t="s">
        <v>1260</v>
      </c>
      <c r="Z52">
        <v>123.60230300000001</v>
      </c>
      <c r="AA52">
        <v>-10.182314999999999</v>
      </c>
      <c r="AB52" t="s">
        <v>1261</v>
      </c>
      <c r="AC52" t="s">
        <v>236</v>
      </c>
      <c r="AL52" t="s">
        <v>217</v>
      </c>
      <c r="AM52" t="s">
        <v>1262</v>
      </c>
      <c r="AN52" t="s">
        <v>6</v>
      </c>
      <c r="AO52" s="57">
        <v>46031.642361111109</v>
      </c>
      <c r="AP52" s="57">
        <v>46267.541666666664</v>
      </c>
      <c r="AR52" t="s">
        <v>240</v>
      </c>
      <c r="AS52" t="s">
        <v>113</v>
      </c>
      <c r="AT52" t="s">
        <v>230</v>
      </c>
      <c r="AV52" t="s">
        <v>239</v>
      </c>
      <c r="AW52" t="s">
        <v>887</v>
      </c>
      <c r="AX52" t="s">
        <v>222</v>
      </c>
      <c r="BA52" s="57">
        <v>46267.541666666664</v>
      </c>
      <c r="BB52" t="s">
        <v>1262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KUPANG</v>
      </c>
    </row>
    <row r="53" spans="1:61">
      <c r="A53">
        <v>52</v>
      </c>
      <c r="B53">
        <v>1002565896</v>
      </c>
      <c r="C53">
        <v>3</v>
      </c>
      <c r="D53" t="s">
        <v>38</v>
      </c>
      <c r="E53">
        <v>5</v>
      </c>
      <c r="F53" t="s">
        <v>90</v>
      </c>
      <c r="G53" t="s">
        <v>93</v>
      </c>
      <c r="H53" t="s">
        <v>296</v>
      </c>
      <c r="I53" t="s">
        <v>212</v>
      </c>
      <c r="J53" t="s">
        <v>213</v>
      </c>
      <c r="K53" t="s">
        <v>149</v>
      </c>
      <c r="L53" t="s">
        <v>214</v>
      </c>
      <c r="M53" t="s">
        <v>239</v>
      </c>
      <c r="N53" t="s">
        <v>215</v>
      </c>
      <c r="O53" s="57">
        <v>46266.638148148151</v>
      </c>
      <c r="P53" s="57">
        <v>46266.638912037037</v>
      </c>
      <c r="Q53">
        <v>69381667</v>
      </c>
      <c r="S53">
        <v>152611229998</v>
      </c>
      <c r="T53" t="s">
        <v>1263</v>
      </c>
      <c r="U53" t="s">
        <v>1264</v>
      </c>
      <c r="V53" t="s">
        <v>1265</v>
      </c>
      <c r="Z53">
        <v>111.838794909417</v>
      </c>
      <c r="AA53">
        <v>-7.5491190295066302</v>
      </c>
      <c r="AB53" t="s">
        <v>1266</v>
      </c>
      <c r="AC53" t="s">
        <v>216</v>
      </c>
      <c r="AL53" t="s">
        <v>217</v>
      </c>
      <c r="AM53" t="s">
        <v>1267</v>
      </c>
      <c r="AN53" t="s">
        <v>6</v>
      </c>
      <c r="AO53" s="57">
        <v>46031.642361111109</v>
      </c>
      <c r="AP53" s="57">
        <v>46267.541666666664</v>
      </c>
      <c r="AR53" t="s">
        <v>240</v>
      </c>
      <c r="AS53" t="s">
        <v>219</v>
      </c>
      <c r="AT53" t="s">
        <v>230</v>
      </c>
      <c r="AV53" t="s">
        <v>239</v>
      </c>
      <c r="AW53" t="s">
        <v>884</v>
      </c>
      <c r="AX53" t="s">
        <v>222</v>
      </c>
      <c r="BA53" s="57">
        <v>46267.541666666664</v>
      </c>
      <c r="BB53" t="s">
        <v>1267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NGANJUK</v>
      </c>
    </row>
    <row r="54" spans="1:61">
      <c r="A54">
        <v>53</v>
      </c>
      <c r="B54">
        <v>1002564644</v>
      </c>
      <c r="C54">
        <v>3</v>
      </c>
      <c r="D54" t="s">
        <v>59</v>
      </c>
      <c r="E54">
        <v>4</v>
      </c>
      <c r="F54" t="s">
        <v>223</v>
      </c>
      <c r="G54" t="s">
        <v>314</v>
      </c>
      <c r="H54" t="s">
        <v>870</v>
      </c>
      <c r="I54" t="s">
        <v>212</v>
      </c>
      <c r="J54" t="s">
        <v>213</v>
      </c>
      <c r="K54" t="s">
        <v>149</v>
      </c>
      <c r="L54" t="s">
        <v>214</v>
      </c>
      <c r="M54" t="s">
        <v>239</v>
      </c>
      <c r="N54" t="s">
        <v>215</v>
      </c>
      <c r="O54" s="57">
        <v>46266.424953703703</v>
      </c>
      <c r="P54" s="57">
        <v>46266.426412037035</v>
      </c>
      <c r="Q54">
        <v>69381281</v>
      </c>
      <c r="S54">
        <v>143395109400</v>
      </c>
      <c r="T54" t="s">
        <v>1268</v>
      </c>
      <c r="U54" t="s">
        <v>1269</v>
      </c>
      <c r="V54" t="s">
        <v>1270</v>
      </c>
      <c r="Z54">
        <v>109.431335</v>
      </c>
      <c r="AA54">
        <v>-7.4605329999999999</v>
      </c>
      <c r="AB54" t="s">
        <v>1271</v>
      </c>
      <c r="AC54" t="s">
        <v>236</v>
      </c>
      <c r="AL54" t="s">
        <v>217</v>
      </c>
      <c r="AM54" t="s">
        <v>1272</v>
      </c>
      <c r="AN54" t="s">
        <v>6</v>
      </c>
      <c r="AO54" s="57">
        <v>46031.434351851851</v>
      </c>
      <c r="AP54" s="57">
        <v>46268.625</v>
      </c>
      <c r="AR54" t="s">
        <v>240</v>
      </c>
      <c r="AS54" t="s">
        <v>919</v>
      </c>
      <c r="AT54" t="s">
        <v>230</v>
      </c>
      <c r="AV54" t="s">
        <v>239</v>
      </c>
      <c r="AW54" t="s">
        <v>889</v>
      </c>
      <c r="AX54" t="s">
        <v>222</v>
      </c>
      <c r="BA54" s="57">
        <v>46268.625</v>
      </c>
      <c r="BB54" t="s">
        <v>1272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1002565046</v>
      </c>
      <c r="C55">
        <v>3</v>
      </c>
      <c r="D55" t="s">
        <v>49</v>
      </c>
      <c r="E55">
        <v>4</v>
      </c>
      <c r="F55" t="s">
        <v>245</v>
      </c>
      <c r="G55" t="s">
        <v>246</v>
      </c>
      <c r="H55" t="s">
        <v>832</v>
      </c>
      <c r="I55" t="s">
        <v>212</v>
      </c>
      <c r="J55" t="s">
        <v>213</v>
      </c>
      <c r="K55" t="s">
        <v>149</v>
      </c>
      <c r="L55" t="s">
        <v>214</v>
      </c>
      <c r="M55" t="s">
        <v>239</v>
      </c>
      <c r="N55" t="s">
        <v>215</v>
      </c>
      <c r="O55" s="57">
        <v>46266.477048611108</v>
      </c>
      <c r="P55" s="57">
        <v>46266.477789351855</v>
      </c>
      <c r="Q55">
        <v>69381409</v>
      </c>
      <c r="S55">
        <v>142406122465</v>
      </c>
      <c r="T55" t="s">
        <v>1273</v>
      </c>
      <c r="U55" t="s">
        <v>1274</v>
      </c>
      <c r="V55" t="s">
        <v>1275</v>
      </c>
      <c r="Z55">
        <v>110.437211953103</v>
      </c>
      <c r="AA55">
        <v>-6.9509257691123096</v>
      </c>
      <c r="AB55" t="s">
        <v>1276</v>
      </c>
      <c r="AC55" t="s">
        <v>216</v>
      </c>
      <c r="AL55" t="s">
        <v>217</v>
      </c>
      <c r="AM55" t="s">
        <v>1277</v>
      </c>
      <c r="AN55" t="s">
        <v>6</v>
      </c>
      <c r="AO55" s="57">
        <v>46031.48609953704</v>
      </c>
      <c r="AP55" s="57">
        <v>46267.333333333336</v>
      </c>
      <c r="AR55" t="s">
        <v>240</v>
      </c>
      <c r="AS55" t="s">
        <v>901</v>
      </c>
      <c r="AT55" t="s">
        <v>230</v>
      </c>
      <c r="AV55" t="s">
        <v>239</v>
      </c>
      <c r="AW55" t="s">
        <v>888</v>
      </c>
      <c r="AX55" t="s">
        <v>222</v>
      </c>
      <c r="BA55" s="57">
        <v>46267.333333333336</v>
      </c>
      <c r="BB55" t="s">
        <v>1277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e">
        <f>VLOOKUP(H55,Sheet2!$A$1:$B$270,2,FALSE)</f>
        <v>#N/A</v>
      </c>
    </row>
    <row r="56" spans="1:61">
      <c r="A56">
        <v>55</v>
      </c>
      <c r="B56">
        <v>1002565053</v>
      </c>
      <c r="C56">
        <v>3</v>
      </c>
      <c r="D56" t="s">
        <v>49</v>
      </c>
      <c r="E56">
        <v>4</v>
      </c>
      <c r="F56" t="s">
        <v>250</v>
      </c>
      <c r="G56" t="s">
        <v>539</v>
      </c>
      <c r="H56" t="s">
        <v>577</v>
      </c>
      <c r="I56" t="s">
        <v>212</v>
      </c>
      <c r="J56" t="s">
        <v>213</v>
      </c>
      <c r="K56" t="s">
        <v>149</v>
      </c>
      <c r="M56" t="s">
        <v>239</v>
      </c>
      <c r="N56" t="s">
        <v>215</v>
      </c>
      <c r="O56" s="57">
        <v>46266.481215277781</v>
      </c>
      <c r="P56" s="57">
        <v>46266.545856481483</v>
      </c>
      <c r="Q56">
        <v>69228573</v>
      </c>
      <c r="S56">
        <v>142214107207</v>
      </c>
      <c r="T56" t="s">
        <v>1106</v>
      </c>
      <c r="U56" t="s">
        <v>962</v>
      </c>
      <c r="V56" t="s">
        <v>1278</v>
      </c>
      <c r="Z56">
        <v>108.9829376</v>
      </c>
      <c r="AA56">
        <v>-6.9595906999999997</v>
      </c>
      <c r="AB56" t="s">
        <v>1279</v>
      </c>
      <c r="AC56" t="s">
        <v>225</v>
      </c>
      <c r="AL56" t="s">
        <v>217</v>
      </c>
      <c r="AM56" t="s">
        <v>1109</v>
      </c>
      <c r="AN56" t="s">
        <v>6</v>
      </c>
      <c r="AO56" s="57">
        <v>46031.48609953704</v>
      </c>
      <c r="AP56" s="57">
        <v>46267.541666666664</v>
      </c>
      <c r="AR56" t="s">
        <v>240</v>
      </c>
      <c r="AS56" t="s">
        <v>910</v>
      </c>
      <c r="AT56" t="s">
        <v>230</v>
      </c>
      <c r="AV56" t="s">
        <v>239</v>
      </c>
      <c r="AW56" t="s">
        <v>545</v>
      </c>
      <c r="AX56" t="s">
        <v>222</v>
      </c>
      <c r="BA56" s="57">
        <v>46267.541666666664</v>
      </c>
      <c r="BB56" t="s">
        <v>1109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56</v>
      </c>
      <c r="B57">
        <v>1002564711</v>
      </c>
      <c r="C57">
        <v>3</v>
      </c>
      <c r="D57" t="s">
        <v>59</v>
      </c>
      <c r="E57">
        <v>4</v>
      </c>
      <c r="F57" t="s">
        <v>549</v>
      </c>
      <c r="G57" t="s">
        <v>582</v>
      </c>
      <c r="H57" t="s">
        <v>583</v>
      </c>
      <c r="I57" t="s">
        <v>212</v>
      </c>
      <c r="J57" t="s">
        <v>213</v>
      </c>
      <c r="K57" t="s">
        <v>149</v>
      </c>
      <c r="L57" t="s">
        <v>214</v>
      </c>
      <c r="M57" t="s">
        <v>239</v>
      </c>
      <c r="N57" t="s">
        <v>215</v>
      </c>
      <c r="O57" s="57">
        <v>46266.433298611111</v>
      </c>
      <c r="P57" s="57">
        <v>46266.434733796297</v>
      </c>
      <c r="Q57">
        <v>69381307</v>
      </c>
      <c r="S57">
        <v>146130138281</v>
      </c>
      <c r="T57" t="s">
        <v>1280</v>
      </c>
      <c r="U57" t="s">
        <v>1281</v>
      </c>
      <c r="V57" t="s">
        <v>1282</v>
      </c>
      <c r="Z57">
        <v>110.40104909999999</v>
      </c>
      <c r="AA57">
        <v>-7.7477549999999997</v>
      </c>
      <c r="AB57" t="s">
        <v>1283</v>
      </c>
      <c r="AC57" t="s">
        <v>236</v>
      </c>
      <c r="AL57" t="s">
        <v>217</v>
      </c>
      <c r="AM57" t="s">
        <v>1284</v>
      </c>
      <c r="AN57" t="s">
        <v>6</v>
      </c>
      <c r="AO57" s="57">
        <v>46031.434351851851</v>
      </c>
      <c r="AP57" s="57">
        <v>46267.541666666664</v>
      </c>
      <c r="AR57" t="s">
        <v>240</v>
      </c>
      <c r="AS57" t="s">
        <v>905</v>
      </c>
      <c r="AT57" t="s">
        <v>230</v>
      </c>
      <c r="AV57" t="s">
        <v>239</v>
      </c>
      <c r="AW57" t="s">
        <v>836</v>
      </c>
      <c r="AX57" t="s">
        <v>222</v>
      </c>
      <c r="BA57" s="57">
        <v>46267.541666666664</v>
      </c>
      <c r="BB57" t="s">
        <v>1284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57</v>
      </c>
      <c r="B58">
        <v>1002565535</v>
      </c>
      <c r="C58">
        <v>3</v>
      </c>
      <c r="D58" t="s">
        <v>51</v>
      </c>
      <c r="E58">
        <v>4</v>
      </c>
      <c r="F58" t="s">
        <v>269</v>
      </c>
      <c r="G58" t="s">
        <v>551</v>
      </c>
      <c r="H58" t="s">
        <v>852</v>
      </c>
      <c r="I58" t="s">
        <v>212</v>
      </c>
      <c r="J58" t="s">
        <v>213</v>
      </c>
      <c r="K58" t="s">
        <v>149</v>
      </c>
      <c r="L58" t="s">
        <v>214</v>
      </c>
      <c r="M58" t="s">
        <v>239</v>
      </c>
      <c r="N58" t="s">
        <v>215</v>
      </c>
      <c r="O58" s="57">
        <v>46266.583287037036</v>
      </c>
      <c r="P58" s="57">
        <v>46266.584733796299</v>
      </c>
      <c r="Q58">
        <v>69381546</v>
      </c>
      <c r="S58">
        <v>142521103415</v>
      </c>
      <c r="T58" t="s">
        <v>1285</v>
      </c>
      <c r="U58" t="s">
        <v>1286</v>
      </c>
      <c r="V58" t="s">
        <v>1287</v>
      </c>
      <c r="Z58">
        <v>110.77288299999999</v>
      </c>
      <c r="AA58">
        <v>-7.0582070000000003</v>
      </c>
      <c r="AB58" t="s">
        <v>1288</v>
      </c>
      <c r="AC58" t="s">
        <v>236</v>
      </c>
      <c r="AL58" t="s">
        <v>217</v>
      </c>
      <c r="AM58" t="s">
        <v>1026</v>
      </c>
      <c r="AN58" t="s">
        <v>6</v>
      </c>
      <c r="AO58" s="57">
        <v>46031.590208333335</v>
      </c>
      <c r="AP58" s="57">
        <v>46267.541666666664</v>
      </c>
      <c r="AR58" t="s">
        <v>240</v>
      </c>
      <c r="AS58" t="s">
        <v>914</v>
      </c>
      <c r="AT58" t="s">
        <v>230</v>
      </c>
      <c r="AV58" t="s">
        <v>239</v>
      </c>
      <c r="AW58" t="s">
        <v>888</v>
      </c>
      <c r="AX58" t="s">
        <v>222</v>
      </c>
      <c r="BA58" s="57">
        <v>46267.541666666664</v>
      </c>
      <c r="BB58" t="s">
        <v>1026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58</v>
      </c>
      <c r="B59">
        <v>1002564963</v>
      </c>
      <c r="C59">
        <v>3</v>
      </c>
      <c r="D59" t="s">
        <v>42</v>
      </c>
      <c r="E59">
        <v>5</v>
      </c>
      <c r="F59" t="s">
        <v>232</v>
      </c>
      <c r="G59" t="s">
        <v>103</v>
      </c>
      <c r="H59" t="s">
        <v>294</v>
      </c>
      <c r="I59" t="s">
        <v>212</v>
      </c>
      <c r="J59" t="s">
        <v>213</v>
      </c>
      <c r="K59" t="s">
        <v>149</v>
      </c>
      <c r="M59" t="s">
        <v>239</v>
      </c>
      <c r="N59" t="s">
        <v>215</v>
      </c>
      <c r="O59" s="57">
        <v>46266.467060185183</v>
      </c>
      <c r="P59" s="57">
        <v>46266.598622685182</v>
      </c>
      <c r="Q59">
        <v>69381370</v>
      </c>
      <c r="S59">
        <v>152319208065</v>
      </c>
      <c r="T59" t="s">
        <v>959</v>
      </c>
      <c r="U59" t="s">
        <v>1289</v>
      </c>
      <c r="V59" t="s">
        <v>1290</v>
      </c>
      <c r="Z59">
        <v>112.3805254</v>
      </c>
      <c r="AA59">
        <v>-7.5600582999999997</v>
      </c>
      <c r="AB59" t="s">
        <v>960</v>
      </c>
      <c r="AC59" t="s">
        <v>587</v>
      </c>
      <c r="AL59" t="s">
        <v>217</v>
      </c>
      <c r="AM59" t="s">
        <v>1291</v>
      </c>
      <c r="AN59" t="s">
        <v>6</v>
      </c>
      <c r="AO59" s="57">
        <v>46031.475810185184</v>
      </c>
      <c r="AP59" s="57">
        <v>46267.458333333336</v>
      </c>
      <c r="AR59" t="s">
        <v>240</v>
      </c>
      <c r="AS59" t="s">
        <v>103</v>
      </c>
      <c r="AT59" t="s">
        <v>230</v>
      </c>
      <c r="AV59" t="s">
        <v>239</v>
      </c>
      <c r="AW59" t="s">
        <v>544</v>
      </c>
      <c r="AX59" t="s">
        <v>222</v>
      </c>
      <c r="BA59" s="57">
        <v>46267.458333333336</v>
      </c>
      <c r="BB59" t="s">
        <v>1291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MOJOKERTO</v>
      </c>
    </row>
    <row r="60" spans="1:61">
      <c r="A60">
        <v>59</v>
      </c>
      <c r="B60">
        <v>1002564992</v>
      </c>
      <c r="C60">
        <v>3</v>
      </c>
      <c r="D60" t="s">
        <v>55</v>
      </c>
      <c r="E60">
        <v>5</v>
      </c>
      <c r="F60" t="s">
        <v>261</v>
      </c>
      <c r="G60" t="s">
        <v>122</v>
      </c>
      <c r="H60" t="s">
        <v>347</v>
      </c>
      <c r="I60" t="s">
        <v>212</v>
      </c>
      <c r="J60" t="s">
        <v>213</v>
      </c>
      <c r="K60" t="s">
        <v>149</v>
      </c>
      <c r="L60" t="s">
        <v>214</v>
      </c>
      <c r="M60" t="s">
        <v>239</v>
      </c>
      <c r="N60" t="s">
        <v>215</v>
      </c>
      <c r="O60" s="57">
        <v>46266.469409722224</v>
      </c>
      <c r="P60" s="57">
        <v>46266.47084490741</v>
      </c>
      <c r="Q60">
        <v>69381390</v>
      </c>
      <c r="S60">
        <v>152421262549</v>
      </c>
      <c r="T60" t="s">
        <v>1292</v>
      </c>
      <c r="U60" t="s">
        <v>1293</v>
      </c>
      <c r="V60" t="s">
        <v>1294</v>
      </c>
      <c r="Z60">
        <v>112.658372372388</v>
      </c>
      <c r="AA60">
        <v>-7.1551595617720096</v>
      </c>
      <c r="AB60" t="s">
        <v>1295</v>
      </c>
      <c r="AC60" t="s">
        <v>216</v>
      </c>
      <c r="AL60" t="s">
        <v>217</v>
      </c>
      <c r="AM60" t="s">
        <v>1296</v>
      </c>
      <c r="AN60" t="s">
        <v>6</v>
      </c>
      <c r="AO60" s="57">
        <v>46031.475810185184</v>
      </c>
      <c r="AP60" s="57">
        <v>46273.625</v>
      </c>
      <c r="AR60" t="s">
        <v>240</v>
      </c>
      <c r="AS60" t="s">
        <v>122</v>
      </c>
      <c r="AT60" t="s">
        <v>230</v>
      </c>
      <c r="AV60" t="s">
        <v>239</v>
      </c>
      <c r="AW60" t="s">
        <v>891</v>
      </c>
      <c r="AX60" t="s">
        <v>222</v>
      </c>
      <c r="BA60" s="57">
        <v>46273.625</v>
      </c>
      <c r="BB60" t="s">
        <v>1296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GRESIK</v>
      </c>
    </row>
    <row r="61" spans="1:61">
      <c r="A61">
        <v>60</v>
      </c>
      <c r="B61">
        <v>1002564991</v>
      </c>
      <c r="C61">
        <v>3</v>
      </c>
      <c r="D61" t="s">
        <v>45</v>
      </c>
      <c r="E61">
        <v>5</v>
      </c>
      <c r="F61" t="s">
        <v>210</v>
      </c>
      <c r="G61" t="s">
        <v>110</v>
      </c>
      <c r="H61" t="s">
        <v>445</v>
      </c>
      <c r="I61" t="s">
        <v>212</v>
      </c>
      <c r="J61" t="s">
        <v>213</v>
      </c>
      <c r="K61" t="s">
        <v>149</v>
      </c>
      <c r="L61" t="s">
        <v>214</v>
      </c>
      <c r="M61" t="s">
        <v>239</v>
      </c>
      <c r="N61" t="s">
        <v>215</v>
      </c>
      <c r="O61" s="57">
        <v>46266.469409722224</v>
      </c>
      <c r="P61" s="57">
        <v>46266.47084490741</v>
      </c>
      <c r="Q61">
        <v>69381373</v>
      </c>
      <c r="S61">
        <v>172610305800</v>
      </c>
      <c r="T61" t="s">
        <v>1297</v>
      </c>
      <c r="U61" t="s">
        <v>1298</v>
      </c>
      <c r="V61" t="s">
        <v>1299</v>
      </c>
      <c r="Z61">
        <v>118.969731</v>
      </c>
      <c r="AA61">
        <v>-8.5671809999999997</v>
      </c>
      <c r="AB61" t="s">
        <v>1300</v>
      </c>
      <c r="AC61" t="s">
        <v>236</v>
      </c>
      <c r="AL61" t="s">
        <v>217</v>
      </c>
      <c r="AM61" t="s">
        <v>1301</v>
      </c>
      <c r="AN61" t="s">
        <v>6</v>
      </c>
      <c r="AO61" s="57">
        <v>46031.475810185184</v>
      </c>
      <c r="AP61" s="57">
        <v>46267.333333333336</v>
      </c>
      <c r="AR61" t="s">
        <v>240</v>
      </c>
      <c r="AS61" t="s">
        <v>916</v>
      </c>
      <c r="AT61" t="s">
        <v>220</v>
      </c>
      <c r="AV61" t="s">
        <v>239</v>
      </c>
      <c r="AW61" t="s">
        <v>875</v>
      </c>
      <c r="AX61" t="s">
        <v>222</v>
      </c>
      <c r="BA61" s="57">
        <v>46267.333333333336</v>
      </c>
      <c r="BB61" t="s">
        <v>1301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BIMA</v>
      </c>
    </row>
    <row r="62" spans="1:61">
      <c r="A62">
        <v>61</v>
      </c>
      <c r="B62">
        <v>1002565015</v>
      </c>
      <c r="C62">
        <v>3</v>
      </c>
      <c r="D62" t="s">
        <v>59</v>
      </c>
      <c r="E62">
        <v>4</v>
      </c>
      <c r="F62" t="s">
        <v>549</v>
      </c>
      <c r="G62" t="s">
        <v>825</v>
      </c>
      <c r="H62" t="s">
        <v>830</v>
      </c>
      <c r="I62" t="s">
        <v>212</v>
      </c>
      <c r="J62" t="s">
        <v>213</v>
      </c>
      <c r="K62" t="s">
        <v>149</v>
      </c>
      <c r="M62" t="s">
        <v>239</v>
      </c>
      <c r="N62" t="s">
        <v>215</v>
      </c>
      <c r="O62" s="57">
        <v>46266.473043981481</v>
      </c>
      <c r="P62" s="57">
        <v>46266.625011574077</v>
      </c>
      <c r="Q62">
        <v>69381380</v>
      </c>
      <c r="S62">
        <v>146129128444</v>
      </c>
      <c r="T62" t="s">
        <v>1302</v>
      </c>
      <c r="U62" t="s">
        <v>1303</v>
      </c>
      <c r="V62" t="s">
        <v>1304</v>
      </c>
      <c r="Z62">
        <v>110.36374926566999</v>
      </c>
      <c r="AA62">
        <v>-7.9429031364702896</v>
      </c>
      <c r="AB62" t="s">
        <v>1305</v>
      </c>
      <c r="AC62" t="s">
        <v>285</v>
      </c>
      <c r="AL62" t="s">
        <v>217</v>
      </c>
      <c r="AM62" t="s">
        <v>1306</v>
      </c>
      <c r="AN62" t="s">
        <v>6</v>
      </c>
      <c r="AO62" s="57">
        <v>46031.475810185184</v>
      </c>
      <c r="AP62" s="57">
        <v>46267.625</v>
      </c>
      <c r="AR62" t="s">
        <v>240</v>
      </c>
      <c r="AS62" t="s">
        <v>219</v>
      </c>
      <c r="AT62" t="s">
        <v>230</v>
      </c>
      <c r="AV62" t="s">
        <v>239</v>
      </c>
      <c r="AW62" t="s">
        <v>560</v>
      </c>
      <c r="AX62" t="s">
        <v>222</v>
      </c>
      <c r="BA62" s="57">
        <v>46267.625</v>
      </c>
      <c r="BB62" t="s">
        <v>1306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1002564984</v>
      </c>
      <c r="C63">
        <v>3</v>
      </c>
      <c r="D63" t="s">
        <v>59</v>
      </c>
      <c r="E63">
        <v>4</v>
      </c>
      <c r="F63" t="s">
        <v>242</v>
      </c>
      <c r="G63" t="s">
        <v>600</v>
      </c>
      <c r="H63" t="s">
        <v>601</v>
      </c>
      <c r="I63" t="s">
        <v>212</v>
      </c>
      <c r="J63" t="s">
        <v>213</v>
      </c>
      <c r="K63" t="s">
        <v>149</v>
      </c>
      <c r="L63" t="s">
        <v>214</v>
      </c>
      <c r="M63" t="s">
        <v>239</v>
      </c>
      <c r="N63" t="s">
        <v>215</v>
      </c>
      <c r="O63" s="57">
        <v>46266.468715277777</v>
      </c>
      <c r="P63" s="57">
        <v>46266.469456018516</v>
      </c>
      <c r="Q63">
        <v>69381389</v>
      </c>
      <c r="S63">
        <v>141149112951</v>
      </c>
      <c r="T63" t="s">
        <v>1307</v>
      </c>
      <c r="U63" t="s">
        <v>1308</v>
      </c>
      <c r="V63" t="s">
        <v>1309</v>
      </c>
      <c r="Z63">
        <v>110.088058</v>
      </c>
      <c r="AA63">
        <v>-7.2862179999999999</v>
      </c>
      <c r="AB63" t="s">
        <v>1310</v>
      </c>
      <c r="AC63" t="s">
        <v>236</v>
      </c>
      <c r="AL63" t="s">
        <v>217</v>
      </c>
      <c r="AM63" t="s">
        <v>994</v>
      </c>
      <c r="AN63" t="s">
        <v>6</v>
      </c>
      <c r="AO63" s="57">
        <v>46031.475810185184</v>
      </c>
      <c r="AP63" s="57">
        <v>46267.333333333336</v>
      </c>
      <c r="AR63" t="s">
        <v>240</v>
      </c>
      <c r="AS63" t="s">
        <v>921</v>
      </c>
      <c r="AT63" t="s">
        <v>230</v>
      </c>
      <c r="AV63" t="s">
        <v>239</v>
      </c>
      <c r="AW63" t="s">
        <v>930</v>
      </c>
      <c r="AX63" t="s">
        <v>222</v>
      </c>
      <c r="BA63" s="57">
        <v>46267.333333333336</v>
      </c>
      <c r="BB63" t="s">
        <v>994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e">
        <f>VLOOKUP(H63,Sheet2!$A$1:$B$270,2,FALSE)</f>
        <v>#N/A</v>
      </c>
    </row>
    <row r="64" spans="1:61">
      <c r="A64">
        <v>63</v>
      </c>
      <c r="B64">
        <v>1002564957</v>
      </c>
      <c r="C64">
        <v>3</v>
      </c>
      <c r="D64" t="s">
        <v>51</v>
      </c>
      <c r="E64">
        <v>4</v>
      </c>
      <c r="F64" t="s">
        <v>269</v>
      </c>
      <c r="G64" t="s">
        <v>289</v>
      </c>
      <c r="H64" t="s">
        <v>824</v>
      </c>
      <c r="I64" t="s">
        <v>212</v>
      </c>
      <c r="J64" t="s">
        <v>213</v>
      </c>
      <c r="K64" t="s">
        <v>149</v>
      </c>
      <c r="L64" t="s">
        <v>214</v>
      </c>
      <c r="M64" t="s">
        <v>239</v>
      </c>
      <c r="N64" t="s">
        <v>215</v>
      </c>
      <c r="O64" s="57">
        <v>46266.465231481481</v>
      </c>
      <c r="P64" s="57">
        <v>46266.466678240744</v>
      </c>
      <c r="Q64">
        <v>69381386</v>
      </c>
      <c r="S64">
        <v>142551119567</v>
      </c>
      <c r="T64" t="s">
        <v>1158</v>
      </c>
      <c r="U64" t="s">
        <v>1311</v>
      </c>
      <c r="V64" t="s">
        <v>1312</v>
      </c>
      <c r="Z64">
        <v>111.017602</v>
      </c>
      <c r="AA64">
        <v>-6.7608309999999996</v>
      </c>
      <c r="AB64" t="s">
        <v>1313</v>
      </c>
      <c r="AC64" t="s">
        <v>236</v>
      </c>
      <c r="AL64" t="s">
        <v>217</v>
      </c>
      <c r="AM64" t="s">
        <v>1314</v>
      </c>
      <c r="AN64" t="s">
        <v>6</v>
      </c>
      <c r="AO64" s="57">
        <v>46031.475810185184</v>
      </c>
      <c r="AP64" s="57">
        <v>46267.333333333336</v>
      </c>
      <c r="AR64" t="s">
        <v>240</v>
      </c>
      <c r="AS64" t="s">
        <v>219</v>
      </c>
      <c r="AT64" t="s">
        <v>230</v>
      </c>
      <c r="AV64" t="s">
        <v>239</v>
      </c>
      <c r="AW64" t="s">
        <v>886</v>
      </c>
      <c r="AX64" t="s">
        <v>222</v>
      </c>
      <c r="BA64" s="57">
        <v>46267.333333333336</v>
      </c>
      <c r="BB64" t="s">
        <v>1314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e">
        <f>VLOOKUP(H64,Sheet2!$A$1:$B$270,2,FALSE)</f>
        <v>#N/A</v>
      </c>
    </row>
    <row r="65" spans="1:61">
      <c r="A65">
        <v>64</v>
      </c>
      <c r="B65">
        <v>1002565568</v>
      </c>
      <c r="C65">
        <v>3</v>
      </c>
      <c r="D65" t="s">
        <v>59</v>
      </c>
      <c r="E65">
        <v>4</v>
      </c>
      <c r="F65" t="s">
        <v>223</v>
      </c>
      <c r="G65" t="s">
        <v>223</v>
      </c>
      <c r="H65" t="s">
        <v>827</v>
      </c>
      <c r="I65" t="s">
        <v>212</v>
      </c>
      <c r="J65" t="s">
        <v>213</v>
      </c>
      <c r="K65" t="s">
        <v>149</v>
      </c>
      <c r="L65" t="s">
        <v>214</v>
      </c>
      <c r="M65" t="s">
        <v>239</v>
      </c>
      <c r="N65" t="s">
        <v>215</v>
      </c>
      <c r="O65" s="57">
        <v>46266.587476851855</v>
      </c>
      <c r="P65" s="57">
        <v>46266.588912037034</v>
      </c>
      <c r="Q65">
        <v>69381554</v>
      </c>
      <c r="S65">
        <v>146303608408</v>
      </c>
      <c r="T65" t="s">
        <v>1315</v>
      </c>
      <c r="U65" t="s">
        <v>1316</v>
      </c>
      <c r="V65" t="s">
        <v>1317</v>
      </c>
      <c r="Z65">
        <v>109.25642209999999</v>
      </c>
      <c r="AA65">
        <v>-7.4259066000000002</v>
      </c>
      <c r="AB65" t="s">
        <v>1318</v>
      </c>
      <c r="AC65" t="s">
        <v>236</v>
      </c>
      <c r="AL65" t="s">
        <v>217</v>
      </c>
      <c r="AM65" t="s">
        <v>1061</v>
      </c>
      <c r="AN65" t="s">
        <v>6</v>
      </c>
      <c r="AO65" s="57">
        <v>46031.590208333335</v>
      </c>
      <c r="AP65" s="57">
        <v>46267.541666666664</v>
      </c>
      <c r="AR65" t="s">
        <v>240</v>
      </c>
      <c r="AS65" t="s">
        <v>219</v>
      </c>
      <c r="AT65" t="s">
        <v>230</v>
      </c>
      <c r="AV65" t="s">
        <v>239</v>
      </c>
      <c r="AW65" t="s">
        <v>891</v>
      </c>
      <c r="AX65" t="s">
        <v>222</v>
      </c>
      <c r="BA65" s="57">
        <v>46267.541666666664</v>
      </c>
      <c r="BB65" t="s">
        <v>1061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>
      <c r="A66">
        <v>65</v>
      </c>
      <c r="B66">
        <v>1002564132</v>
      </c>
      <c r="C66">
        <v>3</v>
      </c>
      <c r="D66" t="s">
        <v>59</v>
      </c>
      <c r="E66">
        <v>4</v>
      </c>
      <c r="F66" t="s">
        <v>223</v>
      </c>
      <c r="G66" t="s">
        <v>314</v>
      </c>
      <c r="H66" t="s">
        <v>315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46266.358981481484</v>
      </c>
      <c r="P66" s="57">
        <v>46266.359837962962</v>
      </c>
      <c r="Q66">
        <v>69381161</v>
      </c>
      <c r="S66">
        <v>146372103143</v>
      </c>
      <c r="T66" t="s">
        <v>1027</v>
      </c>
      <c r="U66" t="s">
        <v>1028</v>
      </c>
      <c r="V66" t="s">
        <v>1319</v>
      </c>
      <c r="Z66">
        <v>109.77256199999999</v>
      </c>
      <c r="AA66">
        <v>-7.2659840000000004</v>
      </c>
      <c r="AB66" t="s">
        <v>1320</v>
      </c>
      <c r="AC66" t="s">
        <v>236</v>
      </c>
      <c r="AL66" t="s">
        <v>217</v>
      </c>
      <c r="AM66" t="s">
        <v>1321</v>
      </c>
      <c r="AN66" t="s">
        <v>6</v>
      </c>
      <c r="AO66" s="57">
        <v>46031.361087962963</v>
      </c>
      <c r="AP66" s="57">
        <v>46268.333333333336</v>
      </c>
      <c r="AR66" t="s">
        <v>240</v>
      </c>
      <c r="AS66" t="s">
        <v>219</v>
      </c>
      <c r="AT66" t="s">
        <v>230</v>
      </c>
      <c r="AV66" t="s">
        <v>239</v>
      </c>
      <c r="AW66" t="s">
        <v>885</v>
      </c>
      <c r="AX66" t="s">
        <v>222</v>
      </c>
      <c r="BA66" s="57">
        <v>46268.333333333336</v>
      </c>
      <c r="BB66" t="s">
        <v>1321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66</v>
      </c>
      <c r="B67">
        <v>1002564133</v>
      </c>
      <c r="C67">
        <v>3</v>
      </c>
      <c r="D67" t="s">
        <v>55</v>
      </c>
      <c r="E67">
        <v>5</v>
      </c>
      <c r="F67" t="s">
        <v>261</v>
      </c>
      <c r="G67" t="s">
        <v>122</v>
      </c>
      <c r="H67" t="s">
        <v>348</v>
      </c>
      <c r="I67" t="s">
        <v>212</v>
      </c>
      <c r="J67" t="s">
        <v>213</v>
      </c>
      <c r="K67" t="s">
        <v>149</v>
      </c>
      <c r="L67" t="s">
        <v>214</v>
      </c>
      <c r="M67" t="s">
        <v>239</v>
      </c>
      <c r="N67" t="s">
        <v>215</v>
      </c>
      <c r="O67" s="57">
        <v>46266.358981481484</v>
      </c>
      <c r="P67" s="57">
        <v>46266.359733796293</v>
      </c>
      <c r="Q67">
        <v>69381160</v>
      </c>
      <c r="S67">
        <v>152451212101</v>
      </c>
      <c r="T67" t="s">
        <v>1322</v>
      </c>
      <c r="U67" t="s">
        <v>1323</v>
      </c>
      <c r="V67" t="s">
        <v>1324</v>
      </c>
      <c r="Z67">
        <v>112.488868</v>
      </c>
      <c r="AA67">
        <v>-6.9035650000000004</v>
      </c>
      <c r="AB67" t="s">
        <v>1325</v>
      </c>
      <c r="AC67" t="s">
        <v>236</v>
      </c>
      <c r="AL67" t="s">
        <v>217</v>
      </c>
      <c r="AM67" t="s">
        <v>1326</v>
      </c>
      <c r="AN67" t="s">
        <v>6</v>
      </c>
      <c r="AO67" s="57">
        <v>46031.361087962963</v>
      </c>
      <c r="AP67" s="57">
        <v>46267.333333333336</v>
      </c>
      <c r="AR67" t="s">
        <v>240</v>
      </c>
      <c r="AS67" t="s">
        <v>122</v>
      </c>
      <c r="AT67" t="s">
        <v>230</v>
      </c>
      <c r="AV67" t="s">
        <v>239</v>
      </c>
      <c r="AW67" t="s">
        <v>885</v>
      </c>
      <c r="AX67" t="s">
        <v>222</v>
      </c>
      <c r="BA67" s="57">
        <v>46267.333333333336</v>
      </c>
      <c r="BB67" t="s">
        <v>1326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GRESIK</v>
      </c>
    </row>
    <row r="68" spans="1:61">
      <c r="A68">
        <v>67</v>
      </c>
      <c r="B68">
        <v>1002565594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395</v>
      </c>
      <c r="I68" t="s">
        <v>212</v>
      </c>
      <c r="J68" t="s">
        <v>213</v>
      </c>
      <c r="K68" t="s">
        <v>149</v>
      </c>
      <c r="L68" t="s">
        <v>214</v>
      </c>
      <c r="M68" t="s">
        <v>239</v>
      </c>
      <c r="N68" t="s">
        <v>215</v>
      </c>
      <c r="O68" s="57">
        <v>46266.590231481481</v>
      </c>
      <c r="P68" s="57">
        <v>46266.591689814813</v>
      </c>
      <c r="Q68">
        <v>69381569</v>
      </c>
      <c r="S68">
        <v>172602203391</v>
      </c>
      <c r="T68" t="s">
        <v>1327</v>
      </c>
      <c r="U68" t="s">
        <v>1328</v>
      </c>
      <c r="V68" t="s">
        <v>1329</v>
      </c>
      <c r="Z68">
        <v>116.0745301</v>
      </c>
      <c r="AA68">
        <v>-8.7271529000000001</v>
      </c>
      <c r="AB68" t="s">
        <v>1330</v>
      </c>
      <c r="AC68" t="s">
        <v>216</v>
      </c>
      <c r="AL68" t="s">
        <v>217</v>
      </c>
      <c r="AM68" t="s">
        <v>1331</v>
      </c>
      <c r="AN68" t="s">
        <v>6</v>
      </c>
      <c r="AO68" s="57">
        <v>46031.600787037038</v>
      </c>
      <c r="AP68" s="57">
        <v>46271.333333333336</v>
      </c>
      <c r="AR68" t="s">
        <v>240</v>
      </c>
      <c r="AS68" t="s">
        <v>902</v>
      </c>
      <c r="AT68" t="s">
        <v>230</v>
      </c>
      <c r="AV68" t="s">
        <v>239</v>
      </c>
      <c r="AW68" t="s">
        <v>885</v>
      </c>
      <c r="AX68" t="s">
        <v>222</v>
      </c>
      <c r="BA68" s="57">
        <v>46271.333333333336</v>
      </c>
      <c r="BB68" t="s">
        <v>1331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1002566441</v>
      </c>
      <c r="C69">
        <v>3</v>
      </c>
      <c r="D69" t="s">
        <v>42</v>
      </c>
      <c r="E69">
        <v>5</v>
      </c>
      <c r="F69" t="s">
        <v>232</v>
      </c>
      <c r="G69" t="s">
        <v>103</v>
      </c>
      <c r="H69" t="s">
        <v>294</v>
      </c>
      <c r="I69" t="s">
        <v>212</v>
      </c>
      <c r="J69" t="s">
        <v>213</v>
      </c>
      <c r="K69" t="s">
        <v>149</v>
      </c>
      <c r="L69" t="s">
        <v>214</v>
      </c>
      <c r="M69" t="s">
        <v>239</v>
      </c>
      <c r="N69" t="s">
        <v>215</v>
      </c>
      <c r="O69" s="57">
        <v>46266.746493055558</v>
      </c>
      <c r="P69" s="57">
        <v>46266.747233796297</v>
      </c>
      <c r="Q69">
        <v>69381848</v>
      </c>
      <c r="S69">
        <v>152319208069</v>
      </c>
      <c r="T69" t="s">
        <v>1067</v>
      </c>
      <c r="U69" t="s">
        <v>1068</v>
      </c>
      <c r="V69" t="s">
        <v>1332</v>
      </c>
      <c r="Z69">
        <v>112.34413499999999</v>
      </c>
      <c r="AA69">
        <v>-7.5706119999999997</v>
      </c>
      <c r="AB69" t="s">
        <v>1333</v>
      </c>
      <c r="AC69" t="s">
        <v>236</v>
      </c>
      <c r="AL69" t="s">
        <v>217</v>
      </c>
      <c r="AM69" t="s">
        <v>1071</v>
      </c>
      <c r="AN69" t="s">
        <v>6</v>
      </c>
      <c r="AO69" s="57">
        <v>46031.756886574076</v>
      </c>
      <c r="AP69" s="57">
        <v>46267.625</v>
      </c>
      <c r="AR69" t="s">
        <v>240</v>
      </c>
      <c r="AS69" t="s">
        <v>103</v>
      </c>
      <c r="AT69" t="s">
        <v>230</v>
      </c>
      <c r="AV69" t="s">
        <v>239</v>
      </c>
      <c r="AW69" t="s">
        <v>237</v>
      </c>
      <c r="AX69" t="s">
        <v>222</v>
      </c>
      <c r="BA69" s="57">
        <v>46267.625</v>
      </c>
      <c r="BB69" t="s">
        <v>1071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MOJOKERTO</v>
      </c>
    </row>
    <row r="70" spans="1:61">
      <c r="A70">
        <v>69</v>
      </c>
      <c r="B70">
        <v>1002566432</v>
      </c>
      <c r="C70">
        <v>3</v>
      </c>
      <c r="D70" t="s">
        <v>38</v>
      </c>
      <c r="E70">
        <v>5</v>
      </c>
      <c r="F70" t="s">
        <v>248</v>
      </c>
      <c r="G70" t="s">
        <v>91</v>
      </c>
      <c r="H70" t="s">
        <v>412</v>
      </c>
      <c r="I70" t="s">
        <v>212</v>
      </c>
      <c r="J70" t="s">
        <v>213</v>
      </c>
      <c r="K70" t="s">
        <v>149</v>
      </c>
      <c r="L70" t="s">
        <v>214</v>
      </c>
      <c r="M70" t="s">
        <v>239</v>
      </c>
      <c r="N70" t="s">
        <v>215</v>
      </c>
      <c r="O70" s="57">
        <v>46266.741631944446</v>
      </c>
      <c r="P70" s="57">
        <v>46266.743078703701</v>
      </c>
      <c r="Q70">
        <v>69381827</v>
      </c>
      <c r="S70">
        <v>152715213304</v>
      </c>
      <c r="T70" t="s">
        <v>1334</v>
      </c>
      <c r="U70" t="s">
        <v>1335</v>
      </c>
      <c r="V70" t="s">
        <v>1336</v>
      </c>
      <c r="Z70">
        <v>112.64369120000001</v>
      </c>
      <c r="AA70">
        <v>-8.1517681999999994</v>
      </c>
      <c r="AB70" t="s">
        <v>1337</v>
      </c>
      <c r="AC70" t="s">
        <v>236</v>
      </c>
      <c r="AL70" t="s">
        <v>217</v>
      </c>
      <c r="AM70" t="s">
        <v>1128</v>
      </c>
      <c r="AN70" t="s">
        <v>6</v>
      </c>
      <c r="AO70" s="57">
        <v>46031.746469907404</v>
      </c>
      <c r="AP70" s="57">
        <v>46267.625</v>
      </c>
      <c r="AR70" t="s">
        <v>240</v>
      </c>
      <c r="AS70" t="s">
        <v>584</v>
      </c>
      <c r="AT70" t="s">
        <v>220</v>
      </c>
      <c r="AV70" t="s">
        <v>239</v>
      </c>
      <c r="AW70" t="s">
        <v>882</v>
      </c>
      <c r="AX70" t="s">
        <v>222</v>
      </c>
      <c r="BA70" s="57">
        <v>46267.625</v>
      </c>
      <c r="BB70" t="s">
        <v>1128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MALANG</v>
      </c>
    </row>
    <row r="71" spans="1:61">
      <c r="A71">
        <v>70</v>
      </c>
      <c r="B71">
        <v>1002566437</v>
      </c>
      <c r="C71">
        <v>3</v>
      </c>
      <c r="D71" t="s">
        <v>49</v>
      </c>
      <c r="E71">
        <v>4</v>
      </c>
      <c r="F71" t="s">
        <v>250</v>
      </c>
      <c r="G71" t="s">
        <v>540</v>
      </c>
      <c r="H71" t="s">
        <v>543</v>
      </c>
      <c r="I71" t="s">
        <v>212</v>
      </c>
      <c r="J71" t="s">
        <v>213</v>
      </c>
      <c r="K71" t="s">
        <v>149</v>
      </c>
      <c r="L71" t="s">
        <v>214</v>
      </c>
      <c r="M71" t="s">
        <v>239</v>
      </c>
      <c r="N71" t="s">
        <v>215</v>
      </c>
      <c r="O71" s="57">
        <v>46266.744398148148</v>
      </c>
      <c r="P71" s="57">
        <v>46266.745844907404</v>
      </c>
      <c r="Q71">
        <v>69381846</v>
      </c>
      <c r="S71">
        <v>142278112752</v>
      </c>
      <c r="T71" t="s">
        <v>999</v>
      </c>
      <c r="U71" t="s">
        <v>1000</v>
      </c>
      <c r="V71" t="s">
        <v>1338</v>
      </c>
      <c r="Z71">
        <v>109.45561600000001</v>
      </c>
      <c r="AA71">
        <v>-6.894787</v>
      </c>
      <c r="AB71" t="s">
        <v>1339</v>
      </c>
      <c r="AC71" t="s">
        <v>236</v>
      </c>
      <c r="AL71" t="s">
        <v>217</v>
      </c>
      <c r="AM71" t="s">
        <v>1071</v>
      </c>
      <c r="AN71" t="s">
        <v>6</v>
      </c>
      <c r="AO71" s="57">
        <v>46031.746469907404</v>
      </c>
      <c r="AP71" s="57">
        <v>46267.625</v>
      </c>
      <c r="AR71" t="s">
        <v>240</v>
      </c>
      <c r="AS71" t="s">
        <v>219</v>
      </c>
      <c r="AT71" t="s">
        <v>230</v>
      </c>
      <c r="AV71" t="s">
        <v>239</v>
      </c>
      <c r="AW71" t="s">
        <v>574</v>
      </c>
      <c r="AX71" t="s">
        <v>222</v>
      </c>
      <c r="BA71" s="57">
        <v>46267.625</v>
      </c>
      <c r="BB71" t="s">
        <v>1071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>
      <c r="A72">
        <v>71</v>
      </c>
      <c r="B72">
        <v>1002566429</v>
      </c>
      <c r="C72">
        <v>3</v>
      </c>
      <c r="D72" t="s">
        <v>34</v>
      </c>
      <c r="E72">
        <v>5</v>
      </c>
      <c r="F72" t="s">
        <v>563</v>
      </c>
      <c r="G72" t="s">
        <v>83</v>
      </c>
      <c r="H72" t="s">
        <v>392</v>
      </c>
      <c r="I72" t="s">
        <v>212</v>
      </c>
      <c r="J72" t="s">
        <v>213</v>
      </c>
      <c r="K72" t="s">
        <v>149</v>
      </c>
      <c r="L72" t="s">
        <v>214</v>
      </c>
      <c r="M72" t="s">
        <v>239</v>
      </c>
      <c r="N72" t="s">
        <v>215</v>
      </c>
      <c r="O72" s="57">
        <v>46266.740231481483</v>
      </c>
      <c r="P72" s="57">
        <v>46266.741678240738</v>
      </c>
      <c r="Q72">
        <v>69381825</v>
      </c>
      <c r="S72">
        <v>172401298229</v>
      </c>
      <c r="T72" t="s">
        <v>1340</v>
      </c>
      <c r="U72" t="s">
        <v>1341</v>
      </c>
      <c r="V72" t="s">
        <v>1342</v>
      </c>
      <c r="Z72">
        <v>115.253369204419</v>
      </c>
      <c r="AA72">
        <v>-8.6940247248159093</v>
      </c>
      <c r="AB72" t="s">
        <v>1343</v>
      </c>
      <c r="AC72" t="s">
        <v>236</v>
      </c>
      <c r="AL72" t="s">
        <v>217</v>
      </c>
      <c r="AM72" t="s">
        <v>1344</v>
      </c>
      <c r="AN72" t="s">
        <v>6</v>
      </c>
      <c r="AO72" s="57">
        <v>46031.746469907404</v>
      </c>
      <c r="AP72" s="57">
        <v>46269.333333333336</v>
      </c>
      <c r="AR72" t="s">
        <v>240</v>
      </c>
      <c r="AS72" t="s">
        <v>83</v>
      </c>
      <c r="AT72" t="s">
        <v>230</v>
      </c>
      <c r="AV72" t="s">
        <v>239</v>
      </c>
      <c r="AW72" t="s">
        <v>889</v>
      </c>
      <c r="AX72" t="s">
        <v>222</v>
      </c>
      <c r="BA72" s="57">
        <v>46269.333333333336</v>
      </c>
      <c r="BB72" t="s">
        <v>1344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SANUR</v>
      </c>
    </row>
    <row r="73" spans="1:61">
      <c r="A73">
        <v>72</v>
      </c>
      <c r="B73">
        <v>1002564240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395</v>
      </c>
      <c r="I73" t="s">
        <v>212</v>
      </c>
      <c r="J73" t="s">
        <v>213</v>
      </c>
      <c r="K73" t="s">
        <v>149</v>
      </c>
      <c r="L73" t="s">
        <v>214</v>
      </c>
      <c r="M73" t="s">
        <v>239</v>
      </c>
      <c r="N73" t="s">
        <v>215</v>
      </c>
      <c r="O73" s="57">
        <v>46266.375648148147</v>
      </c>
      <c r="P73" s="57">
        <v>46266.376400462963</v>
      </c>
      <c r="Q73">
        <v>69381193</v>
      </c>
      <c r="S73">
        <v>172602202849</v>
      </c>
      <c r="T73" t="s">
        <v>1345</v>
      </c>
      <c r="U73" t="s">
        <v>1037</v>
      </c>
      <c r="V73" t="s">
        <v>1346</v>
      </c>
      <c r="Z73">
        <v>116.15069099999999</v>
      </c>
      <c r="AA73">
        <v>-8.6803889999999999</v>
      </c>
      <c r="AB73" t="s">
        <v>1347</v>
      </c>
      <c r="AC73" t="s">
        <v>236</v>
      </c>
      <c r="AL73" t="s">
        <v>217</v>
      </c>
      <c r="AM73" t="s">
        <v>1348</v>
      </c>
      <c r="AN73" t="s">
        <v>6</v>
      </c>
      <c r="AO73" s="57">
        <v>46031.382175925923</v>
      </c>
      <c r="AP73" s="57">
        <v>46269.541666666664</v>
      </c>
      <c r="AR73" t="s">
        <v>240</v>
      </c>
      <c r="AS73" t="s">
        <v>902</v>
      </c>
      <c r="AT73" t="s">
        <v>230</v>
      </c>
      <c r="AV73" t="s">
        <v>239</v>
      </c>
      <c r="AW73" t="s">
        <v>831</v>
      </c>
      <c r="AX73" t="s">
        <v>222</v>
      </c>
      <c r="BA73" s="57">
        <v>46269.541666666664</v>
      </c>
      <c r="BB73" t="s">
        <v>1348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1002566137</v>
      </c>
      <c r="C74">
        <v>3</v>
      </c>
      <c r="D74" t="s">
        <v>38</v>
      </c>
      <c r="E74">
        <v>5</v>
      </c>
      <c r="F74" t="s">
        <v>248</v>
      </c>
      <c r="G74" t="s">
        <v>91</v>
      </c>
      <c r="H74" t="s">
        <v>388</v>
      </c>
      <c r="I74" t="s">
        <v>212</v>
      </c>
      <c r="J74" t="s">
        <v>213</v>
      </c>
      <c r="K74" t="s">
        <v>149</v>
      </c>
      <c r="L74" t="s">
        <v>214</v>
      </c>
      <c r="M74" t="s">
        <v>239</v>
      </c>
      <c r="N74" t="s">
        <v>215</v>
      </c>
      <c r="O74" s="57">
        <v>46266.668715277781</v>
      </c>
      <c r="P74" s="57">
        <v>46266.669456018521</v>
      </c>
      <c r="Q74">
        <v>69381727</v>
      </c>
      <c r="S74">
        <v>152703903704</v>
      </c>
      <c r="T74" t="s">
        <v>1249</v>
      </c>
      <c r="U74" t="s">
        <v>1349</v>
      </c>
      <c r="V74" t="s">
        <v>1350</v>
      </c>
      <c r="Z74">
        <v>112.62214299999999</v>
      </c>
      <c r="AA74">
        <v>-7.9638900000000001</v>
      </c>
      <c r="AB74" t="s">
        <v>1351</v>
      </c>
      <c r="AC74" t="s">
        <v>236</v>
      </c>
      <c r="AL74" t="s">
        <v>217</v>
      </c>
      <c r="AM74" t="s">
        <v>1352</v>
      </c>
      <c r="AN74" t="s">
        <v>6</v>
      </c>
      <c r="AO74" s="57">
        <v>46031.673645833333</v>
      </c>
      <c r="AP74" s="57">
        <v>46267.541666666664</v>
      </c>
      <c r="AR74" t="s">
        <v>240</v>
      </c>
      <c r="AS74" t="s">
        <v>557</v>
      </c>
      <c r="AT74" t="s">
        <v>230</v>
      </c>
      <c r="AV74" t="s">
        <v>239</v>
      </c>
      <c r="AW74" t="s">
        <v>888</v>
      </c>
      <c r="AX74" t="s">
        <v>222</v>
      </c>
      <c r="BA74" s="57">
        <v>46267.541666666664</v>
      </c>
      <c r="BB74" t="s">
        <v>1352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MALANG</v>
      </c>
    </row>
    <row r="75" spans="1:61">
      <c r="A75">
        <v>74</v>
      </c>
      <c r="B75">
        <v>1002566283</v>
      </c>
      <c r="C75">
        <v>3</v>
      </c>
      <c r="D75" t="s">
        <v>38</v>
      </c>
      <c r="E75">
        <v>5</v>
      </c>
      <c r="F75" t="s">
        <v>248</v>
      </c>
      <c r="G75" t="s">
        <v>91</v>
      </c>
      <c r="H75" t="s">
        <v>403</v>
      </c>
      <c r="I75" t="s">
        <v>212</v>
      </c>
      <c r="J75" t="s">
        <v>213</v>
      </c>
      <c r="K75" t="s">
        <v>149</v>
      </c>
      <c r="L75" t="s">
        <v>214</v>
      </c>
      <c r="M75" t="s">
        <v>239</v>
      </c>
      <c r="N75" t="s">
        <v>215</v>
      </c>
      <c r="O75" s="57">
        <v>46266.694398148145</v>
      </c>
      <c r="P75" s="57">
        <v>46266.695844907408</v>
      </c>
      <c r="Q75">
        <v>69381751</v>
      </c>
      <c r="S75">
        <v>152701239122</v>
      </c>
      <c r="T75" t="s">
        <v>987</v>
      </c>
      <c r="U75" t="s">
        <v>1353</v>
      </c>
      <c r="V75" t="s">
        <v>1354</v>
      </c>
      <c r="Z75">
        <v>112.62572400000001</v>
      </c>
      <c r="AA75">
        <v>-7.9933690000000004</v>
      </c>
      <c r="AB75" t="s">
        <v>1355</v>
      </c>
      <c r="AC75" t="s">
        <v>236</v>
      </c>
      <c r="AL75" t="s">
        <v>217</v>
      </c>
      <c r="AM75" t="s">
        <v>1061</v>
      </c>
      <c r="AN75" t="s">
        <v>6</v>
      </c>
      <c r="AO75" s="57">
        <v>46031.704814814817</v>
      </c>
      <c r="AP75" s="57">
        <v>46267.541666666664</v>
      </c>
      <c r="AR75" t="s">
        <v>240</v>
      </c>
      <c r="AS75" t="s">
        <v>248</v>
      </c>
      <c r="AT75" t="s">
        <v>230</v>
      </c>
      <c r="AV75" t="s">
        <v>239</v>
      </c>
      <c r="AW75" t="s">
        <v>885</v>
      </c>
      <c r="AX75" t="s">
        <v>222</v>
      </c>
      <c r="BA75" s="57">
        <v>46267.541666666664</v>
      </c>
      <c r="BB75" t="s">
        <v>1061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MALANG</v>
      </c>
    </row>
    <row r="76" spans="1:61">
      <c r="A76">
        <v>75</v>
      </c>
      <c r="B76">
        <v>1002566131</v>
      </c>
      <c r="C76">
        <v>3</v>
      </c>
      <c r="D76" t="s">
        <v>59</v>
      </c>
      <c r="E76">
        <v>4</v>
      </c>
      <c r="F76" t="s">
        <v>223</v>
      </c>
      <c r="G76" t="s">
        <v>580</v>
      </c>
      <c r="H76" t="s">
        <v>843</v>
      </c>
      <c r="I76" t="s">
        <v>212</v>
      </c>
      <c r="J76" t="s">
        <v>213</v>
      </c>
      <c r="K76" t="s">
        <v>149</v>
      </c>
      <c r="L76" t="s">
        <v>214</v>
      </c>
      <c r="M76" t="s">
        <v>239</v>
      </c>
      <c r="N76" t="s">
        <v>215</v>
      </c>
      <c r="O76" s="57">
        <v>46266.667326388888</v>
      </c>
      <c r="P76" s="57">
        <v>46266.668067129627</v>
      </c>
      <c r="Q76">
        <v>69381726</v>
      </c>
      <c r="S76">
        <v>141362105347</v>
      </c>
      <c r="T76" t="s">
        <v>1356</v>
      </c>
      <c r="U76" t="s">
        <v>1357</v>
      </c>
      <c r="V76" t="s">
        <v>1358</v>
      </c>
      <c r="Z76">
        <v>109.0269304</v>
      </c>
      <c r="AA76">
        <v>-7.6734384000000002</v>
      </c>
      <c r="AB76" t="s">
        <v>1359</v>
      </c>
      <c r="AC76" t="s">
        <v>236</v>
      </c>
      <c r="AL76" t="s">
        <v>217</v>
      </c>
      <c r="AM76" t="s">
        <v>1360</v>
      </c>
      <c r="AN76" t="s">
        <v>6</v>
      </c>
      <c r="AO76" s="57">
        <v>46031.673645833333</v>
      </c>
      <c r="AP76" s="57">
        <v>46272.333333333336</v>
      </c>
      <c r="AR76" t="s">
        <v>240</v>
      </c>
      <c r="AS76" t="s">
        <v>219</v>
      </c>
      <c r="AT76" t="s">
        <v>230</v>
      </c>
      <c r="AV76" t="s">
        <v>239</v>
      </c>
      <c r="AW76" t="s">
        <v>892</v>
      </c>
      <c r="AX76" t="s">
        <v>222</v>
      </c>
      <c r="BA76" s="57">
        <v>46272.333333333336</v>
      </c>
      <c r="BB76" t="s">
        <v>1360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>
      <c r="A77">
        <v>76</v>
      </c>
      <c r="B77">
        <v>1002566159</v>
      </c>
      <c r="C77">
        <v>3</v>
      </c>
      <c r="D77" t="s">
        <v>51</v>
      </c>
      <c r="E77">
        <v>4</v>
      </c>
      <c r="F77" t="s">
        <v>234</v>
      </c>
      <c r="G77" t="s">
        <v>562</v>
      </c>
      <c r="H77" t="s">
        <v>854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46266.671481481484</v>
      </c>
      <c r="P77" s="57">
        <v>46266.672233796293</v>
      </c>
      <c r="Q77">
        <v>69381707</v>
      </c>
      <c r="S77">
        <v>142566103560</v>
      </c>
      <c r="T77" t="s">
        <v>1361</v>
      </c>
      <c r="U77" t="s">
        <v>977</v>
      </c>
      <c r="V77" t="s">
        <v>1362</v>
      </c>
      <c r="Z77">
        <v>110.80564149999999</v>
      </c>
      <c r="AA77">
        <v>-7.4641721999999904</v>
      </c>
      <c r="AB77" t="s">
        <v>1363</v>
      </c>
      <c r="AC77" t="s">
        <v>236</v>
      </c>
      <c r="AL77" t="s">
        <v>217</v>
      </c>
      <c r="AM77" t="s">
        <v>1364</v>
      </c>
      <c r="AN77" t="s">
        <v>6</v>
      </c>
      <c r="AO77" s="57">
        <v>46031.673645833333</v>
      </c>
      <c r="AP77" s="57">
        <v>46269.333333333336</v>
      </c>
      <c r="AR77" t="s">
        <v>240</v>
      </c>
      <c r="AS77" t="s">
        <v>915</v>
      </c>
      <c r="AT77" t="s">
        <v>230</v>
      </c>
      <c r="AV77" t="s">
        <v>239</v>
      </c>
      <c r="AW77" t="s">
        <v>537</v>
      </c>
      <c r="AX77" t="s">
        <v>222</v>
      </c>
      <c r="BA77" s="57">
        <v>46269.333333333336</v>
      </c>
      <c r="BB77" t="s">
        <v>1364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1002564718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268</v>
      </c>
      <c r="I78" t="s">
        <v>212</v>
      </c>
      <c r="J78" t="s">
        <v>213</v>
      </c>
      <c r="K78" t="s">
        <v>149</v>
      </c>
      <c r="M78" t="s">
        <v>1365</v>
      </c>
      <c r="N78" t="s">
        <v>215</v>
      </c>
      <c r="O78" s="57">
        <v>46266.435694444444</v>
      </c>
      <c r="P78" s="57">
        <v>46266.837511574071</v>
      </c>
      <c r="Q78">
        <v>69381301</v>
      </c>
      <c r="S78">
        <v>172604214258</v>
      </c>
      <c r="T78" t="s">
        <v>925</v>
      </c>
      <c r="U78" t="s">
        <v>926</v>
      </c>
      <c r="Z78">
        <v>116.171097</v>
      </c>
      <c r="AA78">
        <v>-8.3577429999999993</v>
      </c>
      <c r="AB78" t="s">
        <v>927</v>
      </c>
      <c r="AC78" t="s">
        <v>285</v>
      </c>
      <c r="AO78" s="57">
        <v>46031.444409722222</v>
      </c>
      <c r="AR78" t="s">
        <v>5</v>
      </c>
      <c r="AS78" t="s">
        <v>913</v>
      </c>
      <c r="AT78" t="s">
        <v>220</v>
      </c>
      <c r="AV78" t="s">
        <v>1365</v>
      </c>
      <c r="AW78" t="s">
        <v>545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1002564380</v>
      </c>
      <c r="C79">
        <v>3</v>
      </c>
      <c r="D79" t="s">
        <v>59</v>
      </c>
      <c r="E79">
        <v>4</v>
      </c>
      <c r="F79" t="s">
        <v>549</v>
      </c>
      <c r="G79" t="s">
        <v>582</v>
      </c>
      <c r="H79" t="s">
        <v>835</v>
      </c>
      <c r="I79" t="s">
        <v>212</v>
      </c>
      <c r="J79" t="s">
        <v>213</v>
      </c>
      <c r="K79" t="s">
        <v>149</v>
      </c>
      <c r="M79" t="s">
        <v>576</v>
      </c>
      <c r="N79" t="s">
        <v>581</v>
      </c>
      <c r="O79" s="57">
        <v>46266.394189814811</v>
      </c>
      <c r="P79" s="57">
        <v>46266.633159722223</v>
      </c>
      <c r="Q79">
        <v>69381235</v>
      </c>
      <c r="R79">
        <v>2745059207</v>
      </c>
      <c r="S79">
        <v>146113146852</v>
      </c>
      <c r="T79" t="s">
        <v>1039</v>
      </c>
      <c r="U79" t="s">
        <v>1366</v>
      </c>
      <c r="Z79">
        <v>110.3923393</v>
      </c>
      <c r="AA79">
        <v>-7.7757098999999998</v>
      </c>
      <c r="AB79" t="s">
        <v>1367</v>
      </c>
      <c r="AC79" t="s">
        <v>587</v>
      </c>
      <c r="AO79" s="57">
        <v>46031.402905092589</v>
      </c>
      <c r="AR79" t="s">
        <v>5</v>
      </c>
      <c r="AS79" t="s">
        <v>219</v>
      </c>
      <c r="AT79" t="s">
        <v>230</v>
      </c>
      <c r="AV79" t="s">
        <v>1368</v>
      </c>
      <c r="AW79" t="s">
        <v>545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1002564622</v>
      </c>
      <c r="C80">
        <v>3</v>
      </c>
      <c r="D80" t="s">
        <v>51</v>
      </c>
      <c r="E80">
        <v>4</v>
      </c>
      <c r="F80" t="s">
        <v>234</v>
      </c>
      <c r="G80" t="s">
        <v>562</v>
      </c>
      <c r="H80" t="s">
        <v>854</v>
      </c>
      <c r="I80" t="s">
        <v>212</v>
      </c>
      <c r="J80" t="s">
        <v>213</v>
      </c>
      <c r="K80" t="s">
        <v>149</v>
      </c>
      <c r="M80" t="s">
        <v>576</v>
      </c>
      <c r="N80" t="s">
        <v>215</v>
      </c>
      <c r="O80" s="57">
        <v>46266.422314814816</v>
      </c>
      <c r="P80" s="57">
        <v>46266.46539351852</v>
      </c>
      <c r="Q80">
        <v>69381275</v>
      </c>
      <c r="S80">
        <v>142566103551</v>
      </c>
      <c r="T80" t="s">
        <v>1369</v>
      </c>
      <c r="U80" t="s">
        <v>1370</v>
      </c>
      <c r="Z80">
        <v>110.824930932249</v>
      </c>
      <c r="AA80">
        <v>-7.5263678689673599</v>
      </c>
      <c r="AB80" t="s">
        <v>1371</v>
      </c>
      <c r="AC80" t="s">
        <v>285</v>
      </c>
      <c r="AO80" s="57">
        <v>46031.423645833333</v>
      </c>
      <c r="AR80" t="s">
        <v>5</v>
      </c>
      <c r="AS80" t="s">
        <v>915</v>
      </c>
      <c r="AT80" t="s">
        <v>230</v>
      </c>
      <c r="AV80" t="s">
        <v>1372</v>
      </c>
      <c r="AW80" t="s">
        <v>545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1002564623</v>
      </c>
      <c r="C81">
        <v>3</v>
      </c>
      <c r="D81" t="s">
        <v>38</v>
      </c>
      <c r="E81">
        <v>5</v>
      </c>
      <c r="F81" t="s">
        <v>90</v>
      </c>
      <c r="G81" t="s">
        <v>88</v>
      </c>
      <c r="H81" t="s">
        <v>505</v>
      </c>
      <c r="I81" t="s">
        <v>212</v>
      </c>
      <c r="J81" t="s">
        <v>213</v>
      </c>
      <c r="K81" t="s">
        <v>149</v>
      </c>
      <c r="L81" t="s">
        <v>214</v>
      </c>
      <c r="M81" t="s">
        <v>280</v>
      </c>
      <c r="N81" t="s">
        <v>215</v>
      </c>
      <c r="O81" s="57">
        <v>46266.421481481484</v>
      </c>
      <c r="P81" s="57">
        <v>46267.224027777775</v>
      </c>
      <c r="Q81">
        <v>69381290</v>
      </c>
      <c r="S81">
        <v>152735209385</v>
      </c>
      <c r="T81" t="s">
        <v>1373</v>
      </c>
      <c r="U81" t="s">
        <v>1374</v>
      </c>
      <c r="V81" t="s">
        <v>1375</v>
      </c>
      <c r="Z81">
        <v>112.252102531492</v>
      </c>
      <c r="AA81">
        <v>-8.0182332173502093</v>
      </c>
      <c r="AB81" t="s">
        <v>1376</v>
      </c>
      <c r="AC81" t="s">
        <v>216</v>
      </c>
      <c r="AL81" t="s">
        <v>217</v>
      </c>
      <c r="AM81" t="s">
        <v>1377</v>
      </c>
      <c r="AN81" t="s">
        <v>6</v>
      </c>
      <c r="AO81" s="57">
        <v>46031.423645833333</v>
      </c>
      <c r="AP81" s="57">
        <v>46267.333333333336</v>
      </c>
      <c r="AR81" t="s">
        <v>240</v>
      </c>
      <c r="AS81" t="s">
        <v>558</v>
      </c>
      <c r="AT81" t="s">
        <v>230</v>
      </c>
      <c r="AV81" t="s">
        <v>826</v>
      </c>
      <c r="AW81" t="s">
        <v>887</v>
      </c>
      <c r="AX81" t="s">
        <v>222</v>
      </c>
      <c r="BA81" s="57">
        <v>46267.333333333336</v>
      </c>
      <c r="BB81" t="s">
        <v>1377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BLITAR</v>
      </c>
    </row>
    <row r="82" spans="1:61">
      <c r="A82">
        <v>81</v>
      </c>
      <c r="B82">
        <v>1002564024</v>
      </c>
      <c r="C82">
        <v>3</v>
      </c>
      <c r="D82" t="s">
        <v>55</v>
      </c>
      <c r="E82">
        <v>5</v>
      </c>
      <c r="F82" t="s">
        <v>227</v>
      </c>
      <c r="G82" t="s">
        <v>121</v>
      </c>
      <c r="H82" t="s">
        <v>278</v>
      </c>
      <c r="I82" t="s">
        <v>212</v>
      </c>
      <c r="J82" t="s">
        <v>213</v>
      </c>
      <c r="K82" t="s">
        <v>149</v>
      </c>
      <c r="L82" t="s">
        <v>214</v>
      </c>
      <c r="M82" t="s">
        <v>280</v>
      </c>
      <c r="N82" t="s">
        <v>215</v>
      </c>
      <c r="O82" s="57">
        <v>46266.3124537037</v>
      </c>
      <c r="P82" s="57">
        <v>46266.748344907406</v>
      </c>
      <c r="Q82">
        <v>69381131</v>
      </c>
      <c r="S82">
        <v>152437905734</v>
      </c>
      <c r="T82" t="s">
        <v>1378</v>
      </c>
      <c r="U82" t="s">
        <v>1379</v>
      </c>
      <c r="V82" t="s">
        <v>1380</v>
      </c>
      <c r="Z82">
        <v>113.276343941688</v>
      </c>
      <c r="AA82">
        <v>-6.9417270909104403</v>
      </c>
      <c r="AB82" t="s">
        <v>1381</v>
      </c>
      <c r="AC82" t="s">
        <v>216</v>
      </c>
      <c r="AL82" t="s">
        <v>217</v>
      </c>
      <c r="AM82" t="s">
        <v>1382</v>
      </c>
      <c r="AN82" t="s">
        <v>6</v>
      </c>
      <c r="AO82" s="57">
        <v>46031.319398148145</v>
      </c>
      <c r="AP82" s="57">
        <v>46267.333333333336</v>
      </c>
      <c r="AR82" t="s">
        <v>240</v>
      </c>
      <c r="AS82" t="s">
        <v>219</v>
      </c>
      <c r="AT82" t="s">
        <v>220</v>
      </c>
      <c r="AV82" t="s">
        <v>826</v>
      </c>
      <c r="AW82" t="s">
        <v>833</v>
      </c>
      <c r="AX82" t="s">
        <v>222</v>
      </c>
      <c r="BA82" s="57">
        <v>46267.333333333336</v>
      </c>
      <c r="BB82" t="s">
        <v>1382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MADURA</v>
      </c>
    </row>
    <row r="83" spans="1:61">
      <c r="A83">
        <v>82</v>
      </c>
      <c r="B83">
        <v>1002564429</v>
      </c>
      <c r="C83">
        <v>3</v>
      </c>
      <c r="D83" t="s">
        <v>55</v>
      </c>
      <c r="E83">
        <v>5</v>
      </c>
      <c r="F83" t="s">
        <v>307</v>
      </c>
      <c r="G83" t="s">
        <v>124</v>
      </c>
      <c r="H83" t="s">
        <v>329</v>
      </c>
      <c r="I83" t="s">
        <v>212</v>
      </c>
      <c r="J83" t="s">
        <v>213</v>
      </c>
      <c r="K83" t="s">
        <v>149</v>
      </c>
      <c r="L83" t="s">
        <v>214</v>
      </c>
      <c r="M83" t="s">
        <v>280</v>
      </c>
      <c r="N83" t="s">
        <v>215</v>
      </c>
      <c r="O83" s="57">
        <v>46266.397893518515</v>
      </c>
      <c r="P83" s="57">
        <v>46266.749803240738</v>
      </c>
      <c r="Q83">
        <v>69381217</v>
      </c>
      <c r="S83">
        <v>152306253338</v>
      </c>
      <c r="T83" t="s">
        <v>1383</v>
      </c>
      <c r="U83" t="s">
        <v>1384</v>
      </c>
      <c r="V83" t="s">
        <v>1385</v>
      </c>
      <c r="Z83">
        <v>112.7257608</v>
      </c>
      <c r="AA83">
        <v>-7.3288592999999898</v>
      </c>
      <c r="AB83" t="s">
        <v>1386</v>
      </c>
      <c r="AC83" t="s">
        <v>216</v>
      </c>
      <c r="AL83" t="s">
        <v>217</v>
      </c>
      <c r="AM83" t="s">
        <v>1387</v>
      </c>
      <c r="AN83" t="s">
        <v>6</v>
      </c>
      <c r="AO83" s="57">
        <v>46031.402905092589</v>
      </c>
      <c r="AP83" s="57">
        <v>46267.333333333336</v>
      </c>
      <c r="AR83" t="s">
        <v>240</v>
      </c>
      <c r="AS83" t="s">
        <v>918</v>
      </c>
      <c r="AT83" t="s">
        <v>230</v>
      </c>
      <c r="AV83" t="s">
        <v>826</v>
      </c>
      <c r="AW83" t="s">
        <v>885</v>
      </c>
      <c r="AX83" t="s">
        <v>222</v>
      </c>
      <c r="BA83" s="57">
        <v>46267.333333333336</v>
      </c>
      <c r="BB83" t="s">
        <v>1387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SURABAYA SELATAN</v>
      </c>
    </row>
    <row r="84" spans="1:61">
      <c r="A84">
        <v>83</v>
      </c>
      <c r="B84">
        <v>1002564716</v>
      </c>
      <c r="C84">
        <v>3</v>
      </c>
      <c r="D84" t="s">
        <v>55</v>
      </c>
      <c r="E84">
        <v>5</v>
      </c>
      <c r="F84" t="s">
        <v>227</v>
      </c>
      <c r="G84" t="s">
        <v>121</v>
      </c>
      <c r="H84" t="s">
        <v>437</v>
      </c>
      <c r="I84" t="s">
        <v>212</v>
      </c>
      <c r="J84" t="s">
        <v>213</v>
      </c>
      <c r="K84" t="s">
        <v>149</v>
      </c>
      <c r="L84" t="s">
        <v>214</v>
      </c>
      <c r="M84" t="s">
        <v>280</v>
      </c>
      <c r="N84" t="s">
        <v>215</v>
      </c>
      <c r="O84" s="57">
        <v>46266.434004629627</v>
      </c>
      <c r="P84" s="57">
        <v>46266.749120370368</v>
      </c>
      <c r="Q84">
        <v>69381300</v>
      </c>
      <c r="S84">
        <v>152438901086</v>
      </c>
      <c r="T84" t="s">
        <v>1388</v>
      </c>
      <c r="U84" t="s">
        <v>1389</v>
      </c>
      <c r="V84" t="s">
        <v>1390</v>
      </c>
      <c r="Z84">
        <v>113.35420712828601</v>
      </c>
      <c r="AA84">
        <v>-7.0510811103671998</v>
      </c>
      <c r="AB84" t="s">
        <v>1391</v>
      </c>
      <c r="AC84" t="s">
        <v>216</v>
      </c>
      <c r="AL84" t="s">
        <v>217</v>
      </c>
      <c r="AM84" t="s">
        <v>1392</v>
      </c>
      <c r="AN84" t="s">
        <v>6</v>
      </c>
      <c r="AO84" s="57">
        <v>46031.444409722222</v>
      </c>
      <c r="AP84" s="57">
        <v>46267.333333333336</v>
      </c>
      <c r="AR84" t="s">
        <v>240</v>
      </c>
      <c r="AS84" t="s">
        <v>219</v>
      </c>
      <c r="AT84" t="s">
        <v>220</v>
      </c>
      <c r="AV84" t="s">
        <v>826</v>
      </c>
      <c r="AW84" t="s">
        <v>833</v>
      </c>
      <c r="AX84" t="s">
        <v>222</v>
      </c>
      <c r="BA84" s="57">
        <v>46267.333333333336</v>
      </c>
      <c r="BB84" t="s">
        <v>1392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MADURA</v>
      </c>
    </row>
    <row r="85" spans="1:61">
      <c r="A85">
        <v>84</v>
      </c>
      <c r="B85">
        <v>1002564914</v>
      </c>
      <c r="C85">
        <v>3</v>
      </c>
      <c r="D85" t="s">
        <v>38</v>
      </c>
      <c r="E85">
        <v>5</v>
      </c>
      <c r="F85" t="s">
        <v>248</v>
      </c>
      <c r="G85" t="s">
        <v>87</v>
      </c>
      <c r="H85" t="s">
        <v>354</v>
      </c>
      <c r="I85" t="s">
        <v>212</v>
      </c>
      <c r="J85" t="s">
        <v>213</v>
      </c>
      <c r="K85" t="s">
        <v>149</v>
      </c>
      <c r="L85" t="s">
        <v>214</v>
      </c>
      <c r="M85" t="s">
        <v>280</v>
      </c>
      <c r="N85" t="s">
        <v>215</v>
      </c>
      <c r="O85" s="57">
        <v>46266.460381944446</v>
      </c>
      <c r="P85" s="57">
        <v>46267.224317129629</v>
      </c>
      <c r="Q85">
        <v>69381356</v>
      </c>
      <c r="S85">
        <v>152707239342</v>
      </c>
      <c r="T85" t="s">
        <v>1393</v>
      </c>
      <c r="U85" t="s">
        <v>1394</v>
      </c>
      <c r="V85" t="s">
        <v>1395</v>
      </c>
      <c r="Z85">
        <v>112.49473817646501</v>
      </c>
      <c r="AA85">
        <v>-7.86437651417857</v>
      </c>
      <c r="AB85" t="s">
        <v>1396</v>
      </c>
      <c r="AC85" t="s">
        <v>216</v>
      </c>
      <c r="AL85" t="s">
        <v>217</v>
      </c>
      <c r="AM85" t="s">
        <v>1326</v>
      </c>
      <c r="AN85" t="s">
        <v>6</v>
      </c>
      <c r="AO85" s="57">
        <v>46031.465405092589</v>
      </c>
      <c r="AP85" s="57">
        <v>46267.333333333336</v>
      </c>
      <c r="AR85" t="s">
        <v>240</v>
      </c>
      <c r="AS85" t="s">
        <v>87</v>
      </c>
      <c r="AT85" t="s">
        <v>230</v>
      </c>
      <c r="AV85" t="s">
        <v>826</v>
      </c>
      <c r="AW85" t="s">
        <v>887</v>
      </c>
      <c r="AX85" t="s">
        <v>222</v>
      </c>
      <c r="BA85" s="57">
        <v>46267.333333333336</v>
      </c>
      <c r="BB85" t="s">
        <v>1326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BATU</v>
      </c>
    </row>
    <row r="86" spans="1:61">
      <c r="A86">
        <v>85</v>
      </c>
      <c r="B86">
        <v>1002565040</v>
      </c>
      <c r="C86">
        <v>3</v>
      </c>
      <c r="D86" t="s">
        <v>55</v>
      </c>
      <c r="E86">
        <v>5</v>
      </c>
      <c r="F86" t="s">
        <v>261</v>
      </c>
      <c r="G86" t="s">
        <v>125</v>
      </c>
      <c r="H86" t="s">
        <v>325</v>
      </c>
      <c r="I86" t="s">
        <v>212</v>
      </c>
      <c r="J86" t="s">
        <v>213</v>
      </c>
      <c r="K86" t="s">
        <v>149</v>
      </c>
      <c r="L86" t="s">
        <v>214</v>
      </c>
      <c r="M86" t="s">
        <v>280</v>
      </c>
      <c r="N86" t="s">
        <v>215</v>
      </c>
      <c r="O86" s="57">
        <v>46266.475659722222</v>
      </c>
      <c r="P86" s="57">
        <v>46266.654953703706</v>
      </c>
      <c r="Q86">
        <v>69381406</v>
      </c>
      <c r="S86">
        <v>152441211655</v>
      </c>
      <c r="T86" t="s">
        <v>1397</v>
      </c>
      <c r="U86" t="s">
        <v>1398</v>
      </c>
      <c r="V86" t="s">
        <v>1399</v>
      </c>
      <c r="Z86">
        <v>112.11121078580599</v>
      </c>
      <c r="AA86">
        <v>-7.3444968945577296</v>
      </c>
      <c r="AB86" t="s">
        <v>1400</v>
      </c>
      <c r="AC86" t="s">
        <v>216</v>
      </c>
      <c r="AL86" t="s">
        <v>217</v>
      </c>
      <c r="AM86" t="s">
        <v>1382</v>
      </c>
      <c r="AN86" t="s">
        <v>6</v>
      </c>
      <c r="AO86" s="57">
        <v>46031.48609953704</v>
      </c>
      <c r="AP86" s="57">
        <v>46267.333333333336</v>
      </c>
      <c r="AR86" t="s">
        <v>240</v>
      </c>
      <c r="AS86" t="s">
        <v>219</v>
      </c>
      <c r="AT86" t="s">
        <v>230</v>
      </c>
      <c r="AV86" t="s">
        <v>826</v>
      </c>
      <c r="AW86" t="s">
        <v>883</v>
      </c>
      <c r="AX86" t="s">
        <v>222</v>
      </c>
      <c r="BA86" s="57">
        <v>46267.333333333336</v>
      </c>
      <c r="BB86" t="s">
        <v>1382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GRESIK</v>
      </c>
    </row>
    <row r="87" spans="1:61">
      <c r="A87">
        <v>86</v>
      </c>
      <c r="B87">
        <v>1002565180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224</v>
      </c>
      <c r="N87" t="s">
        <v>215</v>
      </c>
      <c r="O87" s="57">
        <v>46266.501782407409</v>
      </c>
      <c r="P87" s="57">
        <v>46266.50608796296</v>
      </c>
      <c r="Q87">
        <v>69378774</v>
      </c>
      <c r="S87">
        <v>172603791812</v>
      </c>
      <c r="T87" t="s">
        <v>1022</v>
      </c>
      <c r="U87" t="s">
        <v>1401</v>
      </c>
      <c r="V87" t="s">
        <v>1402</v>
      </c>
      <c r="Z87">
        <v>116.28367710000001</v>
      </c>
      <c r="AA87">
        <v>-8.8907635000000003</v>
      </c>
      <c r="AB87" t="s">
        <v>1023</v>
      </c>
      <c r="AC87" t="s">
        <v>216</v>
      </c>
      <c r="AL87" t="s">
        <v>217</v>
      </c>
      <c r="AM87" t="s">
        <v>1403</v>
      </c>
      <c r="AN87" t="s">
        <v>6</v>
      </c>
      <c r="AO87" s="57">
        <v>46031.506874999999</v>
      </c>
      <c r="AR87" t="s">
        <v>18</v>
      </c>
      <c r="AS87" t="s">
        <v>902</v>
      </c>
      <c r="AT87" t="s">
        <v>230</v>
      </c>
      <c r="AV87" t="s">
        <v>226</v>
      </c>
      <c r="AW87" t="s">
        <v>545</v>
      </c>
      <c r="AX87" t="s">
        <v>222</v>
      </c>
      <c r="BA87" s="57">
        <v>46266.291666666664</v>
      </c>
      <c r="BB87" t="s">
        <v>1403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1002566045</v>
      </c>
      <c r="C88">
        <v>3</v>
      </c>
      <c r="D88" t="s">
        <v>51</v>
      </c>
      <c r="E88">
        <v>4</v>
      </c>
      <c r="F88" t="s">
        <v>269</v>
      </c>
      <c r="G88" t="s">
        <v>269</v>
      </c>
      <c r="H88" t="s">
        <v>839</v>
      </c>
      <c r="I88" t="s">
        <v>212</v>
      </c>
      <c r="J88" t="s">
        <v>213</v>
      </c>
      <c r="K88" t="s">
        <v>149</v>
      </c>
      <c r="M88" t="s">
        <v>256</v>
      </c>
      <c r="N88" t="s">
        <v>215</v>
      </c>
      <c r="O88" s="57">
        <v>46266.655324074076</v>
      </c>
      <c r="P88" s="57">
        <v>46266.666076388887</v>
      </c>
      <c r="Q88">
        <v>69376231</v>
      </c>
      <c r="S88">
        <v>142401146170</v>
      </c>
      <c r="T88" t="s">
        <v>947</v>
      </c>
      <c r="U88" t="s">
        <v>1404</v>
      </c>
      <c r="V88" t="s">
        <v>1405</v>
      </c>
      <c r="Z88">
        <v>110.85576696</v>
      </c>
      <c r="AA88">
        <v>-6.7977829779999999</v>
      </c>
      <c r="AB88" t="s">
        <v>948</v>
      </c>
      <c r="AC88" t="s">
        <v>284</v>
      </c>
      <c r="AL88" t="s">
        <v>217</v>
      </c>
      <c r="AM88" t="s">
        <v>1406</v>
      </c>
      <c r="AN88" t="s">
        <v>6</v>
      </c>
      <c r="AO88" s="57">
        <v>46031.663206018522</v>
      </c>
      <c r="AR88" t="s">
        <v>257</v>
      </c>
      <c r="AS88" t="s">
        <v>219</v>
      </c>
      <c r="AT88" t="s">
        <v>230</v>
      </c>
      <c r="AV88" t="s">
        <v>258</v>
      </c>
      <c r="AW88" t="s">
        <v>572</v>
      </c>
      <c r="AX88" t="s">
        <v>222</v>
      </c>
      <c r="BA88" s="57">
        <v>46266.291666666664</v>
      </c>
      <c r="BB88" t="s">
        <v>1406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1002565668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243</v>
      </c>
      <c r="I89" t="s">
        <v>212</v>
      </c>
      <c r="J89" t="s">
        <v>213</v>
      </c>
      <c r="K89" t="s">
        <v>149</v>
      </c>
      <c r="M89" t="s">
        <v>256</v>
      </c>
      <c r="N89" t="s">
        <v>215</v>
      </c>
      <c r="O89" s="57">
        <v>46266.603182870371</v>
      </c>
      <c r="P89" s="57">
        <v>46266.635312500002</v>
      </c>
      <c r="Q89">
        <v>69375489</v>
      </c>
      <c r="S89">
        <v>172605804340</v>
      </c>
      <c r="T89" t="s">
        <v>949</v>
      </c>
      <c r="U89" t="s">
        <v>1407</v>
      </c>
      <c r="V89" t="s">
        <v>1408</v>
      </c>
      <c r="Z89">
        <v>116.149145</v>
      </c>
      <c r="AA89">
        <v>-8.6191750000000003</v>
      </c>
      <c r="AB89" t="s">
        <v>950</v>
      </c>
      <c r="AC89" t="s">
        <v>284</v>
      </c>
      <c r="AL89" t="s">
        <v>217</v>
      </c>
      <c r="AM89" t="s">
        <v>1409</v>
      </c>
      <c r="AN89" t="s">
        <v>6</v>
      </c>
      <c r="AO89" s="57">
        <v>46031.611076388886</v>
      </c>
      <c r="AR89" t="s">
        <v>257</v>
      </c>
      <c r="AS89" t="s">
        <v>219</v>
      </c>
      <c r="AT89" t="s">
        <v>230</v>
      </c>
      <c r="AV89" t="s">
        <v>258</v>
      </c>
      <c r="AW89" t="s">
        <v>546</v>
      </c>
      <c r="AX89" t="s">
        <v>222</v>
      </c>
      <c r="BA89" s="57">
        <v>46266.291666666664</v>
      </c>
      <c r="BB89" t="s">
        <v>1409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MATARAM</v>
      </c>
    </row>
    <row r="90" spans="1:61">
      <c r="A90">
        <v>89</v>
      </c>
      <c r="B90">
        <v>1002564898</v>
      </c>
      <c r="C90">
        <v>3</v>
      </c>
      <c r="D90" t="s">
        <v>34</v>
      </c>
      <c r="E90">
        <v>5</v>
      </c>
      <c r="F90" t="s">
        <v>554</v>
      </c>
      <c r="G90" t="s">
        <v>79</v>
      </c>
      <c r="H90" t="s">
        <v>282</v>
      </c>
      <c r="I90" t="s">
        <v>212</v>
      </c>
      <c r="J90" t="s">
        <v>213</v>
      </c>
      <c r="K90" t="s">
        <v>149</v>
      </c>
      <c r="M90" t="s">
        <v>256</v>
      </c>
      <c r="N90" t="s">
        <v>215</v>
      </c>
      <c r="O90" s="57">
        <v>46266.45894675926</v>
      </c>
      <c r="P90" s="57">
        <v>46266.471805555557</v>
      </c>
      <c r="Q90">
        <v>69379494</v>
      </c>
      <c r="S90">
        <v>172408248244</v>
      </c>
      <c r="T90" t="s">
        <v>1004</v>
      </c>
      <c r="U90" t="s">
        <v>1410</v>
      </c>
      <c r="V90" t="s">
        <v>1411</v>
      </c>
      <c r="Z90">
        <v>115.302389173123</v>
      </c>
      <c r="AA90">
        <v>-8.4823694597113501</v>
      </c>
      <c r="AB90" t="s">
        <v>1005</v>
      </c>
      <c r="AC90" t="s">
        <v>216</v>
      </c>
      <c r="AL90" t="s">
        <v>217</v>
      </c>
      <c r="AM90" t="s">
        <v>1412</v>
      </c>
      <c r="AN90" t="s">
        <v>6</v>
      </c>
      <c r="AO90" s="57">
        <v>46031.465405092589</v>
      </c>
      <c r="AR90" t="s">
        <v>257</v>
      </c>
      <c r="AS90" t="s">
        <v>609</v>
      </c>
      <c r="AT90" t="s">
        <v>230</v>
      </c>
      <c r="AV90" t="s">
        <v>258</v>
      </c>
      <c r="AW90" t="s">
        <v>571</v>
      </c>
      <c r="AX90" t="s">
        <v>222</v>
      </c>
      <c r="BA90" s="57">
        <v>46266.291666666664</v>
      </c>
      <c r="BB90" t="s">
        <v>1412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GIANYAR</v>
      </c>
    </row>
    <row r="91" spans="1:61">
      <c r="A91">
        <v>90</v>
      </c>
      <c r="B91">
        <v>1002564483</v>
      </c>
      <c r="C91">
        <v>3</v>
      </c>
      <c r="D91" t="s">
        <v>45</v>
      </c>
      <c r="E91">
        <v>5</v>
      </c>
      <c r="F91" t="s">
        <v>210</v>
      </c>
      <c r="G91" t="s">
        <v>110</v>
      </c>
      <c r="H91" t="s">
        <v>247</v>
      </c>
      <c r="I91" t="s">
        <v>212</v>
      </c>
      <c r="J91" t="s">
        <v>213</v>
      </c>
      <c r="K91" t="s">
        <v>149</v>
      </c>
      <c r="M91" t="s">
        <v>256</v>
      </c>
      <c r="N91" t="s">
        <v>215</v>
      </c>
      <c r="O91" s="57">
        <v>46266.406747685185</v>
      </c>
      <c r="P91" s="57">
        <v>46266.489212962966</v>
      </c>
      <c r="Q91">
        <v>69378885</v>
      </c>
      <c r="S91">
        <v>172616802036</v>
      </c>
      <c r="T91" t="s">
        <v>1018</v>
      </c>
      <c r="U91" t="s">
        <v>1413</v>
      </c>
      <c r="V91" t="s">
        <v>1414</v>
      </c>
      <c r="Z91">
        <v>118.7534485</v>
      </c>
      <c r="AA91">
        <v>-8.4804061999999991</v>
      </c>
      <c r="AB91" t="s">
        <v>1019</v>
      </c>
      <c r="AC91" t="s">
        <v>284</v>
      </c>
      <c r="AL91" t="s">
        <v>217</v>
      </c>
      <c r="AM91" t="s">
        <v>1415</v>
      </c>
      <c r="AN91" t="s">
        <v>6</v>
      </c>
      <c r="AO91" s="57">
        <v>46031.413310185184</v>
      </c>
      <c r="AR91" t="s">
        <v>257</v>
      </c>
      <c r="AS91" t="s">
        <v>219</v>
      </c>
      <c r="AT91" t="s">
        <v>220</v>
      </c>
      <c r="AV91" t="s">
        <v>258</v>
      </c>
      <c r="AW91" t="s">
        <v>545</v>
      </c>
      <c r="AX91" t="s">
        <v>222</v>
      </c>
      <c r="BA91" s="57">
        <v>46266.291666666664</v>
      </c>
      <c r="BB91" t="s">
        <v>1415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BIMA</v>
      </c>
    </row>
    <row r="92" spans="1:61">
      <c r="A92">
        <v>91</v>
      </c>
      <c r="B92">
        <v>1002564167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263</v>
      </c>
      <c r="I92" t="s">
        <v>212</v>
      </c>
      <c r="J92" t="s">
        <v>213</v>
      </c>
      <c r="K92" t="s">
        <v>149</v>
      </c>
      <c r="M92" t="s">
        <v>256</v>
      </c>
      <c r="N92" t="s">
        <v>215</v>
      </c>
      <c r="O92" s="57">
        <v>46266.365601851852</v>
      </c>
      <c r="P92" s="57">
        <v>46266.375520833331</v>
      </c>
      <c r="Q92">
        <v>69378690</v>
      </c>
      <c r="S92">
        <v>172601797511</v>
      </c>
      <c r="T92" t="s">
        <v>1020</v>
      </c>
      <c r="U92" t="s">
        <v>1416</v>
      </c>
      <c r="V92" t="s">
        <v>1417</v>
      </c>
      <c r="Z92">
        <v>116.0652328</v>
      </c>
      <c r="AA92">
        <v>-8.5082637000000005</v>
      </c>
      <c r="AB92" t="s">
        <v>1021</v>
      </c>
      <c r="AC92" t="s">
        <v>284</v>
      </c>
      <c r="AL92" t="s">
        <v>217</v>
      </c>
      <c r="AM92" t="s">
        <v>1418</v>
      </c>
      <c r="AN92" t="s">
        <v>6</v>
      </c>
      <c r="AO92" s="57">
        <v>46031.37159722222</v>
      </c>
      <c r="AR92" t="s">
        <v>257</v>
      </c>
      <c r="AS92" t="s">
        <v>219</v>
      </c>
      <c r="AT92" t="s">
        <v>230</v>
      </c>
      <c r="AV92" t="s">
        <v>258</v>
      </c>
      <c r="AW92" t="s">
        <v>545</v>
      </c>
      <c r="AX92" t="s">
        <v>222</v>
      </c>
      <c r="BA92" s="57">
        <v>46266.291666666664</v>
      </c>
      <c r="BB92" t="s">
        <v>1418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MATARAM</v>
      </c>
    </row>
    <row r="93" spans="1:61">
      <c r="A93">
        <v>92</v>
      </c>
      <c r="B93">
        <v>1002565555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M93" t="s">
        <v>256</v>
      </c>
      <c r="N93" t="s">
        <v>215</v>
      </c>
      <c r="O93" s="57">
        <v>46266.586701388886</v>
      </c>
      <c r="P93" s="57">
        <v>46266.605729166666</v>
      </c>
      <c r="Q93">
        <v>69372556</v>
      </c>
      <c r="S93">
        <v>172604214263</v>
      </c>
      <c r="T93" t="s">
        <v>931</v>
      </c>
      <c r="U93" t="s">
        <v>1419</v>
      </c>
      <c r="V93" t="s">
        <v>1420</v>
      </c>
      <c r="Z93">
        <v>116.0288245</v>
      </c>
      <c r="AA93">
        <v>-8.3446458000000003</v>
      </c>
      <c r="AB93" t="s">
        <v>932</v>
      </c>
      <c r="AC93" t="s">
        <v>229</v>
      </c>
      <c r="AL93" t="s">
        <v>217</v>
      </c>
      <c r="AM93" t="s">
        <v>1421</v>
      </c>
      <c r="AN93" t="s">
        <v>6</v>
      </c>
      <c r="AO93" s="57">
        <v>46031.590208333335</v>
      </c>
      <c r="AR93" t="s">
        <v>257</v>
      </c>
      <c r="AS93" t="s">
        <v>913</v>
      </c>
      <c r="AT93" t="s">
        <v>230</v>
      </c>
      <c r="AV93" t="s">
        <v>258</v>
      </c>
      <c r="AW93" t="s">
        <v>567</v>
      </c>
      <c r="AX93" t="s">
        <v>222</v>
      </c>
      <c r="BA93" s="57">
        <v>46266.291666666664</v>
      </c>
      <c r="BB93" t="s">
        <v>1421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1002564112</v>
      </c>
      <c r="C94">
        <v>3</v>
      </c>
      <c r="D94" t="s">
        <v>45</v>
      </c>
      <c r="E94">
        <v>5</v>
      </c>
      <c r="F94" t="s">
        <v>210</v>
      </c>
      <c r="G94" t="s">
        <v>110</v>
      </c>
      <c r="H94" t="s">
        <v>445</v>
      </c>
      <c r="I94" t="s">
        <v>212</v>
      </c>
      <c r="J94" t="s">
        <v>213</v>
      </c>
      <c r="K94" t="s">
        <v>149</v>
      </c>
      <c r="M94" t="s">
        <v>256</v>
      </c>
      <c r="N94" t="s">
        <v>215</v>
      </c>
      <c r="O94" s="57">
        <v>46266.355162037034</v>
      </c>
      <c r="P94" s="57">
        <v>46266.38890046296</v>
      </c>
      <c r="Q94">
        <v>69378707</v>
      </c>
      <c r="S94">
        <v>172610305799</v>
      </c>
      <c r="T94" t="s">
        <v>1010</v>
      </c>
      <c r="U94" t="s">
        <v>1422</v>
      </c>
      <c r="V94" t="s">
        <v>1423</v>
      </c>
      <c r="Z94">
        <v>118.9974441</v>
      </c>
      <c r="AA94">
        <v>-8.5741318</v>
      </c>
      <c r="AB94" t="s">
        <v>1011</v>
      </c>
      <c r="AC94" t="s">
        <v>284</v>
      </c>
      <c r="AL94" t="s">
        <v>217</v>
      </c>
      <c r="AM94" t="s">
        <v>1424</v>
      </c>
      <c r="AN94" t="s">
        <v>6</v>
      </c>
      <c r="AO94" s="57">
        <v>46031.361087962963</v>
      </c>
      <c r="AR94" t="s">
        <v>257</v>
      </c>
      <c r="AS94" t="s">
        <v>916</v>
      </c>
      <c r="AT94" t="s">
        <v>230</v>
      </c>
      <c r="AV94" t="s">
        <v>258</v>
      </c>
      <c r="AW94" t="s">
        <v>545</v>
      </c>
      <c r="AX94" t="s">
        <v>222</v>
      </c>
      <c r="BA94" s="57">
        <v>46266.291666666664</v>
      </c>
      <c r="BB94" t="s">
        <v>1424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BIMA</v>
      </c>
    </row>
    <row r="95" spans="1:61">
      <c r="A95">
        <v>94</v>
      </c>
      <c r="B95">
        <v>1002564319</v>
      </c>
      <c r="C95">
        <v>3</v>
      </c>
      <c r="D95" t="s">
        <v>45</v>
      </c>
      <c r="E95">
        <v>5</v>
      </c>
      <c r="F95" t="s">
        <v>210</v>
      </c>
      <c r="G95" t="s">
        <v>110</v>
      </c>
      <c r="H95" t="s">
        <v>247</v>
      </c>
      <c r="I95" t="s">
        <v>212</v>
      </c>
      <c r="J95" t="s">
        <v>213</v>
      </c>
      <c r="K95" t="s">
        <v>149</v>
      </c>
      <c r="M95" t="s">
        <v>256</v>
      </c>
      <c r="N95" t="s">
        <v>215</v>
      </c>
      <c r="O95" s="57">
        <v>46266.386631944442</v>
      </c>
      <c r="P95" s="57">
        <v>46266.410219907404</v>
      </c>
      <c r="Q95">
        <v>69379683</v>
      </c>
      <c r="S95">
        <v>172616802034</v>
      </c>
      <c r="T95" t="s">
        <v>1006</v>
      </c>
      <c r="U95" t="s">
        <v>1425</v>
      </c>
      <c r="V95" t="s">
        <v>1426</v>
      </c>
      <c r="Z95">
        <v>118.7702972</v>
      </c>
      <c r="AA95">
        <v>-8.4851937</v>
      </c>
      <c r="AB95" t="s">
        <v>1007</v>
      </c>
      <c r="AC95" t="s">
        <v>216</v>
      </c>
      <c r="AL95" t="s">
        <v>217</v>
      </c>
      <c r="AM95" t="s">
        <v>1040</v>
      </c>
      <c r="AN95" t="s">
        <v>6</v>
      </c>
      <c r="AO95" s="57">
        <v>46031.39271990741</v>
      </c>
      <c r="AR95" t="s">
        <v>257</v>
      </c>
      <c r="AS95" t="s">
        <v>219</v>
      </c>
      <c r="AT95" t="s">
        <v>220</v>
      </c>
      <c r="AV95" t="s">
        <v>258</v>
      </c>
      <c r="AW95" t="s">
        <v>598</v>
      </c>
      <c r="AX95" t="s">
        <v>222</v>
      </c>
      <c r="BA95" s="57">
        <v>46266.291666666664</v>
      </c>
      <c r="BB95" t="s">
        <v>1040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BIMA</v>
      </c>
    </row>
    <row r="96" spans="1:61">
      <c r="A96">
        <v>95</v>
      </c>
      <c r="B96">
        <v>1002566447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256</v>
      </c>
      <c r="N96" t="s">
        <v>215</v>
      </c>
      <c r="O96" s="57">
        <v>46266.753981481481</v>
      </c>
      <c r="P96" s="57">
        <v>46266.766932870371</v>
      </c>
      <c r="Q96">
        <v>69379616</v>
      </c>
      <c r="S96">
        <v>172604214265</v>
      </c>
      <c r="T96" t="s">
        <v>980</v>
      </c>
      <c r="U96" t="s">
        <v>1427</v>
      </c>
      <c r="V96" t="s">
        <v>1428</v>
      </c>
      <c r="Z96">
        <v>116.389690409748</v>
      </c>
      <c r="AA96">
        <v>-8.2807747139765802</v>
      </c>
      <c r="AB96" t="s">
        <v>981</v>
      </c>
      <c r="AC96" t="s">
        <v>229</v>
      </c>
      <c r="AL96" t="s">
        <v>217</v>
      </c>
      <c r="AM96" t="s">
        <v>1429</v>
      </c>
      <c r="AN96" t="s">
        <v>6</v>
      </c>
      <c r="AO96" s="57">
        <v>46031.756886574076</v>
      </c>
      <c r="AR96" t="s">
        <v>257</v>
      </c>
      <c r="AS96" t="s">
        <v>913</v>
      </c>
      <c r="AT96" t="s">
        <v>230</v>
      </c>
      <c r="AV96" t="s">
        <v>258</v>
      </c>
      <c r="AW96" t="s">
        <v>546</v>
      </c>
      <c r="AX96" t="s">
        <v>222</v>
      </c>
      <c r="BA96" s="57">
        <v>46266.291666666664</v>
      </c>
      <c r="BB96" t="s">
        <v>1429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1002566415</v>
      </c>
      <c r="C97">
        <v>3</v>
      </c>
      <c r="D97" t="s">
        <v>45</v>
      </c>
      <c r="E97">
        <v>5</v>
      </c>
      <c r="F97" t="s">
        <v>210</v>
      </c>
      <c r="G97" t="s">
        <v>115</v>
      </c>
      <c r="H97" t="s">
        <v>395</v>
      </c>
      <c r="I97" t="s">
        <v>212</v>
      </c>
      <c r="J97" t="s">
        <v>213</v>
      </c>
      <c r="K97" t="s">
        <v>149</v>
      </c>
      <c r="M97" t="s">
        <v>256</v>
      </c>
      <c r="N97" t="s">
        <v>215</v>
      </c>
      <c r="O97" s="57">
        <v>46266.735763888886</v>
      </c>
      <c r="P97" s="57">
        <v>46266.746157407404</v>
      </c>
      <c r="Q97">
        <v>69375993</v>
      </c>
      <c r="S97">
        <v>172602202851</v>
      </c>
      <c r="T97" t="s">
        <v>941</v>
      </c>
      <c r="U97" t="s">
        <v>1430</v>
      </c>
      <c r="V97" t="s">
        <v>1431</v>
      </c>
      <c r="Z97">
        <v>116.07763903</v>
      </c>
      <c r="AA97">
        <v>-8.7333719730000006</v>
      </c>
      <c r="AB97" t="s">
        <v>942</v>
      </c>
      <c r="AC97" t="s">
        <v>216</v>
      </c>
      <c r="AL97" t="s">
        <v>217</v>
      </c>
      <c r="AM97" t="s">
        <v>1432</v>
      </c>
      <c r="AN97" t="s">
        <v>6</v>
      </c>
      <c r="AO97" s="57">
        <v>46031.746469907404</v>
      </c>
      <c r="AR97" t="s">
        <v>257</v>
      </c>
      <c r="AS97" t="s">
        <v>902</v>
      </c>
      <c r="AT97" t="s">
        <v>230</v>
      </c>
      <c r="AV97" t="s">
        <v>258</v>
      </c>
      <c r="AW97" t="s">
        <v>544</v>
      </c>
      <c r="AX97" t="s">
        <v>222</v>
      </c>
      <c r="BA97" s="57">
        <v>46266.291666666664</v>
      </c>
      <c r="BB97" t="s">
        <v>1432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1002564550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243</v>
      </c>
      <c r="I98" t="s">
        <v>212</v>
      </c>
      <c r="J98" t="s">
        <v>213</v>
      </c>
      <c r="K98" t="s">
        <v>149</v>
      </c>
      <c r="L98" t="s">
        <v>214</v>
      </c>
      <c r="M98" t="s">
        <v>547</v>
      </c>
      <c r="N98" t="s">
        <v>215</v>
      </c>
      <c r="O98" s="57">
        <v>46266.411261574074</v>
      </c>
      <c r="P98" s="57">
        <v>46266.411261574074</v>
      </c>
      <c r="Q98">
        <v>69372675</v>
      </c>
      <c r="T98" t="s">
        <v>935</v>
      </c>
      <c r="V98" t="s">
        <v>936</v>
      </c>
      <c r="Z98">
        <v>116.229</v>
      </c>
      <c r="AA98">
        <v>-8.5942000000000007</v>
      </c>
      <c r="AB98" t="s">
        <v>937</v>
      </c>
      <c r="AC98" t="s">
        <v>236</v>
      </c>
      <c r="AL98" t="s">
        <v>217</v>
      </c>
      <c r="AM98" t="s">
        <v>894</v>
      </c>
      <c r="AN98" t="s">
        <v>6</v>
      </c>
      <c r="AO98" s="57">
        <v>46031.413310185184</v>
      </c>
      <c r="AP98" s="57">
        <v>46256</v>
      </c>
      <c r="AR98" t="s">
        <v>548</v>
      </c>
      <c r="AS98" t="s">
        <v>219</v>
      </c>
      <c r="AT98" t="s">
        <v>230</v>
      </c>
      <c r="AV98" t="s">
        <v>1433</v>
      </c>
      <c r="AW98" t="s">
        <v>885</v>
      </c>
      <c r="AX98" t="s">
        <v>222</v>
      </c>
      <c r="BA98" s="57">
        <v>46256.541666666664</v>
      </c>
      <c r="BB98" t="s">
        <v>894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MATARAM</v>
      </c>
    </row>
    <row r="99" spans="1:61">
      <c r="A99">
        <v>98</v>
      </c>
      <c r="B99">
        <v>1002566333</v>
      </c>
      <c r="C99">
        <v>3</v>
      </c>
      <c r="D99" t="s">
        <v>59</v>
      </c>
      <c r="E99">
        <v>4</v>
      </c>
      <c r="F99" t="s">
        <v>549</v>
      </c>
      <c r="G99" t="s">
        <v>850</v>
      </c>
      <c r="H99" t="s">
        <v>851</v>
      </c>
      <c r="I99" t="s">
        <v>212</v>
      </c>
      <c r="J99" t="s">
        <v>213</v>
      </c>
      <c r="K99" t="s">
        <v>149</v>
      </c>
      <c r="L99" t="s">
        <v>214</v>
      </c>
      <c r="M99" t="s">
        <v>547</v>
      </c>
      <c r="N99" t="s">
        <v>215</v>
      </c>
      <c r="O99" s="57">
        <v>46266.70417824074</v>
      </c>
      <c r="P99" s="57">
        <v>46266.704189814816</v>
      </c>
      <c r="Q99">
        <v>69380335</v>
      </c>
      <c r="T99" t="s">
        <v>1031</v>
      </c>
      <c r="V99" t="s">
        <v>1032</v>
      </c>
      <c r="Z99">
        <v>110.74294399999999</v>
      </c>
      <c r="AA99">
        <v>-8.0177610000000001</v>
      </c>
      <c r="AB99" t="s">
        <v>1033</v>
      </c>
      <c r="AC99" t="s">
        <v>236</v>
      </c>
      <c r="AL99" t="s">
        <v>217</v>
      </c>
      <c r="AM99" t="s">
        <v>1034</v>
      </c>
      <c r="AN99" t="s">
        <v>6</v>
      </c>
      <c r="AO99" s="57">
        <v>46031.704814814817</v>
      </c>
      <c r="AP99" s="57">
        <v>46266</v>
      </c>
      <c r="AR99" t="s">
        <v>548</v>
      </c>
      <c r="AS99" t="s">
        <v>904</v>
      </c>
      <c r="AT99" t="s">
        <v>230</v>
      </c>
      <c r="AV99" t="s">
        <v>1434</v>
      </c>
      <c r="AW99" t="s">
        <v>836</v>
      </c>
      <c r="AX99" t="s">
        <v>222</v>
      </c>
      <c r="BA99" s="57">
        <v>46266.625</v>
      </c>
      <c r="BB99" t="s">
        <v>1034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1002566211</v>
      </c>
      <c r="C100">
        <v>3</v>
      </c>
      <c r="D100" t="s">
        <v>34</v>
      </c>
      <c r="E100">
        <v>5</v>
      </c>
      <c r="F100" t="s">
        <v>554</v>
      </c>
      <c r="G100" t="s">
        <v>82</v>
      </c>
      <c r="H100" t="s">
        <v>524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46266.683009259257</v>
      </c>
      <c r="P100" s="57">
        <v>46266.82916666667</v>
      </c>
      <c r="Q100">
        <v>69378772</v>
      </c>
      <c r="S100">
        <v>172404695148</v>
      </c>
      <c r="T100" t="s">
        <v>982</v>
      </c>
      <c r="U100" t="s">
        <v>983</v>
      </c>
      <c r="V100" t="s">
        <v>1435</v>
      </c>
      <c r="Z100">
        <v>115.48593934429501</v>
      </c>
      <c r="AA100">
        <v>-8.5469272829796292</v>
      </c>
      <c r="AB100" t="s">
        <v>984</v>
      </c>
      <c r="AC100" t="s">
        <v>229</v>
      </c>
      <c r="AL100" t="s">
        <v>217</v>
      </c>
      <c r="AM100" t="s">
        <v>1436</v>
      </c>
      <c r="AN100" t="s">
        <v>6</v>
      </c>
      <c r="AO100" s="57">
        <v>46031.684131944443</v>
      </c>
      <c r="AR100" t="s">
        <v>218</v>
      </c>
      <c r="AS100" t="s">
        <v>906</v>
      </c>
      <c r="AT100" t="s">
        <v>230</v>
      </c>
      <c r="AU100">
        <v>20260901</v>
      </c>
      <c r="AV100" t="s">
        <v>221</v>
      </c>
      <c r="AW100" t="s">
        <v>544</v>
      </c>
      <c r="AX100" t="s">
        <v>222</v>
      </c>
      <c r="BA100" s="57">
        <v>46266.291666666664</v>
      </c>
      <c r="BB100" t="s">
        <v>1436</v>
      </c>
      <c r="BC100">
        <v>2026</v>
      </c>
      <c r="BD100">
        <v>9</v>
      </c>
      <c r="BE100">
        <v>1</v>
      </c>
      <c r="BF100" s="6">
        <f t="shared" si="3"/>
        <v>46266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KLUNGKUNG</v>
      </c>
    </row>
    <row r="101" spans="1:61">
      <c r="A101">
        <v>100</v>
      </c>
      <c r="B101">
        <v>1002566005</v>
      </c>
      <c r="C101">
        <v>3</v>
      </c>
      <c r="D101" t="s">
        <v>34</v>
      </c>
      <c r="E101">
        <v>5</v>
      </c>
      <c r="F101" t="s">
        <v>554</v>
      </c>
      <c r="G101" t="s">
        <v>82</v>
      </c>
      <c r="H101" t="s">
        <v>264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46266.650231481479</v>
      </c>
      <c r="P101" s="57">
        <v>46266.695081018515</v>
      </c>
      <c r="Q101">
        <v>69365055</v>
      </c>
      <c r="S101">
        <v>172428816064</v>
      </c>
      <c r="T101" t="s">
        <v>876</v>
      </c>
      <c r="U101" t="s">
        <v>877</v>
      </c>
      <c r="V101" t="s">
        <v>1437</v>
      </c>
      <c r="Z101">
        <v>115.37458475576901</v>
      </c>
      <c r="AA101">
        <v>-8.5684007909099495</v>
      </c>
      <c r="AB101" t="s">
        <v>878</v>
      </c>
      <c r="AC101" t="s">
        <v>229</v>
      </c>
      <c r="AL101" t="s">
        <v>217</v>
      </c>
      <c r="AM101" t="s">
        <v>1438</v>
      </c>
      <c r="AN101" t="s">
        <v>6</v>
      </c>
      <c r="AO101" s="57">
        <v>46031.653344907405</v>
      </c>
      <c r="AR101" t="s">
        <v>218</v>
      </c>
      <c r="AS101" t="s">
        <v>555</v>
      </c>
      <c r="AT101" t="s">
        <v>230</v>
      </c>
      <c r="AU101">
        <v>20260901</v>
      </c>
      <c r="AV101" t="s">
        <v>221</v>
      </c>
      <c r="AW101" t="s">
        <v>553</v>
      </c>
      <c r="AX101" t="s">
        <v>222</v>
      </c>
      <c r="BA101" s="57">
        <v>46266.291666666664</v>
      </c>
      <c r="BB101" t="s">
        <v>1438</v>
      </c>
      <c r="BC101">
        <v>2026</v>
      </c>
      <c r="BD101">
        <v>9</v>
      </c>
      <c r="BE101">
        <v>1</v>
      </c>
      <c r="BF101" s="6">
        <f t="shared" si="3"/>
        <v>46266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KLUNGKUNG</v>
      </c>
    </row>
    <row r="102" spans="1:61">
      <c r="A102">
        <v>101</v>
      </c>
      <c r="B102">
        <v>1002564072</v>
      </c>
      <c r="C102">
        <v>3</v>
      </c>
      <c r="D102" t="s">
        <v>59</v>
      </c>
      <c r="E102">
        <v>4</v>
      </c>
      <c r="F102" t="s">
        <v>223</v>
      </c>
      <c r="G102" t="s">
        <v>223</v>
      </c>
      <c r="H102" t="s">
        <v>845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46266.346446759257</v>
      </c>
      <c r="P102" s="57">
        <v>46266.581354166665</v>
      </c>
      <c r="Q102">
        <v>69380149</v>
      </c>
      <c r="S102">
        <v>143387116898</v>
      </c>
      <c r="T102" t="s">
        <v>978</v>
      </c>
      <c r="U102" t="s">
        <v>1439</v>
      </c>
      <c r="V102" t="s">
        <v>1440</v>
      </c>
      <c r="Z102">
        <v>109.0774661</v>
      </c>
      <c r="AA102">
        <v>-7.4091196000000004</v>
      </c>
      <c r="AB102" t="s">
        <v>979</v>
      </c>
      <c r="AC102" t="s">
        <v>284</v>
      </c>
      <c r="AL102" t="s">
        <v>217</v>
      </c>
      <c r="AM102" t="s">
        <v>1441</v>
      </c>
      <c r="AN102" t="s">
        <v>6</v>
      </c>
      <c r="AO102" s="57">
        <v>46031.350752314815</v>
      </c>
      <c r="AR102" t="s">
        <v>218</v>
      </c>
      <c r="AS102" t="s">
        <v>911</v>
      </c>
      <c r="AT102" t="s">
        <v>230</v>
      </c>
      <c r="AU102">
        <v>20260901</v>
      </c>
      <c r="AV102" t="s">
        <v>221</v>
      </c>
      <c r="AW102" t="s">
        <v>544</v>
      </c>
      <c r="AX102" t="s">
        <v>222</v>
      </c>
      <c r="BA102" s="57">
        <v>46266.291666666664</v>
      </c>
      <c r="BB102" t="s">
        <v>1441</v>
      </c>
      <c r="BC102">
        <v>2026</v>
      </c>
      <c r="BD102">
        <v>9</v>
      </c>
      <c r="BE102">
        <v>1</v>
      </c>
      <c r="BF102" s="6">
        <f t="shared" si="3"/>
        <v>46266</v>
      </c>
      <c r="BG102">
        <f t="shared" si="4"/>
        <v>-0.29166666666424135</v>
      </c>
      <c r="BH102" t="str">
        <f t="shared" si="5"/>
        <v>COMPLY</v>
      </c>
      <c r="BI102" t="e">
        <f>VLOOKUP(H102,Sheet2!$A$1:$B$270,2,FALSE)</f>
        <v>#N/A</v>
      </c>
    </row>
    <row r="103" spans="1:61">
      <c r="A103">
        <v>102</v>
      </c>
      <c r="B103">
        <v>1002564446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346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46266.399953703702</v>
      </c>
      <c r="P103" s="57">
        <v>46266.718854166669</v>
      </c>
      <c r="Q103">
        <v>69381219</v>
      </c>
      <c r="S103">
        <v>152639219540</v>
      </c>
      <c r="T103" t="s">
        <v>1442</v>
      </c>
      <c r="U103" t="s">
        <v>1443</v>
      </c>
      <c r="V103" t="s">
        <v>1444</v>
      </c>
      <c r="Z103">
        <v>112.1908955</v>
      </c>
      <c r="AA103">
        <v>-7.7567621000000004</v>
      </c>
      <c r="AB103" t="s">
        <v>1445</v>
      </c>
      <c r="AC103" t="s">
        <v>216</v>
      </c>
      <c r="AL103" t="s">
        <v>217</v>
      </c>
      <c r="AM103" t="s">
        <v>1446</v>
      </c>
      <c r="AN103" t="s">
        <v>6</v>
      </c>
      <c r="AO103" s="57">
        <v>46031.402905092589</v>
      </c>
      <c r="AP103" s="57">
        <v>46268.333333333336</v>
      </c>
      <c r="AR103" t="s">
        <v>218</v>
      </c>
      <c r="AS103" t="s">
        <v>304</v>
      </c>
      <c r="AT103" t="s">
        <v>230</v>
      </c>
      <c r="AU103">
        <v>20260901</v>
      </c>
      <c r="AV103" t="s">
        <v>221</v>
      </c>
      <c r="AW103" t="s">
        <v>888</v>
      </c>
      <c r="AX103" t="s">
        <v>222</v>
      </c>
      <c r="BA103" s="57">
        <v>46268.333333333336</v>
      </c>
      <c r="BB103" t="s">
        <v>1446</v>
      </c>
      <c r="BC103">
        <v>2026</v>
      </c>
      <c r="BD103">
        <v>9</v>
      </c>
      <c r="BE103">
        <v>1</v>
      </c>
      <c r="BF103" s="6">
        <f t="shared" si="3"/>
        <v>46266</v>
      </c>
      <c r="BG103">
        <f t="shared" si="4"/>
        <v>-2.3333333333357587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1002564395</v>
      </c>
      <c r="C104">
        <v>3</v>
      </c>
      <c r="D104" t="s">
        <v>42</v>
      </c>
      <c r="E104">
        <v>5</v>
      </c>
      <c r="F104" t="s">
        <v>102</v>
      </c>
      <c r="G104" t="s">
        <v>99</v>
      </c>
      <c r="H104" t="s">
        <v>406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46266.395300925928</v>
      </c>
      <c r="P104" s="57">
        <v>46266.735567129632</v>
      </c>
      <c r="Q104">
        <v>69379478</v>
      </c>
      <c r="S104">
        <v>152522205701</v>
      </c>
      <c r="T104" t="s">
        <v>958</v>
      </c>
      <c r="U104" t="s">
        <v>1447</v>
      </c>
      <c r="V104" t="s">
        <v>1448</v>
      </c>
      <c r="Z104">
        <v>114.302912987892</v>
      </c>
      <c r="AA104">
        <v>-8.4049953980668199</v>
      </c>
      <c r="AB104" t="s">
        <v>1003</v>
      </c>
      <c r="AC104" t="s">
        <v>216</v>
      </c>
      <c r="AL104" t="s">
        <v>217</v>
      </c>
      <c r="AM104" t="s">
        <v>1449</v>
      </c>
      <c r="AN104" t="s">
        <v>6</v>
      </c>
      <c r="AO104" s="57">
        <v>46031.402905092589</v>
      </c>
      <c r="AR104" t="s">
        <v>218</v>
      </c>
      <c r="AS104" t="s">
        <v>99</v>
      </c>
      <c r="AT104" t="s">
        <v>230</v>
      </c>
      <c r="AU104">
        <v>20260901</v>
      </c>
      <c r="AV104" t="s">
        <v>221</v>
      </c>
      <c r="AW104" t="s">
        <v>546</v>
      </c>
      <c r="AX104" t="s">
        <v>222</v>
      </c>
      <c r="BA104" s="57">
        <v>46266.291666666664</v>
      </c>
      <c r="BB104" t="s">
        <v>1449</v>
      </c>
      <c r="BC104">
        <v>2026</v>
      </c>
      <c r="BD104">
        <v>9</v>
      </c>
      <c r="BE104">
        <v>1</v>
      </c>
      <c r="BF104" s="6">
        <f t="shared" si="3"/>
        <v>46266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BANYUWANGI</v>
      </c>
    </row>
    <row r="105" spans="1:61">
      <c r="A105">
        <v>104</v>
      </c>
      <c r="B105">
        <v>1002564057</v>
      </c>
      <c r="C105">
        <v>3</v>
      </c>
      <c r="D105" t="s">
        <v>59</v>
      </c>
      <c r="E105">
        <v>4</v>
      </c>
      <c r="F105" t="s">
        <v>223</v>
      </c>
      <c r="G105" t="s">
        <v>223</v>
      </c>
      <c r="H105" t="s">
        <v>1012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46266.340960648151</v>
      </c>
      <c r="P105" s="57">
        <v>46266.45484953704</v>
      </c>
      <c r="Q105">
        <v>69379064</v>
      </c>
      <c r="S105">
        <v>146396100343</v>
      </c>
      <c r="T105" t="s">
        <v>1013</v>
      </c>
      <c r="U105" t="s">
        <v>1450</v>
      </c>
      <c r="V105" t="s">
        <v>1451</v>
      </c>
      <c r="Z105">
        <v>109.21419779999999</v>
      </c>
      <c r="AA105">
        <v>-7.3366372000000002</v>
      </c>
      <c r="AB105" t="s">
        <v>1014</v>
      </c>
      <c r="AC105" t="s">
        <v>284</v>
      </c>
      <c r="AL105" t="s">
        <v>217</v>
      </c>
      <c r="AM105" t="s">
        <v>1452</v>
      </c>
      <c r="AN105" t="s">
        <v>6</v>
      </c>
      <c r="AO105" s="57">
        <v>46031.350752314815</v>
      </c>
      <c r="AR105" t="s">
        <v>218</v>
      </c>
      <c r="AS105" t="s">
        <v>219</v>
      </c>
      <c r="AT105" t="s">
        <v>230</v>
      </c>
      <c r="AU105">
        <v>20260901</v>
      </c>
      <c r="AV105" t="s">
        <v>221</v>
      </c>
      <c r="AW105" t="s">
        <v>550</v>
      </c>
      <c r="AX105" t="s">
        <v>222</v>
      </c>
      <c r="BA105" s="57">
        <v>46266.291666666664</v>
      </c>
      <c r="BB105" t="s">
        <v>1452</v>
      </c>
      <c r="BC105">
        <v>2026</v>
      </c>
      <c r="BD105">
        <v>9</v>
      </c>
      <c r="BE105">
        <v>1</v>
      </c>
      <c r="BF105" s="6">
        <f t="shared" si="3"/>
        <v>46266</v>
      </c>
      <c r="BG105">
        <f t="shared" si="4"/>
        <v>-0.29166666666424135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1002565224</v>
      </c>
      <c r="C106">
        <v>3</v>
      </c>
      <c r="D106" t="s">
        <v>55</v>
      </c>
      <c r="E106">
        <v>5</v>
      </c>
      <c r="F106" t="s">
        <v>261</v>
      </c>
      <c r="G106" t="s">
        <v>122</v>
      </c>
      <c r="H106" t="s">
        <v>321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46266.518530092595</v>
      </c>
      <c r="P106" s="57">
        <v>46266.639976851853</v>
      </c>
      <c r="Q106">
        <v>69379339</v>
      </c>
      <c r="S106">
        <v>152445902503</v>
      </c>
      <c r="T106" t="s">
        <v>992</v>
      </c>
      <c r="U106" t="s">
        <v>1453</v>
      </c>
      <c r="V106" t="s">
        <v>1454</v>
      </c>
      <c r="Z106">
        <v>112.49171</v>
      </c>
      <c r="AA106">
        <v>-7.1393560000000003</v>
      </c>
      <c r="AB106" t="s">
        <v>993</v>
      </c>
      <c r="AC106" t="s">
        <v>216</v>
      </c>
      <c r="AL106" t="s">
        <v>217</v>
      </c>
      <c r="AM106" t="s">
        <v>1455</v>
      </c>
      <c r="AN106" t="s">
        <v>6</v>
      </c>
      <c r="AO106" s="57">
        <v>46031.52784722222</v>
      </c>
      <c r="AR106" t="s">
        <v>218</v>
      </c>
      <c r="AS106" t="s">
        <v>122</v>
      </c>
      <c r="AT106" t="s">
        <v>220</v>
      </c>
      <c r="AU106">
        <v>20260901</v>
      </c>
      <c r="AV106" t="s">
        <v>221</v>
      </c>
      <c r="AW106" t="s">
        <v>545</v>
      </c>
      <c r="AX106" t="s">
        <v>222</v>
      </c>
      <c r="BA106" s="57">
        <v>46266.291666666664</v>
      </c>
      <c r="BB106" t="s">
        <v>1455</v>
      </c>
      <c r="BC106">
        <v>2026</v>
      </c>
      <c r="BD106">
        <v>9</v>
      </c>
      <c r="BE106">
        <v>1</v>
      </c>
      <c r="BF106" s="6">
        <f t="shared" si="3"/>
        <v>46266</v>
      </c>
      <c r="BG106">
        <f t="shared" si="4"/>
        <v>-0.29166666666424135</v>
      </c>
      <c r="BH106" t="str">
        <f t="shared" si="5"/>
        <v>COMPLY</v>
      </c>
      <c r="BI106" t="str">
        <f>VLOOKUP(H106,Sheet2!$A$1:$B$270,2,FALSE)</f>
        <v>GRESIK</v>
      </c>
    </row>
    <row r="107" spans="1:61">
      <c r="A107">
        <v>106</v>
      </c>
      <c r="B107">
        <v>1002564751</v>
      </c>
      <c r="C107">
        <v>3</v>
      </c>
      <c r="D107" t="s">
        <v>42</v>
      </c>
      <c r="E107">
        <v>5</v>
      </c>
      <c r="F107" t="s">
        <v>232</v>
      </c>
      <c r="G107" t="s">
        <v>103</v>
      </c>
      <c r="H107" t="s">
        <v>294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46266.439259259256</v>
      </c>
      <c r="P107" s="57">
        <v>46266.69866898148</v>
      </c>
      <c r="Q107">
        <v>69381304</v>
      </c>
      <c r="S107">
        <v>152319208063</v>
      </c>
      <c r="T107" t="s">
        <v>1456</v>
      </c>
      <c r="U107" t="s">
        <v>1457</v>
      </c>
      <c r="V107" t="s">
        <v>1458</v>
      </c>
      <c r="Z107">
        <v>112.34956579999999</v>
      </c>
      <c r="AA107">
        <v>-7.5649582000000004</v>
      </c>
      <c r="AB107" t="s">
        <v>1459</v>
      </c>
      <c r="AC107" t="s">
        <v>229</v>
      </c>
      <c r="AL107" t="s">
        <v>217</v>
      </c>
      <c r="AM107" t="s">
        <v>1460</v>
      </c>
      <c r="AN107" t="s">
        <v>6</v>
      </c>
      <c r="AO107" s="57">
        <v>46031.444409722222</v>
      </c>
      <c r="AP107" s="57">
        <v>46267.458333333336</v>
      </c>
      <c r="AR107" t="s">
        <v>218</v>
      </c>
      <c r="AS107" t="s">
        <v>103</v>
      </c>
      <c r="AT107" t="s">
        <v>230</v>
      </c>
      <c r="AU107">
        <v>20260901</v>
      </c>
      <c r="AV107" t="s">
        <v>221</v>
      </c>
      <c r="AW107" t="s">
        <v>545</v>
      </c>
      <c r="AX107" t="s">
        <v>222</v>
      </c>
      <c r="BA107" s="57">
        <v>46267.458333333336</v>
      </c>
      <c r="BB107" t="s">
        <v>1460</v>
      </c>
      <c r="BC107">
        <v>2026</v>
      </c>
      <c r="BD107">
        <v>9</v>
      </c>
      <c r="BE107">
        <v>1</v>
      </c>
      <c r="BF107" s="6">
        <f t="shared" si="3"/>
        <v>46266</v>
      </c>
      <c r="BG107">
        <f t="shared" si="4"/>
        <v>-1.4583333333357587</v>
      </c>
      <c r="BH107" t="str">
        <f t="shared" si="5"/>
        <v>COMPLY</v>
      </c>
      <c r="BI107" t="str">
        <f>VLOOKUP(H107,Sheet2!$A$1:$B$270,2,FALSE)</f>
        <v>MOJOKERTO</v>
      </c>
    </row>
    <row r="108" spans="1:61">
      <c r="A108">
        <v>107</v>
      </c>
      <c r="B108">
        <v>1002564376</v>
      </c>
      <c r="C108">
        <v>3</v>
      </c>
      <c r="D108" t="s">
        <v>51</v>
      </c>
      <c r="E108">
        <v>4</v>
      </c>
      <c r="F108" t="s">
        <v>269</v>
      </c>
      <c r="G108" t="s">
        <v>823</v>
      </c>
      <c r="H108" t="s">
        <v>872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46266.392905092594</v>
      </c>
      <c r="P108" s="57">
        <v>46266.611898148149</v>
      </c>
      <c r="Q108">
        <v>69379400</v>
      </c>
      <c r="S108">
        <v>142539117950</v>
      </c>
      <c r="T108" t="s">
        <v>1001</v>
      </c>
      <c r="U108" t="s">
        <v>1461</v>
      </c>
      <c r="V108" t="s">
        <v>1462</v>
      </c>
      <c r="Z108">
        <v>110.665736361276</v>
      </c>
      <c r="AA108">
        <v>-6.5372442790072096</v>
      </c>
      <c r="AB108" t="s">
        <v>1002</v>
      </c>
      <c r="AC108" t="s">
        <v>216</v>
      </c>
      <c r="AL108" t="s">
        <v>217</v>
      </c>
      <c r="AM108" t="s">
        <v>1463</v>
      </c>
      <c r="AN108" t="s">
        <v>6</v>
      </c>
      <c r="AO108" s="57">
        <v>46031.402905092589</v>
      </c>
      <c r="AR108" t="s">
        <v>218</v>
      </c>
      <c r="AS108" t="s">
        <v>219</v>
      </c>
      <c r="AT108" t="s">
        <v>230</v>
      </c>
      <c r="AU108">
        <v>20260901</v>
      </c>
      <c r="AV108" t="s">
        <v>221</v>
      </c>
      <c r="AW108" t="s">
        <v>544</v>
      </c>
      <c r="AX108" t="s">
        <v>222</v>
      </c>
      <c r="BA108" s="57">
        <v>46266.291666666664</v>
      </c>
      <c r="BB108" t="s">
        <v>1463</v>
      </c>
      <c r="BC108">
        <v>2026</v>
      </c>
      <c r="BD108">
        <v>9</v>
      </c>
      <c r="BE108">
        <v>1</v>
      </c>
      <c r="BF108" s="6">
        <f t="shared" si="3"/>
        <v>46266</v>
      </c>
      <c r="BG108">
        <f t="shared" si="4"/>
        <v>-0.29166666666424135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1002565851</v>
      </c>
      <c r="C109">
        <v>3</v>
      </c>
      <c r="D109" t="s">
        <v>59</v>
      </c>
      <c r="E109">
        <v>4</v>
      </c>
      <c r="F109" t="s">
        <v>549</v>
      </c>
      <c r="G109" t="s">
        <v>582</v>
      </c>
      <c r="H109" t="s">
        <v>841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46266.631423611114</v>
      </c>
      <c r="P109" s="57">
        <v>46266.680821759262</v>
      </c>
      <c r="Q109">
        <v>69375430</v>
      </c>
      <c r="S109">
        <v>143132123703</v>
      </c>
      <c r="T109" t="s">
        <v>939</v>
      </c>
      <c r="U109" t="s">
        <v>1464</v>
      </c>
      <c r="V109" t="s">
        <v>1465</v>
      </c>
      <c r="Z109">
        <v>110.43269342918499</v>
      </c>
      <c r="AA109">
        <v>-7.8331409517625099</v>
      </c>
      <c r="AB109" t="s">
        <v>940</v>
      </c>
      <c r="AC109" t="s">
        <v>284</v>
      </c>
      <c r="AL109" t="s">
        <v>217</v>
      </c>
      <c r="AM109" t="s">
        <v>1466</v>
      </c>
      <c r="AN109" t="s">
        <v>6</v>
      </c>
      <c r="AO109" s="57">
        <v>46031.631921296299</v>
      </c>
      <c r="AR109" t="s">
        <v>218</v>
      </c>
      <c r="AS109" t="s">
        <v>917</v>
      </c>
      <c r="AT109" t="s">
        <v>230</v>
      </c>
      <c r="AU109">
        <v>20260901</v>
      </c>
      <c r="AV109" t="s">
        <v>221</v>
      </c>
      <c r="AW109" t="s">
        <v>571</v>
      </c>
      <c r="AX109" t="s">
        <v>222</v>
      </c>
      <c r="BA109" s="57">
        <v>46266.291666666664</v>
      </c>
      <c r="BB109" t="s">
        <v>1466</v>
      </c>
      <c r="BC109">
        <v>2026</v>
      </c>
      <c r="BD109">
        <v>9</v>
      </c>
      <c r="BE109">
        <v>1</v>
      </c>
      <c r="BF109" s="6">
        <f t="shared" si="3"/>
        <v>46266</v>
      </c>
      <c r="BG109">
        <f t="shared" si="4"/>
        <v>-0.29166666666424135</v>
      </c>
      <c r="BH109" t="str">
        <f t="shared" si="5"/>
        <v>COMPLY</v>
      </c>
      <c r="BI109" t="e">
        <f>VLOOKUP(H109,Sheet2!$A$1:$B$270,2,FALSE)</f>
        <v>#N/A</v>
      </c>
    </row>
    <row r="110" spans="1:61">
      <c r="A110">
        <v>109</v>
      </c>
      <c r="B110">
        <v>1002565160</v>
      </c>
      <c r="C110">
        <v>3</v>
      </c>
      <c r="D110" t="s">
        <v>55</v>
      </c>
      <c r="E110">
        <v>5</v>
      </c>
      <c r="F110" t="s">
        <v>261</v>
      </c>
      <c r="G110" t="s">
        <v>126</v>
      </c>
      <c r="H110" t="s">
        <v>262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46266.498518518521</v>
      </c>
      <c r="P110" s="57">
        <v>46266.576226851852</v>
      </c>
      <c r="Q110">
        <v>69380063</v>
      </c>
      <c r="S110">
        <v>152413167467</v>
      </c>
      <c r="T110" t="s">
        <v>985</v>
      </c>
      <c r="U110" t="s">
        <v>899</v>
      </c>
      <c r="V110" t="s">
        <v>1467</v>
      </c>
      <c r="Z110">
        <v>112.733196051937</v>
      </c>
      <c r="AA110">
        <v>-7.2537710348810096</v>
      </c>
      <c r="AB110" t="s">
        <v>986</v>
      </c>
      <c r="AC110" t="s">
        <v>216</v>
      </c>
      <c r="AL110" t="s">
        <v>217</v>
      </c>
      <c r="AM110" t="s">
        <v>1468</v>
      </c>
      <c r="AN110" t="s">
        <v>6</v>
      </c>
      <c r="AO110" s="57">
        <v>46031.506874999999</v>
      </c>
      <c r="AR110" t="s">
        <v>218</v>
      </c>
      <c r="AS110" t="s">
        <v>575</v>
      </c>
      <c r="AT110" t="s">
        <v>230</v>
      </c>
      <c r="AU110">
        <v>20260901</v>
      </c>
      <c r="AV110" t="s">
        <v>221</v>
      </c>
      <c r="AW110" t="s">
        <v>572</v>
      </c>
      <c r="AX110" t="s">
        <v>222</v>
      </c>
      <c r="BA110" s="57">
        <v>46266.291666666664</v>
      </c>
      <c r="BB110" t="s">
        <v>1468</v>
      </c>
      <c r="BC110">
        <v>2026</v>
      </c>
      <c r="BD110">
        <v>9</v>
      </c>
      <c r="BE110">
        <v>1</v>
      </c>
      <c r="BF110" s="6">
        <f t="shared" si="3"/>
        <v>46266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SURABAYA SELATAN</v>
      </c>
    </row>
    <row r="111" spans="1:61">
      <c r="A111">
        <v>110</v>
      </c>
      <c r="B111">
        <v>1002565198</v>
      </c>
      <c r="C111">
        <v>3</v>
      </c>
      <c r="D111" t="s">
        <v>55</v>
      </c>
      <c r="E111">
        <v>5</v>
      </c>
      <c r="F111" t="s">
        <v>261</v>
      </c>
      <c r="G111" t="s">
        <v>122</v>
      </c>
      <c r="H111" t="s">
        <v>321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46266.507916666669</v>
      </c>
      <c r="P111" s="57">
        <v>46266.869085648148</v>
      </c>
      <c r="Q111">
        <v>69379381</v>
      </c>
      <c r="S111">
        <v>152445902502</v>
      </c>
      <c r="T111" t="s">
        <v>990</v>
      </c>
      <c r="U111" t="s">
        <v>1469</v>
      </c>
      <c r="V111" t="s">
        <v>1470</v>
      </c>
      <c r="Z111">
        <v>112.512376</v>
      </c>
      <c r="AA111">
        <v>-7.1506679999999996</v>
      </c>
      <c r="AB111" t="s">
        <v>991</v>
      </c>
      <c r="AC111" t="s">
        <v>229</v>
      </c>
      <c r="AL111" t="s">
        <v>217</v>
      </c>
      <c r="AM111" t="s">
        <v>1455</v>
      </c>
      <c r="AN111" t="s">
        <v>6</v>
      </c>
      <c r="AO111" s="57">
        <v>46031.517465277779</v>
      </c>
      <c r="AR111" t="s">
        <v>218</v>
      </c>
      <c r="AS111" t="s">
        <v>122</v>
      </c>
      <c r="AT111" t="s">
        <v>220</v>
      </c>
      <c r="AU111">
        <v>20260901</v>
      </c>
      <c r="AV111" t="s">
        <v>221</v>
      </c>
      <c r="AW111" t="s">
        <v>560</v>
      </c>
      <c r="AX111" t="s">
        <v>222</v>
      </c>
      <c r="BA111" s="57">
        <v>46266.291666666664</v>
      </c>
      <c r="BB111" t="s">
        <v>1455</v>
      </c>
      <c r="BC111">
        <v>2026</v>
      </c>
      <c r="BD111">
        <v>9</v>
      </c>
      <c r="BE111">
        <v>1</v>
      </c>
      <c r="BF111" s="6">
        <f t="shared" si="3"/>
        <v>46266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GRESIK</v>
      </c>
    </row>
    <row r="112" spans="1:61">
      <c r="A112">
        <v>111</v>
      </c>
      <c r="B112">
        <v>1002566034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247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46266.654999999999</v>
      </c>
      <c r="P112" s="57">
        <v>46266.7028587963</v>
      </c>
      <c r="Q112">
        <v>69380024</v>
      </c>
      <c r="S112">
        <v>172616802043</v>
      </c>
      <c r="T112" t="s">
        <v>938</v>
      </c>
      <c r="U112" t="s">
        <v>1471</v>
      </c>
      <c r="V112" t="s">
        <v>1472</v>
      </c>
      <c r="Z112">
        <v>118.7467125</v>
      </c>
      <c r="AA112">
        <v>-8.4558693999999992</v>
      </c>
      <c r="AB112" t="s">
        <v>996</v>
      </c>
      <c r="AC112" t="s">
        <v>216</v>
      </c>
      <c r="AL112" t="s">
        <v>217</v>
      </c>
      <c r="AM112" t="s">
        <v>1473</v>
      </c>
      <c r="AN112" t="s">
        <v>6</v>
      </c>
      <c r="AO112" s="57">
        <v>46031.663206018522</v>
      </c>
      <c r="AR112" t="s">
        <v>218</v>
      </c>
      <c r="AS112" t="s">
        <v>219</v>
      </c>
      <c r="AT112" t="s">
        <v>220</v>
      </c>
      <c r="AU112">
        <v>20260901</v>
      </c>
      <c r="AV112" t="s">
        <v>221</v>
      </c>
      <c r="AW112" t="s">
        <v>578</v>
      </c>
      <c r="AX112" t="s">
        <v>222</v>
      </c>
      <c r="BA112" s="57">
        <v>46266.291666666664</v>
      </c>
      <c r="BB112" t="s">
        <v>1473</v>
      </c>
      <c r="BC112">
        <v>2026</v>
      </c>
      <c r="BD112">
        <v>9</v>
      </c>
      <c r="BE112">
        <v>1</v>
      </c>
      <c r="BF112" s="6">
        <f t="shared" si="3"/>
        <v>46266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BIMA</v>
      </c>
    </row>
    <row r="113" spans="1:61">
      <c r="A113">
        <v>112</v>
      </c>
      <c r="B113">
        <v>1002564922</v>
      </c>
      <c r="C113">
        <v>3</v>
      </c>
      <c r="D113" t="s">
        <v>34</v>
      </c>
      <c r="E113">
        <v>5</v>
      </c>
      <c r="F113" t="s">
        <v>563</v>
      </c>
      <c r="G113" t="s">
        <v>81</v>
      </c>
      <c r="H113" t="s">
        <v>316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46266.461793981478</v>
      </c>
      <c r="P113" s="57">
        <v>46266.498506944445</v>
      </c>
      <c r="Q113">
        <v>69377687</v>
      </c>
      <c r="S113">
        <v>172415798837</v>
      </c>
      <c r="T113" t="s">
        <v>972</v>
      </c>
      <c r="U113" t="s">
        <v>1474</v>
      </c>
      <c r="V113" t="s">
        <v>1475</v>
      </c>
      <c r="Z113">
        <v>115.11239999999999</v>
      </c>
      <c r="AA113">
        <v>-8.8366000000000007</v>
      </c>
      <c r="AB113" t="s">
        <v>973</v>
      </c>
      <c r="AC113" t="s">
        <v>216</v>
      </c>
      <c r="AL113" t="s">
        <v>217</v>
      </c>
      <c r="AM113" t="s">
        <v>1476</v>
      </c>
      <c r="AN113" t="s">
        <v>6</v>
      </c>
      <c r="AO113" s="57">
        <v>46031.465405092589</v>
      </c>
      <c r="AR113" t="s">
        <v>218</v>
      </c>
      <c r="AS113" t="s">
        <v>907</v>
      </c>
      <c r="AT113" t="s">
        <v>230</v>
      </c>
      <c r="AU113">
        <v>20260901</v>
      </c>
      <c r="AV113" t="s">
        <v>221</v>
      </c>
      <c r="AW113" t="s">
        <v>545</v>
      </c>
      <c r="AX113" t="s">
        <v>222</v>
      </c>
      <c r="BA113" s="57">
        <v>46266.291666666664</v>
      </c>
      <c r="BB113" t="s">
        <v>1476</v>
      </c>
      <c r="BC113">
        <v>2026</v>
      </c>
      <c r="BD113">
        <v>9</v>
      </c>
      <c r="BE113">
        <v>1</v>
      </c>
      <c r="BF113" s="6">
        <f t="shared" si="3"/>
        <v>46266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JIMBARAN</v>
      </c>
    </row>
    <row r="114" spans="1:61">
      <c r="A114">
        <v>113</v>
      </c>
      <c r="B114">
        <v>1002564905</v>
      </c>
      <c r="C114">
        <v>3</v>
      </c>
      <c r="D114" t="s">
        <v>55</v>
      </c>
      <c r="E114">
        <v>5</v>
      </c>
      <c r="F114" t="s">
        <v>261</v>
      </c>
      <c r="G114" t="s">
        <v>123</v>
      </c>
      <c r="H114" t="s">
        <v>287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46266.459374999999</v>
      </c>
      <c r="P114" s="57">
        <v>46266.630798611113</v>
      </c>
      <c r="Q114">
        <v>69370432</v>
      </c>
      <c r="S114">
        <v>152401227586</v>
      </c>
      <c r="T114" t="s">
        <v>896</v>
      </c>
      <c r="U114" t="s">
        <v>897</v>
      </c>
      <c r="V114" t="s">
        <v>1477</v>
      </c>
      <c r="Z114">
        <v>112.73806873573299</v>
      </c>
      <c r="AA114">
        <v>-7.2091245735555303</v>
      </c>
      <c r="AB114" t="s">
        <v>898</v>
      </c>
      <c r="AC114" t="s">
        <v>285</v>
      </c>
      <c r="AL114" t="s">
        <v>217</v>
      </c>
      <c r="AM114" t="s">
        <v>1478</v>
      </c>
      <c r="AN114" t="s">
        <v>6</v>
      </c>
      <c r="AO114" s="57">
        <v>46031.465405092589</v>
      </c>
      <c r="AR114" t="s">
        <v>218</v>
      </c>
      <c r="AS114" t="s">
        <v>271</v>
      </c>
      <c r="AT114" t="s">
        <v>230</v>
      </c>
      <c r="AU114">
        <v>20260901</v>
      </c>
      <c r="AV114" t="s">
        <v>221</v>
      </c>
      <c r="AW114" t="s">
        <v>862</v>
      </c>
      <c r="AX114" t="s">
        <v>222</v>
      </c>
      <c r="BA114" s="57">
        <v>46266.291666666664</v>
      </c>
      <c r="BB114" t="s">
        <v>1478</v>
      </c>
      <c r="BC114">
        <v>2026</v>
      </c>
      <c r="BD114">
        <v>9</v>
      </c>
      <c r="BE114">
        <v>1</v>
      </c>
      <c r="BF114" s="6">
        <f t="shared" si="3"/>
        <v>46266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SURABAYA UTARA</v>
      </c>
    </row>
    <row r="115" spans="1:61">
      <c r="A115">
        <v>114</v>
      </c>
      <c r="B115">
        <v>1002564503</v>
      </c>
      <c r="C115">
        <v>3</v>
      </c>
      <c r="D115" t="s">
        <v>51</v>
      </c>
      <c r="E115">
        <v>4</v>
      </c>
      <c r="F115" t="s">
        <v>269</v>
      </c>
      <c r="G115" t="s">
        <v>823</v>
      </c>
      <c r="H115" t="s">
        <v>872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46266.406898148147</v>
      </c>
      <c r="P115" s="57">
        <v>46266.579710648148</v>
      </c>
      <c r="Q115">
        <v>69377664</v>
      </c>
      <c r="R115">
        <v>2916942037</v>
      </c>
      <c r="S115">
        <v>142539117952</v>
      </c>
      <c r="T115" t="s">
        <v>964</v>
      </c>
      <c r="U115" t="s">
        <v>1479</v>
      </c>
      <c r="V115" t="s">
        <v>1480</v>
      </c>
      <c r="Z115">
        <v>110.70882</v>
      </c>
      <c r="AA115">
        <v>-6.6393199999999997</v>
      </c>
      <c r="AB115" t="s">
        <v>965</v>
      </c>
      <c r="AC115" t="s">
        <v>225</v>
      </c>
      <c r="AL115" t="s">
        <v>217</v>
      </c>
      <c r="AM115" t="s">
        <v>1481</v>
      </c>
      <c r="AN115" t="s">
        <v>6</v>
      </c>
      <c r="AO115" s="57">
        <v>46031.413310185184</v>
      </c>
      <c r="AR115" t="s">
        <v>218</v>
      </c>
      <c r="AS115" t="s">
        <v>219</v>
      </c>
      <c r="AT115" t="s">
        <v>230</v>
      </c>
      <c r="AU115">
        <v>20260901</v>
      </c>
      <c r="AV115" t="s">
        <v>221</v>
      </c>
      <c r="AW115" t="s">
        <v>585</v>
      </c>
      <c r="AX115" t="s">
        <v>222</v>
      </c>
      <c r="BA115" s="57">
        <v>46266.291666666664</v>
      </c>
      <c r="BB115" t="s">
        <v>1481</v>
      </c>
      <c r="BC115">
        <v>2026</v>
      </c>
      <c r="BD115">
        <v>9</v>
      </c>
      <c r="BE115">
        <v>1</v>
      </c>
      <c r="BF115" s="6">
        <f t="shared" si="3"/>
        <v>46266</v>
      </c>
      <c r="BG115">
        <f t="shared" si="4"/>
        <v>-0.29166666666424135</v>
      </c>
      <c r="BH115" t="str">
        <f t="shared" si="5"/>
        <v>COMPLY</v>
      </c>
      <c r="BI115" t="e">
        <f>VLOOKUP(H115,Sheet2!$A$1:$B$270,2,FALSE)</f>
        <v>#N/A</v>
      </c>
    </row>
    <row r="116" spans="1:61">
      <c r="A116">
        <v>115</v>
      </c>
      <c r="B116">
        <v>1002565698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263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46266.607476851852</v>
      </c>
      <c r="P116" s="57">
        <v>46266.68209490741</v>
      </c>
      <c r="Q116">
        <v>69376585</v>
      </c>
      <c r="S116">
        <v>172601797534</v>
      </c>
      <c r="T116" t="s">
        <v>923</v>
      </c>
      <c r="U116" t="s">
        <v>924</v>
      </c>
      <c r="V116" t="s">
        <v>1482</v>
      </c>
      <c r="Z116">
        <v>116.11380029999999</v>
      </c>
      <c r="AA116">
        <v>-8.6038099999999993</v>
      </c>
      <c r="AB116" t="s">
        <v>961</v>
      </c>
      <c r="AC116" t="s">
        <v>225</v>
      </c>
      <c r="AL116" t="s">
        <v>217</v>
      </c>
      <c r="AM116" t="s">
        <v>1483</v>
      </c>
      <c r="AN116" t="s">
        <v>6</v>
      </c>
      <c r="AO116" s="57">
        <v>46031.611076388886</v>
      </c>
      <c r="AR116" t="s">
        <v>218</v>
      </c>
      <c r="AS116" t="s">
        <v>219</v>
      </c>
      <c r="AT116" t="s">
        <v>220</v>
      </c>
      <c r="AU116">
        <v>20260901</v>
      </c>
      <c r="AV116" t="s">
        <v>221</v>
      </c>
      <c r="AW116" t="s">
        <v>598</v>
      </c>
      <c r="AX116" t="s">
        <v>222</v>
      </c>
      <c r="BA116" s="57">
        <v>46266.291666666664</v>
      </c>
      <c r="BB116" t="s">
        <v>1483</v>
      </c>
      <c r="BC116">
        <v>2026</v>
      </c>
      <c r="BD116">
        <v>9</v>
      </c>
      <c r="BE116">
        <v>1</v>
      </c>
      <c r="BF116" s="6">
        <f t="shared" si="3"/>
        <v>46266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MATARAM</v>
      </c>
    </row>
    <row r="117" spans="1:61">
      <c r="A117">
        <v>116</v>
      </c>
      <c r="B117">
        <v>1002564495</v>
      </c>
      <c r="C117">
        <v>3</v>
      </c>
      <c r="D117" t="s">
        <v>55</v>
      </c>
      <c r="E117">
        <v>5</v>
      </c>
      <c r="F117" t="s">
        <v>261</v>
      </c>
      <c r="G117" t="s">
        <v>126</v>
      </c>
      <c r="H117" t="s">
        <v>262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46266.406087962961</v>
      </c>
      <c r="P117" s="57">
        <v>46266.473483796297</v>
      </c>
      <c r="Q117">
        <v>69359764</v>
      </c>
      <c r="S117">
        <v>152413167896</v>
      </c>
      <c r="T117" t="s">
        <v>861</v>
      </c>
      <c r="U117" t="s">
        <v>1484</v>
      </c>
      <c r="V117" t="s">
        <v>1485</v>
      </c>
      <c r="Z117">
        <v>112.751255</v>
      </c>
      <c r="AA117">
        <v>-7.2597950000000004</v>
      </c>
      <c r="AB117" t="s">
        <v>863</v>
      </c>
      <c r="AC117" t="s">
        <v>216</v>
      </c>
      <c r="AL117" t="s">
        <v>217</v>
      </c>
      <c r="AM117" t="s">
        <v>1486</v>
      </c>
      <c r="AN117" t="s">
        <v>6</v>
      </c>
      <c r="AO117" s="57">
        <v>46031.413310185184</v>
      </c>
      <c r="AR117" t="s">
        <v>218</v>
      </c>
      <c r="AS117" t="s">
        <v>575</v>
      </c>
      <c r="AT117" t="s">
        <v>230</v>
      </c>
      <c r="AU117">
        <v>20260901</v>
      </c>
      <c r="AV117" t="s">
        <v>221</v>
      </c>
      <c r="AW117" t="s">
        <v>545</v>
      </c>
      <c r="AX117" t="s">
        <v>222</v>
      </c>
      <c r="BA117" s="57">
        <v>46266.291666666664</v>
      </c>
      <c r="BB117" t="s">
        <v>1486</v>
      </c>
      <c r="BC117">
        <v>2026</v>
      </c>
      <c r="BD117">
        <v>9</v>
      </c>
      <c r="BE117">
        <v>1</v>
      </c>
      <c r="BF117" s="6">
        <f t="shared" si="3"/>
        <v>46266</v>
      </c>
      <c r="BG117">
        <f t="shared" si="4"/>
        <v>-0.29166666666424135</v>
      </c>
      <c r="BH117" t="str">
        <f t="shared" si="5"/>
        <v>COMPLY</v>
      </c>
      <c r="BI117" t="str">
        <f>VLOOKUP(H117,Sheet2!$A$1:$B$270,2,FALSE)</f>
        <v>SURABAYA SELATAN</v>
      </c>
    </row>
    <row r="118" spans="1:61">
      <c r="A118">
        <v>117</v>
      </c>
      <c r="B118">
        <v>1002564164</v>
      </c>
      <c r="C118">
        <v>3</v>
      </c>
      <c r="D118" t="s">
        <v>55</v>
      </c>
      <c r="E118">
        <v>5</v>
      </c>
      <c r="F118" t="s">
        <v>261</v>
      </c>
      <c r="G118" t="s">
        <v>126</v>
      </c>
      <c r="H118" t="s">
        <v>262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46266.365300925929</v>
      </c>
      <c r="P118" s="57">
        <v>46266.455138888887</v>
      </c>
      <c r="Q118">
        <v>69379119</v>
      </c>
      <c r="S118">
        <v>152413167888</v>
      </c>
      <c r="T118" t="s">
        <v>988</v>
      </c>
      <c r="U118" t="s">
        <v>1042</v>
      </c>
      <c r="V118" t="s">
        <v>1487</v>
      </c>
      <c r="Z118">
        <v>112.7345</v>
      </c>
      <c r="AA118">
        <v>-7.2671000000000001</v>
      </c>
      <c r="AB118" t="s">
        <v>989</v>
      </c>
      <c r="AC118" t="s">
        <v>229</v>
      </c>
      <c r="AL118" t="s">
        <v>217</v>
      </c>
      <c r="AM118" t="s">
        <v>1041</v>
      </c>
      <c r="AN118" t="s">
        <v>6</v>
      </c>
      <c r="AO118" s="57">
        <v>46031.37159722222</v>
      </c>
      <c r="AR118" t="s">
        <v>218</v>
      </c>
      <c r="AS118" t="s">
        <v>575</v>
      </c>
      <c r="AT118" t="s">
        <v>230</v>
      </c>
      <c r="AU118">
        <v>20260901</v>
      </c>
      <c r="AV118" t="s">
        <v>221</v>
      </c>
      <c r="AW118" t="s">
        <v>545</v>
      </c>
      <c r="AX118" t="s">
        <v>222</v>
      </c>
      <c r="BA118" s="57">
        <v>46266.291666666664</v>
      </c>
      <c r="BB118" t="s">
        <v>1041</v>
      </c>
      <c r="BC118">
        <v>2026</v>
      </c>
      <c r="BD118">
        <v>9</v>
      </c>
      <c r="BE118">
        <v>1</v>
      </c>
      <c r="BF118" s="6">
        <f t="shared" si="3"/>
        <v>46266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1002565076</v>
      </c>
      <c r="C119">
        <v>3</v>
      </c>
      <c r="D119" t="s">
        <v>51</v>
      </c>
      <c r="E119">
        <v>4</v>
      </c>
      <c r="F119" t="s">
        <v>234</v>
      </c>
      <c r="G119" t="s">
        <v>562</v>
      </c>
      <c r="H119" t="s">
        <v>854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46266.483472222222</v>
      </c>
      <c r="P119" s="57">
        <v>46266.522685185184</v>
      </c>
      <c r="Q119">
        <v>69365080</v>
      </c>
      <c r="S119">
        <v>142566103555</v>
      </c>
      <c r="T119" t="s">
        <v>879</v>
      </c>
      <c r="U119" t="s">
        <v>1488</v>
      </c>
      <c r="V119" t="s">
        <v>1489</v>
      </c>
      <c r="Z119">
        <v>110.82982891</v>
      </c>
      <c r="AA119">
        <v>-7.5508999330000002</v>
      </c>
      <c r="AB119" t="s">
        <v>880</v>
      </c>
      <c r="AC119" t="s">
        <v>285</v>
      </c>
      <c r="AL119" t="s">
        <v>217</v>
      </c>
      <c r="AM119" t="s">
        <v>1490</v>
      </c>
      <c r="AN119" t="s">
        <v>6</v>
      </c>
      <c r="AO119" s="57">
        <v>46031.48609953704</v>
      </c>
      <c r="AR119" t="s">
        <v>218</v>
      </c>
      <c r="AS119" t="s">
        <v>915</v>
      </c>
      <c r="AT119" t="s">
        <v>230</v>
      </c>
      <c r="AU119">
        <v>20260901</v>
      </c>
      <c r="AV119" t="s">
        <v>221</v>
      </c>
      <c r="AW119" t="s">
        <v>545</v>
      </c>
      <c r="AX119" t="s">
        <v>222</v>
      </c>
      <c r="BA119" s="57">
        <v>46266.291666666664</v>
      </c>
      <c r="BB119" t="s">
        <v>1490</v>
      </c>
      <c r="BC119">
        <v>2026</v>
      </c>
      <c r="BD119">
        <v>9</v>
      </c>
      <c r="BE119">
        <v>1</v>
      </c>
      <c r="BF119" s="6">
        <f t="shared" si="3"/>
        <v>46266</v>
      </c>
      <c r="BG119">
        <f t="shared" si="4"/>
        <v>-0.29166666666424135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1002566411</v>
      </c>
      <c r="C120">
        <v>3</v>
      </c>
      <c r="D120" t="s">
        <v>49</v>
      </c>
      <c r="E120">
        <v>4</v>
      </c>
      <c r="F120" t="s">
        <v>245</v>
      </c>
      <c r="G120" t="s">
        <v>246</v>
      </c>
      <c r="H120" t="s">
        <v>834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46266.733587962961</v>
      </c>
      <c r="P120" s="57">
        <v>46266.763611111113</v>
      </c>
      <c r="Q120">
        <v>69379981</v>
      </c>
      <c r="S120">
        <v>142410346458</v>
      </c>
      <c r="T120" t="s">
        <v>997</v>
      </c>
      <c r="U120" t="s">
        <v>1491</v>
      </c>
      <c r="V120" t="s">
        <v>1492</v>
      </c>
      <c r="Z120">
        <v>110.57664844999999</v>
      </c>
      <c r="AA120">
        <v>-7.0446439280000002</v>
      </c>
      <c r="AB120" t="s">
        <v>998</v>
      </c>
      <c r="AC120" t="s">
        <v>216</v>
      </c>
      <c r="AL120" t="s">
        <v>217</v>
      </c>
      <c r="AM120" t="s">
        <v>1493</v>
      </c>
      <c r="AN120" t="s">
        <v>6</v>
      </c>
      <c r="AO120" s="57">
        <v>46031.736030092594</v>
      </c>
      <c r="AR120" t="s">
        <v>218</v>
      </c>
      <c r="AS120" t="s">
        <v>912</v>
      </c>
      <c r="AT120" t="s">
        <v>230</v>
      </c>
      <c r="AU120">
        <v>20260901</v>
      </c>
      <c r="AV120" t="s">
        <v>221</v>
      </c>
      <c r="AW120" t="s">
        <v>578</v>
      </c>
      <c r="AX120" t="s">
        <v>222</v>
      </c>
      <c r="BA120" s="57">
        <v>46266.291666666664</v>
      </c>
      <c r="BB120" t="s">
        <v>1493</v>
      </c>
      <c r="BC120">
        <v>2026</v>
      </c>
      <c r="BD120">
        <v>9</v>
      </c>
      <c r="BE120">
        <v>1</v>
      </c>
      <c r="BF120" s="6">
        <f t="shared" si="3"/>
        <v>46266</v>
      </c>
      <c r="BG120">
        <f t="shared" si="4"/>
        <v>-0.29166666666424135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1002565516</v>
      </c>
      <c r="C121">
        <v>3</v>
      </c>
      <c r="D121" t="s">
        <v>42</v>
      </c>
      <c r="E121">
        <v>5</v>
      </c>
      <c r="F121" t="s">
        <v>232</v>
      </c>
      <c r="G121" t="s">
        <v>105</v>
      </c>
      <c r="H121" t="s">
        <v>371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46266.582187499997</v>
      </c>
      <c r="P121" s="57">
        <v>46266.866608796299</v>
      </c>
      <c r="Q121">
        <v>69381534</v>
      </c>
      <c r="S121">
        <v>152312243354</v>
      </c>
      <c r="T121" t="s">
        <v>1494</v>
      </c>
      <c r="U121" t="s">
        <v>1495</v>
      </c>
      <c r="V121" t="s">
        <v>1496</v>
      </c>
      <c r="Z121">
        <v>112.41749660000001</v>
      </c>
      <c r="AA121">
        <v>-7.4878688000000002</v>
      </c>
      <c r="AB121" t="s">
        <v>1497</v>
      </c>
      <c r="AC121" t="s">
        <v>229</v>
      </c>
      <c r="AL121" t="s">
        <v>217</v>
      </c>
      <c r="AM121" t="s">
        <v>1498</v>
      </c>
      <c r="AN121" t="s">
        <v>6</v>
      </c>
      <c r="AO121" s="57">
        <v>46031.590208333335</v>
      </c>
      <c r="AP121" s="57">
        <v>46267.458333333336</v>
      </c>
      <c r="AR121" t="s">
        <v>218</v>
      </c>
      <c r="AS121" t="s">
        <v>105</v>
      </c>
      <c r="AT121" t="s">
        <v>844</v>
      </c>
      <c r="AU121">
        <v>20260901</v>
      </c>
      <c r="AV121" t="s">
        <v>221</v>
      </c>
      <c r="AW121" t="s">
        <v>566</v>
      </c>
      <c r="AX121" t="s">
        <v>222</v>
      </c>
      <c r="BA121" s="57">
        <v>46267.458333333336</v>
      </c>
      <c r="BB121" t="s">
        <v>1498</v>
      </c>
      <c r="BC121">
        <v>2026</v>
      </c>
      <c r="BD121">
        <v>9</v>
      </c>
      <c r="BE121">
        <v>1</v>
      </c>
      <c r="BF121" s="6">
        <f t="shared" si="3"/>
        <v>46266</v>
      </c>
      <c r="BG121">
        <f t="shared" si="4"/>
        <v>-1.4583333333357587</v>
      </c>
      <c r="BH121" t="str">
        <f t="shared" si="5"/>
        <v>COMPLY</v>
      </c>
      <c r="BI121" t="str">
        <f>VLOOKUP(H121,Sheet2!$A$1:$B$270,2,FALSE)</f>
        <v>MOJOKERTO</v>
      </c>
    </row>
    <row r="122" spans="1:61">
      <c r="A122">
        <v>121</v>
      </c>
      <c r="B122">
        <v>1002565519</v>
      </c>
      <c r="C122">
        <v>3</v>
      </c>
      <c r="D122" t="s">
        <v>49</v>
      </c>
      <c r="E122">
        <v>4</v>
      </c>
      <c r="F122" t="s">
        <v>250</v>
      </c>
      <c r="G122" t="s">
        <v>250</v>
      </c>
      <c r="H122" t="s">
        <v>611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46266.581041666665</v>
      </c>
      <c r="P122" s="57">
        <v>46266.632071759261</v>
      </c>
      <c r="Q122">
        <v>69380776</v>
      </c>
      <c r="S122">
        <v>146285103905</v>
      </c>
      <c r="T122" t="s">
        <v>1035</v>
      </c>
      <c r="U122" t="s">
        <v>1499</v>
      </c>
      <c r="V122" t="s">
        <v>1500</v>
      </c>
      <c r="Z122">
        <v>109.63218000000001</v>
      </c>
      <c r="AA122">
        <v>-6.9770830000000004</v>
      </c>
      <c r="AB122" t="s">
        <v>1036</v>
      </c>
      <c r="AC122" t="s">
        <v>284</v>
      </c>
      <c r="AL122" t="s">
        <v>217</v>
      </c>
      <c r="AM122" t="s">
        <v>1501</v>
      </c>
      <c r="AN122" t="s">
        <v>6</v>
      </c>
      <c r="AO122" s="57">
        <v>46031.590208333335</v>
      </c>
      <c r="AR122" t="s">
        <v>218</v>
      </c>
      <c r="AS122" t="s">
        <v>900</v>
      </c>
      <c r="AT122" t="s">
        <v>230</v>
      </c>
      <c r="AU122">
        <v>20260901</v>
      </c>
      <c r="AV122" t="s">
        <v>221</v>
      </c>
      <c r="AW122" t="s">
        <v>545</v>
      </c>
      <c r="AX122" t="s">
        <v>222</v>
      </c>
      <c r="BA122" s="57">
        <v>46266.291666666664</v>
      </c>
      <c r="BB122" t="s">
        <v>1501</v>
      </c>
      <c r="BC122">
        <v>2026</v>
      </c>
      <c r="BD122">
        <v>9</v>
      </c>
      <c r="BE122">
        <v>1</v>
      </c>
      <c r="BF122" s="6">
        <f t="shared" si="3"/>
        <v>46266</v>
      </c>
      <c r="BG122">
        <f t="shared" si="4"/>
        <v>-0.29166666666424135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1002564987</v>
      </c>
      <c r="C123">
        <v>3</v>
      </c>
      <c r="D123" t="s">
        <v>49</v>
      </c>
      <c r="E123">
        <v>4</v>
      </c>
      <c r="F123" t="s">
        <v>250</v>
      </c>
      <c r="G123" t="s">
        <v>539</v>
      </c>
      <c r="H123" t="s">
        <v>856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46266.470081018517</v>
      </c>
      <c r="P123" s="57">
        <v>46266.581944444442</v>
      </c>
      <c r="Q123">
        <v>69361764</v>
      </c>
      <c r="S123">
        <v>142204107639</v>
      </c>
      <c r="T123" t="s">
        <v>857</v>
      </c>
      <c r="U123" t="s">
        <v>928</v>
      </c>
      <c r="V123" t="s">
        <v>1502</v>
      </c>
      <c r="Z123">
        <v>108.878922</v>
      </c>
      <c r="AA123">
        <v>-6.8734359999999999</v>
      </c>
      <c r="AB123" t="s">
        <v>871</v>
      </c>
      <c r="AC123" t="s">
        <v>225</v>
      </c>
      <c r="AL123" t="s">
        <v>217</v>
      </c>
      <c r="AM123" t="s">
        <v>1503</v>
      </c>
      <c r="AN123" t="s">
        <v>6</v>
      </c>
      <c r="AO123" s="57">
        <v>46031.475810185184</v>
      </c>
      <c r="AR123" t="s">
        <v>218</v>
      </c>
      <c r="AS123" t="s">
        <v>910</v>
      </c>
      <c r="AT123" t="s">
        <v>230</v>
      </c>
      <c r="AU123">
        <v>20260901</v>
      </c>
      <c r="AV123" t="s">
        <v>221</v>
      </c>
      <c r="AW123" t="s">
        <v>828</v>
      </c>
      <c r="AX123" t="s">
        <v>222</v>
      </c>
      <c r="BA123" s="57">
        <v>46266.291666666664</v>
      </c>
      <c r="BB123" t="s">
        <v>1503</v>
      </c>
      <c r="BC123">
        <v>2026</v>
      </c>
      <c r="BD123">
        <v>9</v>
      </c>
      <c r="BE123">
        <v>1</v>
      </c>
      <c r="BF123" s="6">
        <f t="shared" si="3"/>
        <v>46266</v>
      </c>
      <c r="BG123">
        <f t="shared" si="4"/>
        <v>-0.29166666666424135</v>
      </c>
      <c r="BH123" t="str">
        <f t="shared" si="5"/>
        <v>COMPLY</v>
      </c>
      <c r="BI123" t="e">
        <f>VLOOKUP(H123,Sheet2!$A$1:$B$270,2,FALSE)</f>
        <v>#N/A</v>
      </c>
    </row>
    <row r="124" spans="1:61">
      <c r="A124">
        <v>123</v>
      </c>
      <c r="B124">
        <v>1002565560</v>
      </c>
      <c r="C124">
        <v>3</v>
      </c>
      <c r="D124" t="s">
        <v>51</v>
      </c>
      <c r="E124">
        <v>4</v>
      </c>
      <c r="F124" t="s">
        <v>269</v>
      </c>
      <c r="G124" t="s">
        <v>823</v>
      </c>
      <c r="H124" t="s">
        <v>849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46266.587812500002</v>
      </c>
      <c r="P124" s="57">
        <v>46266.664224537039</v>
      </c>
      <c r="Q124">
        <v>69379112</v>
      </c>
      <c r="S124">
        <v>142507105445</v>
      </c>
      <c r="T124" t="s">
        <v>1015</v>
      </c>
      <c r="U124" t="s">
        <v>1016</v>
      </c>
      <c r="V124" t="s">
        <v>1504</v>
      </c>
      <c r="Z124">
        <v>110.7289</v>
      </c>
      <c r="AA124">
        <v>-6.5291399999999999</v>
      </c>
      <c r="AB124" t="s">
        <v>1017</v>
      </c>
      <c r="AC124" t="s">
        <v>225</v>
      </c>
      <c r="AL124" t="s">
        <v>217</v>
      </c>
      <c r="AM124" t="s">
        <v>1505</v>
      </c>
      <c r="AN124" t="s">
        <v>6</v>
      </c>
      <c r="AO124" s="57">
        <v>46031.590208333335</v>
      </c>
      <c r="AR124" t="s">
        <v>218</v>
      </c>
      <c r="AS124" t="s">
        <v>219</v>
      </c>
      <c r="AT124" t="s">
        <v>230</v>
      </c>
      <c r="AU124">
        <v>20260901</v>
      </c>
      <c r="AV124" t="s">
        <v>221</v>
      </c>
      <c r="AW124" t="s">
        <v>544</v>
      </c>
      <c r="AX124" t="s">
        <v>222</v>
      </c>
      <c r="BA124" s="57">
        <v>46266.291666666664</v>
      </c>
      <c r="BB124" t="s">
        <v>1505</v>
      </c>
      <c r="BC124">
        <v>2026</v>
      </c>
      <c r="BD124">
        <v>9</v>
      </c>
      <c r="BE124">
        <v>1</v>
      </c>
      <c r="BF124" s="6">
        <f t="shared" si="3"/>
        <v>46266</v>
      </c>
      <c r="BG124">
        <f t="shared" si="4"/>
        <v>-0.29166666666424135</v>
      </c>
      <c r="BH124" t="str">
        <f t="shared" si="5"/>
        <v>COMPLY</v>
      </c>
      <c r="BI124" t="e">
        <f>VLOOKUP(H124,Sheet2!$A$1:$B$270,2,FALSE)</f>
        <v>#N/A</v>
      </c>
    </row>
    <row r="125" spans="1:61">
      <c r="A125">
        <v>124</v>
      </c>
      <c r="B125">
        <v>1002565542</v>
      </c>
      <c r="C125">
        <v>3</v>
      </c>
      <c r="D125" t="s">
        <v>49</v>
      </c>
      <c r="E125">
        <v>4</v>
      </c>
      <c r="F125" t="s">
        <v>250</v>
      </c>
      <c r="G125" t="s">
        <v>250</v>
      </c>
      <c r="H125" t="s">
        <v>611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46266.584953703707</v>
      </c>
      <c r="P125" s="57">
        <v>46266.643101851849</v>
      </c>
      <c r="Q125">
        <v>69380877</v>
      </c>
      <c r="S125">
        <v>146285103907</v>
      </c>
      <c r="T125" t="s">
        <v>1029</v>
      </c>
      <c r="U125" t="s">
        <v>1499</v>
      </c>
      <c r="V125" t="s">
        <v>1506</v>
      </c>
      <c r="Z125">
        <v>109.63218000000001</v>
      </c>
      <c r="AA125">
        <v>-6.9770830000000004</v>
      </c>
      <c r="AB125" t="s">
        <v>1030</v>
      </c>
      <c r="AC125" t="s">
        <v>284</v>
      </c>
      <c r="AL125" t="s">
        <v>217</v>
      </c>
      <c r="AM125" t="s">
        <v>1507</v>
      </c>
      <c r="AN125" t="s">
        <v>6</v>
      </c>
      <c r="AO125" s="57">
        <v>46031.590208333335</v>
      </c>
      <c r="AR125" t="s">
        <v>218</v>
      </c>
      <c r="AS125" t="s">
        <v>900</v>
      </c>
      <c r="AT125" t="s">
        <v>230</v>
      </c>
      <c r="AU125">
        <v>20260901</v>
      </c>
      <c r="AV125" t="s">
        <v>221</v>
      </c>
      <c r="AW125" t="s">
        <v>545</v>
      </c>
      <c r="AX125" t="s">
        <v>222</v>
      </c>
      <c r="BA125" s="57">
        <v>46266.291666666664</v>
      </c>
      <c r="BB125" t="s">
        <v>1507</v>
      </c>
      <c r="BC125">
        <v>2026</v>
      </c>
      <c r="BD125">
        <v>9</v>
      </c>
      <c r="BE125">
        <v>1</v>
      </c>
      <c r="BF125" s="6">
        <f t="shared" si="3"/>
        <v>46266</v>
      </c>
      <c r="BG125">
        <f t="shared" si="4"/>
        <v>-0.29166666666424135</v>
      </c>
      <c r="BH125" t="str">
        <f t="shared" si="5"/>
        <v>COMPLY</v>
      </c>
      <c r="BI125" t="e">
        <f>VLOOKUP(H125,Sheet2!$A$1:$B$270,2,FALSE)</f>
        <v>#N/A</v>
      </c>
    </row>
    <row r="126" spans="1:61">
      <c r="A126">
        <v>125</v>
      </c>
      <c r="B126">
        <v>1002565586</v>
      </c>
      <c r="C126">
        <v>3</v>
      </c>
      <c r="D126" t="s">
        <v>42</v>
      </c>
      <c r="E126">
        <v>5</v>
      </c>
      <c r="F126" t="s">
        <v>232</v>
      </c>
      <c r="G126" t="s">
        <v>103</v>
      </c>
      <c r="H126" t="s">
        <v>391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46266.590694444443</v>
      </c>
      <c r="P126" s="57">
        <v>46266.742638888885</v>
      </c>
      <c r="Q126">
        <v>69381558</v>
      </c>
      <c r="S126">
        <v>152318240210</v>
      </c>
      <c r="T126" t="s">
        <v>1508</v>
      </c>
      <c r="U126" t="s">
        <v>995</v>
      </c>
      <c r="V126" t="s">
        <v>1509</v>
      </c>
      <c r="Z126">
        <v>112.215132</v>
      </c>
      <c r="AA126">
        <v>-7.5832278999999998</v>
      </c>
      <c r="AB126" t="s">
        <v>1510</v>
      </c>
      <c r="AC126" t="s">
        <v>229</v>
      </c>
      <c r="AL126" t="s">
        <v>217</v>
      </c>
      <c r="AM126" t="s">
        <v>1498</v>
      </c>
      <c r="AN126" t="s">
        <v>6</v>
      </c>
      <c r="AO126" s="57">
        <v>46031.600787037038</v>
      </c>
      <c r="AP126" s="57">
        <v>46267.458333333336</v>
      </c>
      <c r="AR126" t="s">
        <v>218</v>
      </c>
      <c r="AS126" t="s">
        <v>103</v>
      </c>
      <c r="AT126" t="s">
        <v>230</v>
      </c>
      <c r="AU126">
        <v>20260901</v>
      </c>
      <c r="AV126" t="s">
        <v>221</v>
      </c>
      <c r="AW126" t="s">
        <v>545</v>
      </c>
      <c r="AX126" t="s">
        <v>222</v>
      </c>
      <c r="BA126" s="57">
        <v>46267.458333333336</v>
      </c>
      <c r="BB126" t="s">
        <v>1498</v>
      </c>
      <c r="BC126">
        <v>2026</v>
      </c>
      <c r="BD126">
        <v>9</v>
      </c>
      <c r="BE126">
        <v>1</v>
      </c>
      <c r="BF126" s="6">
        <f t="shared" si="3"/>
        <v>46266</v>
      </c>
      <c r="BG126">
        <f t="shared" si="4"/>
        <v>-1.4583333333357587</v>
      </c>
      <c r="BH126" t="str">
        <f t="shared" si="5"/>
        <v>COMPLY</v>
      </c>
      <c r="BI126" t="str">
        <f>VLOOKUP(H126,Sheet2!$A$1:$B$270,2,FALSE)</f>
        <v>MOJOKERTO</v>
      </c>
    </row>
    <row r="127" spans="1:61">
      <c r="A127">
        <v>126</v>
      </c>
      <c r="B127">
        <v>1002564360</v>
      </c>
      <c r="C127">
        <v>3</v>
      </c>
      <c r="D127" t="s">
        <v>55</v>
      </c>
      <c r="E127">
        <v>5</v>
      </c>
      <c r="F127" t="s">
        <v>307</v>
      </c>
      <c r="G127" t="s">
        <v>126</v>
      </c>
      <c r="H127" t="s">
        <v>308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46266.390243055554</v>
      </c>
      <c r="P127" s="57">
        <v>46266.81181712963</v>
      </c>
      <c r="Q127">
        <v>69381215</v>
      </c>
      <c r="S127">
        <v>152320246354</v>
      </c>
      <c r="T127" t="s">
        <v>1511</v>
      </c>
      <c r="U127" t="s">
        <v>1512</v>
      </c>
      <c r="V127" t="s">
        <v>1513</v>
      </c>
      <c r="Z127">
        <v>112.7669856</v>
      </c>
      <c r="AA127">
        <v>-7.2519329999999904</v>
      </c>
      <c r="AB127" t="s">
        <v>1514</v>
      </c>
      <c r="AC127" t="s">
        <v>216</v>
      </c>
      <c r="AL127" t="s">
        <v>217</v>
      </c>
      <c r="AM127" t="s">
        <v>1382</v>
      </c>
      <c r="AN127" t="s">
        <v>6</v>
      </c>
      <c r="AO127" s="57">
        <v>46031.39271990741</v>
      </c>
      <c r="AP127" s="57">
        <v>46267.333333333336</v>
      </c>
      <c r="AR127" t="s">
        <v>218</v>
      </c>
      <c r="AS127" t="s">
        <v>908</v>
      </c>
      <c r="AT127" t="s">
        <v>230</v>
      </c>
      <c r="AU127">
        <v>20260901</v>
      </c>
      <c r="AV127" t="s">
        <v>221</v>
      </c>
      <c r="AW127" t="s">
        <v>887</v>
      </c>
      <c r="AX127" t="s">
        <v>222</v>
      </c>
      <c r="BA127" s="57">
        <v>46267.333333333336</v>
      </c>
      <c r="BB127" t="s">
        <v>1382</v>
      </c>
      <c r="BC127">
        <v>2026</v>
      </c>
      <c r="BD127">
        <v>9</v>
      </c>
      <c r="BE127">
        <v>1</v>
      </c>
      <c r="BF127" s="6">
        <f t="shared" si="3"/>
        <v>46266</v>
      </c>
      <c r="BG127">
        <f t="shared" si="4"/>
        <v>-1.3333333333357587</v>
      </c>
      <c r="BH127" t="str">
        <f t="shared" si="5"/>
        <v>COMPLY</v>
      </c>
      <c r="BI127" t="str">
        <f>VLOOKUP(H127,Sheet2!$A$1:$B$270,2,FALSE)</f>
        <v>SURABAYA SELATAN</v>
      </c>
    </row>
    <row r="128" spans="1:61">
      <c r="A128">
        <v>127</v>
      </c>
      <c r="B128">
        <v>1002564309</v>
      </c>
      <c r="C128">
        <v>3</v>
      </c>
      <c r="D128" t="s">
        <v>42</v>
      </c>
      <c r="E128">
        <v>5</v>
      </c>
      <c r="F128" t="s">
        <v>102</v>
      </c>
      <c r="G128" t="s">
        <v>99</v>
      </c>
      <c r="H128" t="s">
        <v>310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46266.384236111109</v>
      </c>
      <c r="P128" s="57">
        <v>46266.633935185186</v>
      </c>
      <c r="Q128">
        <v>69381199</v>
      </c>
      <c r="R128">
        <v>3332821587</v>
      </c>
      <c r="S128">
        <v>152503269425</v>
      </c>
      <c r="T128" t="s">
        <v>974</v>
      </c>
      <c r="U128" t="s">
        <v>1024</v>
      </c>
      <c r="V128" t="s">
        <v>1515</v>
      </c>
      <c r="Z128">
        <v>114.3601863</v>
      </c>
      <c r="AA128">
        <v>-8.1830163999999996</v>
      </c>
      <c r="AB128" t="s">
        <v>1025</v>
      </c>
      <c r="AC128" t="s">
        <v>285</v>
      </c>
      <c r="AL128" t="s">
        <v>217</v>
      </c>
      <c r="AM128" t="s">
        <v>1516</v>
      </c>
      <c r="AN128" t="s">
        <v>6</v>
      </c>
      <c r="AO128" s="57">
        <v>46031.39271990741</v>
      </c>
      <c r="AP128" s="57">
        <v>46267.333333333336</v>
      </c>
      <c r="AR128" t="s">
        <v>218</v>
      </c>
      <c r="AS128" t="s">
        <v>99</v>
      </c>
      <c r="AT128" t="s">
        <v>230</v>
      </c>
      <c r="AU128">
        <v>20260901</v>
      </c>
      <c r="AV128" t="s">
        <v>221</v>
      </c>
      <c r="AW128" t="s">
        <v>881</v>
      </c>
      <c r="AX128" t="s">
        <v>222</v>
      </c>
      <c r="BA128" s="57">
        <v>46267.333333333336</v>
      </c>
      <c r="BB128" t="s">
        <v>1516</v>
      </c>
      <c r="BC128">
        <v>2026</v>
      </c>
      <c r="BD128">
        <v>9</v>
      </c>
      <c r="BE128">
        <v>1</v>
      </c>
      <c r="BF128" s="6">
        <f t="shared" si="3"/>
        <v>46266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BANYUWANGI</v>
      </c>
    </row>
    <row r="129" spans="1:61">
      <c r="A129">
        <v>128</v>
      </c>
      <c r="B129">
        <v>1002564252</v>
      </c>
      <c r="C129">
        <v>3</v>
      </c>
      <c r="D129" t="s">
        <v>42</v>
      </c>
      <c r="E129">
        <v>5</v>
      </c>
      <c r="F129" t="s">
        <v>232</v>
      </c>
      <c r="G129" t="s">
        <v>101</v>
      </c>
      <c r="H129" t="s">
        <v>427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46266.377754629626</v>
      </c>
      <c r="P129" s="57">
        <v>46266.773368055554</v>
      </c>
      <c r="Q129">
        <v>69381184</v>
      </c>
      <c r="S129">
        <v>152331251329</v>
      </c>
      <c r="T129" t="s">
        <v>1517</v>
      </c>
      <c r="U129" t="s">
        <v>1518</v>
      </c>
      <c r="V129" t="s">
        <v>1519</v>
      </c>
      <c r="Z129">
        <v>112.4996391</v>
      </c>
      <c r="AA129">
        <v>-7.4140965000000003</v>
      </c>
      <c r="AB129" t="s">
        <v>1520</v>
      </c>
      <c r="AC129" t="s">
        <v>229</v>
      </c>
      <c r="AL129" t="s">
        <v>217</v>
      </c>
      <c r="AM129" t="s">
        <v>1521</v>
      </c>
      <c r="AN129" t="s">
        <v>6</v>
      </c>
      <c r="AO129" s="57">
        <v>46031.382175925923</v>
      </c>
      <c r="AP129" s="57">
        <v>46267.333333333336</v>
      </c>
      <c r="AR129" t="s">
        <v>218</v>
      </c>
      <c r="AS129" t="s">
        <v>573</v>
      </c>
      <c r="AT129" t="s">
        <v>230</v>
      </c>
      <c r="AU129">
        <v>20260901</v>
      </c>
      <c r="AV129" t="s">
        <v>221</v>
      </c>
      <c r="AW129" t="s">
        <v>544</v>
      </c>
      <c r="AX129" t="s">
        <v>222</v>
      </c>
      <c r="BA129" s="57">
        <v>46267.333333333336</v>
      </c>
      <c r="BB129" t="s">
        <v>1521</v>
      </c>
      <c r="BC129">
        <v>2026</v>
      </c>
      <c r="BD129">
        <v>9</v>
      </c>
      <c r="BE129">
        <v>1</v>
      </c>
      <c r="BF129" s="6">
        <f t="shared" si="3"/>
        <v>46266</v>
      </c>
      <c r="BG129">
        <f t="shared" si="4"/>
        <v>-1.3333333333357587</v>
      </c>
      <c r="BH129" t="str">
        <f t="shared" si="5"/>
        <v>COMPLY</v>
      </c>
      <c r="BI129" t="str">
        <f>VLOOKUP(H129,Sheet2!$A$1:$B$270,2,FALSE)</f>
        <v>SIDOARJO</v>
      </c>
    </row>
    <row r="130" spans="1:61">
      <c r="A130">
        <v>129</v>
      </c>
      <c r="B130">
        <v>1002564257</v>
      </c>
      <c r="C130">
        <v>3</v>
      </c>
      <c r="D130" t="s">
        <v>49</v>
      </c>
      <c r="E130">
        <v>4</v>
      </c>
      <c r="F130" t="s">
        <v>245</v>
      </c>
      <c r="G130" t="s">
        <v>564</v>
      </c>
      <c r="H130" t="s">
        <v>565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46266.378287037034</v>
      </c>
      <c r="P130" s="57">
        <v>46266.672581018516</v>
      </c>
      <c r="Q130">
        <v>69379742</v>
      </c>
      <c r="S130">
        <v>142434111557</v>
      </c>
      <c r="T130" t="s">
        <v>1008</v>
      </c>
      <c r="U130" t="s">
        <v>1522</v>
      </c>
      <c r="V130" t="s">
        <v>1523</v>
      </c>
      <c r="Z130">
        <v>110.47078811</v>
      </c>
      <c r="AA130">
        <v>-7.3204740670000001</v>
      </c>
      <c r="AB130" t="s">
        <v>1009</v>
      </c>
      <c r="AC130" t="s">
        <v>216</v>
      </c>
      <c r="AL130" t="s">
        <v>217</v>
      </c>
      <c r="AM130" t="s">
        <v>1524</v>
      </c>
      <c r="AN130" t="s">
        <v>6</v>
      </c>
      <c r="AO130" s="57">
        <v>46031.382175925923</v>
      </c>
      <c r="AR130" t="s">
        <v>218</v>
      </c>
      <c r="AS130" t="s">
        <v>219</v>
      </c>
      <c r="AT130" t="s">
        <v>230</v>
      </c>
      <c r="AU130">
        <v>20260901</v>
      </c>
      <c r="AV130" t="s">
        <v>221</v>
      </c>
      <c r="AW130" t="s">
        <v>544</v>
      </c>
      <c r="AX130" t="s">
        <v>222</v>
      </c>
      <c r="BA130" s="57">
        <v>46266.291666666664</v>
      </c>
      <c r="BB130" t="s">
        <v>1524</v>
      </c>
      <c r="BC130">
        <v>2026</v>
      </c>
      <c r="BD130">
        <v>9</v>
      </c>
      <c r="BE130">
        <v>1</v>
      </c>
      <c r="BF130" s="6">
        <f t="shared" ref="BF130:BF193" si="6">DATE(BC130,BD130,BE130)</f>
        <v>46266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e">
        <f>VLOOKUP(H130,Sheet2!$A$1:$B$270,2,FALSE)</f>
        <v>#N/A</v>
      </c>
    </row>
    <row r="131" spans="1:61">
      <c r="A131">
        <v>130</v>
      </c>
      <c r="B131">
        <v>1002566158</v>
      </c>
      <c r="C131">
        <v>3</v>
      </c>
      <c r="D131" t="s">
        <v>34</v>
      </c>
      <c r="E131">
        <v>5</v>
      </c>
      <c r="F131" t="s">
        <v>563</v>
      </c>
      <c r="G131" t="s">
        <v>81</v>
      </c>
      <c r="H131" t="s">
        <v>350</v>
      </c>
      <c r="I131" t="s">
        <v>212</v>
      </c>
      <c r="J131" t="s">
        <v>213</v>
      </c>
      <c r="K131" t="s">
        <v>149</v>
      </c>
      <c r="M131" t="s">
        <v>76</v>
      </c>
      <c r="N131" t="s">
        <v>581</v>
      </c>
      <c r="O131" s="57">
        <v>46266.671678240738</v>
      </c>
      <c r="P131" s="57">
        <v>46266.714097222219</v>
      </c>
      <c r="Q131">
        <v>69374767</v>
      </c>
      <c r="S131">
        <v>172416429339</v>
      </c>
      <c r="T131" t="s">
        <v>955</v>
      </c>
      <c r="U131" t="s">
        <v>956</v>
      </c>
      <c r="V131" t="s">
        <v>1525</v>
      </c>
      <c r="Z131">
        <v>115.19119000000001</v>
      </c>
      <c r="AA131">
        <v>-8.7216970000000007</v>
      </c>
      <c r="AB131" t="s">
        <v>957</v>
      </c>
      <c r="AC131" t="s">
        <v>284</v>
      </c>
      <c r="AL131" t="s">
        <v>217</v>
      </c>
      <c r="AM131" t="s">
        <v>1526</v>
      </c>
      <c r="AN131" t="s">
        <v>6</v>
      </c>
      <c r="AO131" s="57">
        <v>46031.673645833333</v>
      </c>
      <c r="AR131" t="s">
        <v>218</v>
      </c>
      <c r="AS131" t="s">
        <v>818</v>
      </c>
      <c r="AT131" t="s">
        <v>230</v>
      </c>
      <c r="AU131">
        <v>20260901</v>
      </c>
      <c r="AV131" t="s">
        <v>221</v>
      </c>
      <c r="AW131" t="s">
        <v>599</v>
      </c>
      <c r="AX131" t="s">
        <v>222</v>
      </c>
      <c r="BA131" s="57">
        <v>46266.291666666664</v>
      </c>
      <c r="BB131" t="s">
        <v>1526</v>
      </c>
      <c r="BC131">
        <v>2026</v>
      </c>
      <c r="BD131">
        <v>9</v>
      </c>
      <c r="BE131">
        <v>1</v>
      </c>
      <c r="BF131" s="6">
        <f t="shared" si="6"/>
        <v>46266</v>
      </c>
      <c r="BG131">
        <f t="shared" si="7"/>
        <v>-0.29166666666424135</v>
      </c>
      <c r="BH131" t="str">
        <f t="shared" si="8"/>
        <v>COMPLY</v>
      </c>
      <c r="BI131" t="str">
        <f>VLOOKUP(H131,Sheet2!$A$1:$B$270,2,FALSE)</f>
        <v>JIMBARAN</v>
      </c>
    </row>
    <row r="132" spans="1:61">
      <c r="O132" s="57"/>
      <c r="P132" s="57"/>
      <c r="AO132" s="57"/>
      <c r="AP132" s="57"/>
      <c r="BA132" s="57"/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:61">
      <c r="O133" s="57"/>
      <c r="P133" s="57"/>
      <c r="AO133" s="57"/>
      <c r="AP133" s="57"/>
      <c r="BA133" s="57"/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O134" s="57"/>
      <c r="P134" s="57"/>
      <c r="AO134" s="57"/>
      <c r="AP134" s="57"/>
      <c r="BA134" s="57"/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:61">
      <c r="O135" s="57"/>
      <c r="P135" s="57"/>
      <c r="AO135" s="57"/>
      <c r="AP135" s="57"/>
      <c r="BA135" s="57"/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O136" s="57"/>
      <c r="P136" s="57"/>
      <c r="AO136" s="57"/>
      <c r="AP136" s="57"/>
      <c r="BA136" s="57"/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O137" s="57"/>
      <c r="P137" s="57"/>
      <c r="AO137" s="57"/>
      <c r="AP137" s="57"/>
      <c r="BA137" s="57"/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O138" s="57"/>
      <c r="P138" s="57"/>
      <c r="AO138" s="57"/>
      <c r="AP138" s="57"/>
      <c r="BA138" s="57"/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O139" s="57"/>
      <c r="P139" s="57"/>
      <c r="AO139" s="57"/>
      <c r="AP139" s="57"/>
      <c r="BA139" s="57"/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O140" s="57"/>
      <c r="P140" s="57"/>
      <c r="AO140" s="57"/>
      <c r="AP140" s="57"/>
      <c r="BA140" s="57"/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O141" s="57"/>
      <c r="P141" s="57"/>
      <c r="AO141" s="57"/>
      <c r="AP141" s="57"/>
      <c r="BA141" s="57"/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O142" s="57"/>
      <c r="P142" s="57"/>
      <c r="AO142" s="57"/>
      <c r="AP142" s="57"/>
      <c r="BA142" s="57"/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:61">
      <c r="O143" s="57"/>
      <c r="P143" s="57"/>
      <c r="AO143" s="57"/>
      <c r="AP143" s="57"/>
      <c r="BA143" s="57"/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O144" s="57"/>
      <c r="P144" s="57"/>
      <c r="AO144" s="57"/>
      <c r="AP144" s="57"/>
      <c r="BA144" s="57"/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5:61">
      <c r="O145" s="57"/>
      <c r="P145" s="57"/>
      <c r="AO145" s="57"/>
      <c r="AP145" s="57"/>
      <c r="BA145" s="57"/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5:61">
      <c r="O146" s="57"/>
      <c r="P146" s="57"/>
      <c r="AO146" s="57"/>
      <c r="AP146" s="57"/>
      <c r="BA146" s="57"/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5:61">
      <c r="O147" s="57"/>
      <c r="P147" s="57"/>
      <c r="AO147" s="57"/>
      <c r="AP147" s="57"/>
      <c r="BA147" s="57"/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5:61">
      <c r="O148" s="57"/>
      <c r="P148" s="57"/>
      <c r="AO148" s="57"/>
      <c r="AP148" s="57"/>
      <c r="BA148" s="57"/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5:61">
      <c r="O149" s="57"/>
      <c r="P149" s="57"/>
      <c r="AO149" s="57"/>
      <c r="BA149" s="57"/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5:61">
      <c r="O150" s="57"/>
      <c r="P150" s="57"/>
      <c r="AO150" s="57"/>
      <c r="AP150" s="57"/>
      <c r="BA150" s="57"/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5:61">
      <c r="O151" s="57"/>
      <c r="P151" s="57"/>
      <c r="AO151" s="57"/>
      <c r="AP151" s="57"/>
      <c r="BA151" s="57"/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5:61">
      <c r="O152" s="57"/>
      <c r="P152" s="57"/>
      <c r="AO152" s="57"/>
      <c r="AP152" s="57"/>
      <c r="BA152" s="57"/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5:61">
      <c r="O153" s="57"/>
      <c r="P153" s="57"/>
      <c r="AO153" s="57"/>
      <c r="AP153" s="57"/>
      <c r="BA153" s="57"/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5:61">
      <c r="O154" s="57"/>
      <c r="P154" s="57"/>
      <c r="AO154" s="57"/>
      <c r="AP154" s="57"/>
      <c r="BA154" s="57"/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5:61">
      <c r="O155" s="57"/>
      <c r="P155" s="57"/>
      <c r="AO155" s="57"/>
      <c r="AP155" s="57"/>
      <c r="BA155" s="57"/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5:61">
      <c r="O156" s="57"/>
      <c r="P156" s="57"/>
      <c r="AO156" s="57"/>
      <c r="AP156" s="57"/>
      <c r="BA156" s="57"/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5:61">
      <c r="O157" s="57"/>
      <c r="P157" s="57"/>
      <c r="AO157" s="57"/>
      <c r="AP157" s="57"/>
      <c r="BA157" s="57"/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5:61">
      <c r="O158" s="57"/>
      <c r="P158" s="57"/>
      <c r="AO158" s="57"/>
      <c r="AP158" s="57"/>
      <c r="BA158" s="57"/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5:61">
      <c r="O159" s="57"/>
      <c r="P159" s="57"/>
      <c r="AO159" s="57"/>
      <c r="AP159" s="57"/>
      <c r="BA159" s="57"/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5:61">
      <c r="O160" s="57"/>
      <c r="P160" s="57"/>
      <c r="AO160" s="57"/>
      <c r="AP160" s="57"/>
      <c r="BA160" s="57"/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5:61">
      <c r="O161" s="57"/>
      <c r="P161" s="57"/>
      <c r="AO161" s="57"/>
      <c r="AP161" s="57"/>
      <c r="BA161" s="57"/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5:61">
      <c r="O162" s="57"/>
      <c r="P162" s="57"/>
      <c r="AO162" s="57"/>
      <c r="AP162" s="57"/>
      <c r="BA162" s="57"/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5:61">
      <c r="O163" s="57"/>
      <c r="P163" s="57"/>
      <c r="AO163" s="57"/>
      <c r="AP163" s="57"/>
      <c r="BA163" s="57"/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5:61">
      <c r="O164" s="57"/>
      <c r="P164" s="57"/>
      <c r="AO164" s="57"/>
      <c r="AP164" s="57"/>
      <c r="BA164" s="57"/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5:61">
      <c r="O165" s="57"/>
      <c r="P165" s="57"/>
      <c r="AO165" s="57"/>
      <c r="AP165" s="57"/>
      <c r="BA165" s="57"/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5:61">
      <c r="O166" s="57"/>
      <c r="P166" s="57"/>
      <c r="AO166" s="57"/>
      <c r="AP166" s="57"/>
      <c r="BA166" s="57"/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5:61">
      <c r="O167" s="57"/>
      <c r="P167" s="57"/>
      <c r="AO167" s="57"/>
      <c r="AP167" s="57"/>
      <c r="BA167" s="57"/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5:61">
      <c r="O168" s="57"/>
      <c r="P168" s="57"/>
      <c r="AO168" s="57"/>
      <c r="AP168" s="57"/>
      <c r="BA168" s="57"/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5:61">
      <c r="O169" s="57"/>
      <c r="P169" s="57"/>
      <c r="AO169" s="57"/>
      <c r="AP169" s="57"/>
      <c r="BA169" s="57"/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5:61">
      <c r="O170" s="57"/>
      <c r="P170" s="57"/>
      <c r="AO170" s="57"/>
      <c r="AP170" s="57"/>
      <c r="BA170" s="57"/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5:61">
      <c r="O171" s="57"/>
      <c r="P171" s="57"/>
      <c r="AO171" s="57"/>
      <c r="AP171" s="57"/>
      <c r="BA171" s="57"/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5:61">
      <c r="O172" s="57"/>
      <c r="P172" s="57"/>
      <c r="AO172" s="57"/>
      <c r="AP172" s="57"/>
      <c r="BA172" s="57"/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5:61">
      <c r="O173" s="57"/>
      <c r="P173" s="57"/>
      <c r="AO173" s="57"/>
      <c r="AP173" s="57"/>
      <c r="BA173" s="57"/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5:61">
      <c r="O174" s="57"/>
      <c r="P174" s="57"/>
      <c r="AO174" s="57"/>
      <c r="AP174" s="57"/>
      <c r="BA174" s="57"/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5:61">
      <c r="O175" s="57"/>
      <c r="P175" s="57"/>
      <c r="AO175" s="57"/>
      <c r="AP175" s="57"/>
      <c r="BA175" s="57"/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5:61">
      <c r="O176" s="57"/>
      <c r="P176" s="57"/>
      <c r="AO176" s="57"/>
      <c r="AP176" s="57"/>
      <c r="BA176" s="57"/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5:61">
      <c r="O177" s="57"/>
      <c r="P177" s="57"/>
      <c r="AO177" s="57"/>
      <c r="AP177" s="57"/>
      <c r="BA177" s="57"/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5:61">
      <c r="O178" s="57"/>
      <c r="P178" s="57"/>
      <c r="AO178" s="57"/>
      <c r="BA178" s="57"/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5:61">
      <c r="O179" s="57"/>
      <c r="P179" s="57"/>
      <c r="AO179" s="57"/>
      <c r="AP179" s="57"/>
      <c r="BA179" s="57"/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5:61">
      <c r="O180" s="57"/>
      <c r="P180" s="57"/>
      <c r="AO180" s="57"/>
      <c r="AP180" s="57"/>
      <c r="BA180" s="57"/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5:61">
      <c r="O181" s="57"/>
      <c r="P181" s="57"/>
      <c r="AO181" s="57"/>
      <c r="AP181" s="57"/>
      <c r="BA181" s="57"/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5:61">
      <c r="O182" s="57"/>
      <c r="P182" s="57"/>
      <c r="AO182" s="57"/>
      <c r="AP182" s="57"/>
      <c r="BA182" s="57"/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5:61">
      <c r="O183" s="57"/>
      <c r="P183" s="57"/>
      <c r="AO183" s="57"/>
      <c r="AP183" s="57"/>
      <c r="BA183" s="57"/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5:61">
      <c r="O184" s="57"/>
      <c r="P184" s="57"/>
      <c r="AO184" s="57"/>
      <c r="AP184" s="57"/>
      <c r="BA184" s="57"/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5:61">
      <c r="O185" s="57"/>
      <c r="P185" s="57"/>
      <c r="AO185" s="57"/>
      <c r="AP185" s="57"/>
      <c r="BA185" s="57"/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5:61">
      <c r="O186" s="57"/>
      <c r="P186" s="57"/>
      <c r="AO186" s="57"/>
      <c r="AP186" s="57"/>
      <c r="BA186" s="57"/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5:61">
      <c r="O187" s="57"/>
      <c r="P187" s="57"/>
      <c r="AO187" s="57"/>
      <c r="AP187" s="57"/>
      <c r="BA187" s="57"/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5:61">
      <c r="O188" s="57"/>
      <c r="P188" s="57"/>
      <c r="AO188" s="57"/>
      <c r="BA188" s="57"/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5:61">
      <c r="O189" s="57"/>
      <c r="P189" s="57"/>
      <c r="AO189" s="57"/>
      <c r="AP189" s="57"/>
      <c r="BA189" s="57"/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5:61">
      <c r="O190" s="57"/>
      <c r="P190" s="57"/>
      <c r="AO190" s="57"/>
      <c r="AP190" s="57"/>
      <c r="BA190" s="57"/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5:61">
      <c r="O191" s="57"/>
      <c r="P191" s="57"/>
      <c r="AP191" s="57"/>
      <c r="BA191" s="57"/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5:61">
      <c r="O192" s="57"/>
      <c r="P192" s="57"/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5:61">
      <c r="O193" s="57"/>
      <c r="P193" s="57"/>
      <c r="AP193" s="57"/>
      <c r="BA193" s="57"/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e">
        <f>VLOOKUP(H193,Sheet2!$A$1:$B$270,2,FALSE)</f>
        <v>#N/A</v>
      </c>
    </row>
    <row r="194" spans="15:61">
      <c r="O194" s="57"/>
      <c r="P194" s="57"/>
      <c r="AP194" s="57"/>
      <c r="BA194" s="57"/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5:61">
      <c r="O195" s="57"/>
      <c r="P195" s="57"/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5:61">
      <c r="O196" s="57"/>
      <c r="P196" s="57"/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5:61">
      <c r="O197" s="57"/>
      <c r="P197" s="57"/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5:61">
      <c r="O198" s="57"/>
      <c r="P198" s="57"/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5:61">
      <c r="O199" s="57"/>
      <c r="P199" s="57"/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5:61">
      <c r="O200" s="57"/>
      <c r="P200" s="57"/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5:61">
      <c r="O201" s="57"/>
      <c r="P201" s="57"/>
      <c r="AP201" s="57"/>
      <c r="BA201" s="57"/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5:61">
      <c r="O202" s="57"/>
      <c r="P202" s="57"/>
      <c r="AP202" s="57"/>
      <c r="BA202" s="57"/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5:61">
      <c r="O203" s="57"/>
      <c r="P203" s="57"/>
      <c r="AP203" s="57"/>
      <c r="BA203" s="57"/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5:61">
      <c r="O204" s="57"/>
      <c r="P204" s="57"/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5:61">
      <c r="O205" s="57"/>
      <c r="P205" s="57"/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5:61">
      <c r="O206" s="57"/>
      <c r="P206" s="57"/>
      <c r="AP206" s="57"/>
      <c r="BA206" s="57"/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5:61">
      <c r="O207" s="57"/>
      <c r="P207" s="57"/>
      <c r="AP207" s="57"/>
      <c r="BA207" s="57"/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5:61">
      <c r="O208" s="57"/>
      <c r="P208" s="57"/>
      <c r="AP208" s="57"/>
      <c r="BA208" s="57"/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5:61">
      <c r="O209" s="57"/>
      <c r="P209" s="57"/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5:61">
      <c r="O210" s="57"/>
      <c r="P210" s="57"/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5:61">
      <c r="O211" s="57"/>
      <c r="P211" s="57"/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5:61">
      <c r="O212" s="57"/>
      <c r="P212" s="57"/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5:61">
      <c r="O213" s="57"/>
      <c r="P213" s="57"/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5:61">
      <c r="O214" s="57"/>
      <c r="P214" s="57"/>
      <c r="AP214" s="57"/>
      <c r="BA214" s="57"/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5:61">
      <c r="O215" s="57"/>
      <c r="P215" s="57"/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5:61">
      <c r="O216" s="57"/>
      <c r="P216" s="57"/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5:61">
      <c r="O217" s="57"/>
      <c r="P217" s="57"/>
      <c r="AP217" s="57"/>
      <c r="BA217" s="57"/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5:61">
      <c r="O218" s="57"/>
      <c r="P218" s="57"/>
      <c r="AP218" s="57"/>
      <c r="BA218" s="57"/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5:61">
      <c r="O219" s="57"/>
      <c r="P219" s="57"/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5:61">
      <c r="O220" s="57"/>
      <c r="P220" s="57"/>
      <c r="AP220" s="57"/>
      <c r="BA220" s="57"/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5:61">
      <c r="O221" s="57"/>
      <c r="P221" s="57"/>
      <c r="AP221" s="57"/>
      <c r="BA221" s="57"/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5:61">
      <c r="O222" s="57"/>
      <c r="P222" s="57"/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5:61">
      <c r="O223" s="57"/>
      <c r="P223" s="57"/>
      <c r="AP223" s="57"/>
      <c r="BA223" s="57"/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5:61">
      <c r="O224" s="57"/>
      <c r="P224" s="57"/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5:61">
      <c r="O225" s="57"/>
      <c r="P225" s="57"/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5:61">
      <c r="O226" s="57"/>
      <c r="P226" s="57"/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5:61">
      <c r="O227" s="57"/>
      <c r="P227" s="57"/>
      <c r="AP227" s="57"/>
      <c r="BA227" s="57"/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5:61">
      <c r="O228" s="57"/>
      <c r="P228" s="57"/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5:61">
      <c r="O229" s="57"/>
      <c r="P229" s="57"/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5:61">
      <c r="O230" s="57"/>
      <c r="P230" s="57"/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5:61">
      <c r="O231" s="57"/>
      <c r="P231" s="57"/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5:61">
      <c r="O232" s="57"/>
      <c r="P232" s="57"/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5:61">
      <c r="O233" s="57"/>
      <c r="P233" s="57"/>
      <c r="AP233" s="57"/>
      <c r="BA233" s="57"/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5:61">
      <c r="O234" s="57"/>
      <c r="P234" s="57"/>
      <c r="AP234" s="57"/>
      <c r="BA234" s="57"/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5:61">
      <c r="O235" s="57"/>
      <c r="P235" s="57"/>
      <c r="AP235" s="57"/>
      <c r="BA235" s="57"/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5:61">
      <c r="O236" s="57"/>
      <c r="P236" s="57"/>
      <c r="AP236" s="57"/>
      <c r="BA236" s="57"/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5:61">
      <c r="O237" s="57"/>
      <c r="P237" s="57"/>
      <c r="AP237" s="57"/>
      <c r="BA237" s="57"/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5:61">
      <c r="O238" s="57"/>
      <c r="P238" s="57"/>
      <c r="AP238" s="57"/>
      <c r="BA238" s="57"/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5:61">
      <c r="O239" s="57"/>
      <c r="P239" s="57"/>
      <c r="AP239" s="57"/>
      <c r="BA239" s="57"/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5:61">
      <c r="O240" s="57"/>
      <c r="P240" s="57"/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5:61">
      <c r="O241" s="57"/>
      <c r="P241" s="57"/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5:61">
      <c r="O242" s="57"/>
      <c r="P242" s="57"/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5:61">
      <c r="O243" s="57"/>
      <c r="P243" s="57"/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5:61">
      <c r="O244" s="57"/>
      <c r="P244" s="57"/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5:61">
      <c r="O245" s="57"/>
      <c r="P245" s="57"/>
      <c r="AP245" s="57"/>
      <c r="BA245" s="57"/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5:61">
      <c r="O246" s="57"/>
      <c r="P246" s="57"/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5:61">
      <c r="O247" s="57"/>
      <c r="P247" s="57"/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5:61">
      <c r="O248" s="57"/>
      <c r="P248" s="57"/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5:61">
      <c r="O249" s="57"/>
      <c r="P249" s="57"/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5:61">
      <c r="O250" s="57"/>
      <c r="P250" s="57"/>
      <c r="AP250" s="57"/>
      <c r="BA250" s="57"/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5:61">
      <c r="O251" s="57"/>
      <c r="P251" s="57"/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5:61">
      <c r="O252" s="57"/>
      <c r="P252" s="57"/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5:61">
      <c r="O253" s="57"/>
      <c r="P253" s="57"/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5:61">
      <c r="O254" s="57"/>
      <c r="P254" s="57"/>
      <c r="AP254" s="57"/>
      <c r="BA254" s="57"/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5:61">
      <c r="O255" s="57"/>
      <c r="P255" s="57"/>
      <c r="AP255" s="57"/>
      <c r="BA255" s="57"/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5:61">
      <c r="O256" s="57"/>
      <c r="P256" s="57"/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5:61">
      <c r="O257" s="57"/>
      <c r="P257" s="57"/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5:61">
      <c r="O258" s="57"/>
      <c r="P258" s="57"/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5:61">
      <c r="O259" s="57"/>
      <c r="P259" s="57"/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5:61">
      <c r="O260" s="57"/>
      <c r="P260" s="57"/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5:61">
      <c r="O261" s="57"/>
      <c r="P261" s="57"/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5:61">
      <c r="O262" s="57"/>
      <c r="P262" s="57"/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5:61">
      <c r="O263" s="57"/>
      <c r="P263" s="57"/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5:61">
      <c r="O264" s="57"/>
      <c r="P264" s="57"/>
      <c r="AP264" s="57"/>
      <c r="BA264" s="57"/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5:61">
      <c r="O265" s="57"/>
      <c r="P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5:6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5:61">
      <c r="O267" s="57"/>
      <c r="P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5:61">
      <c r="O268" s="57"/>
      <c r="P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5:61">
      <c r="O269" s="57"/>
      <c r="P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5:61">
      <c r="O270" s="57"/>
      <c r="P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5:61">
      <c r="O271" s="57"/>
      <c r="P271" s="57"/>
      <c r="A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5:61">
      <c r="O272" s="57"/>
      <c r="P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>
      <c r="O275" s="57"/>
      <c r="P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>
      <c r="O276" s="57"/>
      <c r="P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>
      <c r="O277" s="57"/>
      <c r="P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>
      <c r="O278" s="57"/>
      <c r="P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>
      <c r="O279" s="57"/>
      <c r="P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>
      <c r="O280" s="57"/>
      <c r="P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>
      <c r="O281" s="57"/>
      <c r="P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>
      <c r="O282" s="57"/>
      <c r="P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>
      <c r="O283" s="57"/>
      <c r="P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>
      <c r="O284" s="57"/>
      <c r="P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>
      <c r="O285" s="57"/>
      <c r="P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>
      <c r="O286" s="57"/>
      <c r="P286" s="57"/>
      <c r="A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>
      <c r="O287" s="57"/>
      <c r="P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>
      <c r="O288" s="57"/>
      <c r="P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>
      <c r="O289" s="57"/>
      <c r="P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>
      <c r="O290" s="57"/>
      <c r="P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>
      <c r="O291" s="57"/>
      <c r="P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>
      <c r="O294" s="57"/>
      <c r="P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>
      <c r="O295" s="57"/>
      <c r="P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>
      <c r="O296" s="57"/>
      <c r="P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>
      <c r="O297" s="57"/>
      <c r="P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>
      <c r="O298" s="57"/>
      <c r="P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>
      <c r="O299" s="57"/>
      <c r="P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>
      <c r="O300" s="57"/>
      <c r="P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>
      <c r="O301" s="57"/>
      <c r="P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>
      <c r="O302" s="57"/>
      <c r="P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>
      <c r="O303" s="57"/>
      <c r="P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>
      <c r="O304" s="57"/>
      <c r="P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>
      <c r="O305" s="57"/>
      <c r="P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>
      <c r="O306" s="57"/>
      <c r="P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>
      <c r="O307" s="57"/>
      <c r="P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>
      <c r="O308" s="57"/>
      <c r="P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>
      <c r="O309" s="57"/>
      <c r="P309" s="57"/>
      <c r="A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>
      <c r="O310" s="57"/>
      <c r="P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>
      <c r="O311" s="57"/>
      <c r="P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>
      <c r="O312" s="57"/>
      <c r="P312" s="57"/>
      <c r="A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>
      <c r="O313" s="57"/>
      <c r="P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>
      <c r="O314" s="57"/>
      <c r="P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>
      <c r="O315" s="57"/>
      <c r="P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>
      <c r="O316" s="57"/>
      <c r="P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>
      <c r="O317" s="57"/>
      <c r="P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>
      <c r="O318" s="57"/>
      <c r="P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>
      <c r="O319" s="57"/>
      <c r="P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>
      <c r="O320" s="57"/>
      <c r="P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>
      <c r="O321" s="57"/>
      <c r="P321" s="57"/>
      <c r="AO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>
      <c r="O322" s="57"/>
      <c r="P322" s="57"/>
      <c r="AO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>
      <c r="O323" s="57"/>
      <c r="P323" s="57"/>
      <c r="AO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>
      <c r="O324" s="57"/>
      <c r="P324" s="57"/>
      <c r="AO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>
      <c r="O325" s="57"/>
      <c r="P325" s="57"/>
      <c r="AO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>
      <c r="O326" s="57"/>
      <c r="P326" s="57"/>
      <c r="AO326" s="57"/>
      <c r="AP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>
      <c r="O327" s="57"/>
      <c r="P327" s="57"/>
      <c r="AO327" s="57"/>
      <c r="AP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>
      <c r="O328" s="57"/>
      <c r="P328" s="57"/>
      <c r="AO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>
      <c r="O329" s="57"/>
      <c r="P329" s="57"/>
      <c r="AO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>
      <c r="O330" s="57"/>
      <c r="P330" s="57"/>
      <c r="AO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>
      <c r="O331" s="57"/>
      <c r="P331" s="57"/>
      <c r="AO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>
      <c r="O332" s="57"/>
      <c r="P332" s="57"/>
      <c r="AO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>
      <c r="O333" s="57"/>
      <c r="P333" s="57"/>
      <c r="AO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>
      <c r="O335" s="57"/>
      <c r="P335" s="57"/>
      <c r="AO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>
      <c r="O336" s="57"/>
      <c r="P336" s="57"/>
      <c r="AO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>
      <c r="O337" s="57"/>
      <c r="P337" s="57"/>
      <c r="AO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>
      <c r="O338" s="57"/>
      <c r="P338" s="57"/>
      <c r="AO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>
      <c r="O339" s="57"/>
      <c r="P339" s="57"/>
      <c r="AO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>
      <c r="O340" s="57"/>
      <c r="P340" s="57"/>
      <c r="AO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>
      <c r="O341" s="57"/>
      <c r="P341" s="57"/>
      <c r="AO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>
      <c r="O342" s="57"/>
      <c r="P342" s="57"/>
      <c r="AO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>
      <c r="O343" s="57"/>
      <c r="P343" s="57"/>
      <c r="AO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>
      <c r="O344" s="57"/>
      <c r="P344" s="57"/>
      <c r="AO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>
      <c r="O345" s="57"/>
      <c r="P345" s="57"/>
      <c r="AO345" s="57"/>
      <c r="A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>
      <c r="O346" s="57"/>
      <c r="P346" s="57"/>
      <c r="AO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>
      <c r="O347" s="57"/>
      <c r="P347" s="57"/>
      <c r="AO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>
      <c r="O348" s="57"/>
      <c r="P348" s="57"/>
      <c r="AO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>
      <c r="O349" s="57"/>
      <c r="P349" s="57"/>
      <c r="AO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>
      <c r="O350" s="57"/>
      <c r="P350" s="57"/>
      <c r="AO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>
      <c r="O352" s="57"/>
      <c r="P352" s="57"/>
      <c r="AO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>
      <c r="O353" s="57"/>
      <c r="P353" s="57"/>
      <c r="AO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>
      <c r="O354" s="57"/>
      <c r="P354" s="57"/>
      <c r="AO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>
      <c r="O355" s="57"/>
      <c r="P355" s="57"/>
      <c r="AO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>
      <c r="O356" s="57"/>
      <c r="P356" s="57"/>
      <c r="AO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>
      <c r="O357" s="57"/>
      <c r="P357" s="57"/>
      <c r="AO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>
      <c r="O358" s="57"/>
      <c r="P358" s="57"/>
      <c r="AO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>
      <c r="O359" s="57"/>
      <c r="P359" s="57"/>
      <c r="AO359" s="57"/>
      <c r="A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>
      <c r="O360" s="57"/>
      <c r="P360" s="57"/>
      <c r="AO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>
      <c r="O361" s="57"/>
      <c r="P361" s="57"/>
      <c r="AO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>
      <c r="O363" s="57"/>
      <c r="P363" s="57"/>
      <c r="AO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>
      <c r="O364" s="57"/>
      <c r="P364" s="57"/>
      <c r="AO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>
      <c r="O365" s="57"/>
      <c r="P365" s="57"/>
      <c r="AO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>
      <c r="O366" s="57"/>
      <c r="P366" s="57"/>
      <c r="AO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>
      <c r="O367" s="57"/>
      <c r="P367" s="57"/>
      <c r="AO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>
      <c r="O368" s="57"/>
      <c r="P368" s="57"/>
      <c r="AO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>
      <c r="O369" s="57"/>
      <c r="P369" s="57"/>
      <c r="AO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>
      <c r="O370" s="57"/>
      <c r="P370" s="57"/>
      <c r="AO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>
      <c r="O371" s="57"/>
      <c r="P371" s="57"/>
      <c r="AO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>
      <c r="O372" s="57"/>
      <c r="P372" s="57"/>
      <c r="AO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>
      <c r="O373" s="57"/>
      <c r="P373" s="57"/>
      <c r="AO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>
      <c r="O374" s="57"/>
      <c r="P374" s="57"/>
      <c r="AO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>
      <c r="O375" s="57"/>
      <c r="P375" s="57"/>
      <c r="AO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>
      <c r="O376" s="57"/>
      <c r="P376" s="57"/>
      <c r="AO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>
      <c r="O377" s="57"/>
      <c r="P377" s="57"/>
      <c r="AO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>
      <c r="O378" s="57"/>
      <c r="P378" s="57"/>
      <c r="AO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>
      <c r="O379" s="57"/>
      <c r="P379" s="57"/>
      <c r="AO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>
      <c r="O380" s="57"/>
      <c r="P380" s="57"/>
      <c r="AO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>
      <c r="O381" s="57"/>
      <c r="P381" s="57"/>
      <c r="AO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>
      <c r="O382" s="57"/>
      <c r="P382" s="57"/>
      <c r="AO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>
      <c r="O383" s="57"/>
      <c r="P383" s="57"/>
      <c r="AO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>
      <c r="O384" s="57"/>
      <c r="P384" s="57"/>
      <c r="AO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>
      <c r="O385" s="57"/>
      <c r="P385" s="57"/>
      <c r="AO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>
      <c r="O386" s="57"/>
      <c r="P386" s="57"/>
      <c r="AO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>
      <c r="O387" s="57"/>
      <c r="P387" s="57"/>
      <c r="AM387" s="58"/>
      <c r="AO387" s="57"/>
      <c r="BA387" s="57"/>
      <c r="BB387" s="58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>
      <c r="O388" s="57"/>
      <c r="P388" s="57"/>
      <c r="AO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>
      <c r="O389" s="57"/>
      <c r="P389" s="57"/>
      <c r="AO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>
      <c r="O390" s="57"/>
      <c r="P390" s="57"/>
      <c r="AO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>
      <c r="O391" s="57"/>
      <c r="P391" s="57"/>
      <c r="AO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>
      <c r="O392" s="57"/>
      <c r="P392" s="57"/>
      <c r="AM392" s="58"/>
      <c r="AO392" s="57"/>
      <c r="BA392" s="57"/>
      <c r="BB392" s="58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>
      <c r="O393" s="57"/>
      <c r="P393" s="57"/>
      <c r="AM393" s="58"/>
      <c r="AO393" s="57"/>
      <c r="BA393" s="57"/>
      <c r="BB393" s="58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>
      <c r="O394" s="57"/>
      <c r="P394" s="57"/>
      <c r="AO394" s="57"/>
      <c r="A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>
      <c r="O395" s="57"/>
      <c r="P395" s="57"/>
      <c r="AM395" s="58"/>
      <c r="AO395" s="57"/>
      <c r="BA395" s="57"/>
      <c r="BB395" s="58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>
      <c r="O396" s="57"/>
      <c r="P396" s="57"/>
      <c r="AM396" s="58"/>
      <c r="AO396" s="57"/>
      <c r="BA396" s="57"/>
      <c r="BB396" s="58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>
      <c r="O397" s="57"/>
      <c r="P397" s="57"/>
      <c r="AO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>
      <c r="O398" s="57"/>
      <c r="P398" s="57"/>
      <c r="AO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>
      <c r="O399" s="57"/>
      <c r="P399" s="57"/>
      <c r="AO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>
      <c r="O400" s="57"/>
      <c r="P400" s="57"/>
      <c r="AO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>
      <c r="O401" s="57"/>
      <c r="P401" s="57"/>
      <c r="AO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>
      <c r="O402" s="57"/>
      <c r="P402" s="57"/>
      <c r="AO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>
      <c r="O403" s="57"/>
      <c r="P403" s="57"/>
      <c r="AO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>
      <c r="O404" s="57"/>
      <c r="P404" s="57"/>
      <c r="AO404" s="57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>
      <c r="O405" s="57"/>
      <c r="P405" s="57"/>
      <c r="AO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>
      <c r="O406" s="57"/>
      <c r="P406" s="57"/>
      <c r="AO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>
      <c r="O407" s="57"/>
      <c r="P407" s="57"/>
      <c r="AO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>
      <c r="O408" s="57"/>
      <c r="P408" s="57"/>
      <c r="AP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>
      <c r="O409" s="57"/>
      <c r="P409" s="57"/>
      <c r="AP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>
      <c r="O410" s="57"/>
      <c r="P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>
      <c r="O411" s="57"/>
      <c r="P411" s="57"/>
      <c r="AP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>
      <c r="O412" s="57"/>
      <c r="P412" s="57"/>
      <c r="AP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>
      <c r="O413" s="57"/>
      <c r="P413" s="57"/>
      <c r="AO413" s="57"/>
      <c r="AP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>
      <c r="O414" s="57"/>
      <c r="P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>
      <c r="O415" s="57"/>
      <c r="P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>
      <c r="O416" s="57"/>
      <c r="P416" s="57"/>
      <c r="AM416" s="58"/>
      <c r="BA416" s="57"/>
      <c r="BB416" s="58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>
      <c r="O417" s="57"/>
      <c r="P417" s="57"/>
      <c r="AM417" s="58"/>
      <c r="BA417" s="57"/>
      <c r="BB417" s="58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>
      <c r="O418" s="57"/>
      <c r="P418" s="57"/>
      <c r="AM418" s="58"/>
      <c r="BA418" s="57"/>
      <c r="BB418" s="58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>
      <c r="O419" s="57"/>
      <c r="P419" s="57"/>
      <c r="AM419" s="58"/>
      <c r="BA419" s="57"/>
      <c r="BB419" s="58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>
      <c r="O420" s="57"/>
      <c r="P420" s="57"/>
      <c r="AO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>
      <c r="O421" s="57"/>
      <c r="P421" s="57"/>
      <c r="AO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>
      <c r="O422" s="57"/>
      <c r="P422" s="57"/>
      <c r="AO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>
      <c r="O423" s="57"/>
      <c r="P423" s="57"/>
      <c r="AO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>
      <c r="O424" s="57"/>
      <c r="P424" s="57"/>
      <c r="AO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>
      <c r="O425" s="57"/>
      <c r="P425" s="57"/>
      <c r="AO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>
      <c r="O426" s="57"/>
      <c r="P426" s="57"/>
      <c r="AO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>
      <c r="O427" s="57"/>
      <c r="P427" s="57"/>
      <c r="AO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>
      <c r="O428" s="57"/>
      <c r="P428" s="57"/>
      <c r="AO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>
      <c r="O429" s="57"/>
      <c r="P429" s="57"/>
      <c r="AO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>
      <c r="O430" s="57"/>
      <c r="P430" s="57"/>
      <c r="AO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>
      <c r="O431" s="57"/>
      <c r="P431" s="57"/>
      <c r="AO431" s="57"/>
      <c r="A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>
      <c r="O432" s="57"/>
      <c r="P432" s="57"/>
      <c r="A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>
      <c r="O434" s="57"/>
      <c r="P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>
      <c r="O435" s="57"/>
      <c r="P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>
      <c r="O436" s="57"/>
      <c r="P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>
      <c r="O437" s="57"/>
      <c r="P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>
      <c r="O438" s="57"/>
      <c r="P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>
      <c r="O439" s="57"/>
      <c r="P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>
      <c r="O440" s="57"/>
      <c r="P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>
      <c r="O441" s="57"/>
      <c r="P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>
      <c r="O442" s="57"/>
      <c r="P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>
      <c r="O443" s="57"/>
      <c r="P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>
      <c r="O445" s="57"/>
      <c r="P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>
      <c r="O446" s="57"/>
      <c r="P446" s="57"/>
      <c r="AP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>
      <c r="O447" s="57"/>
      <c r="P447" s="57"/>
      <c r="AP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>
      <c r="O448" s="57"/>
      <c r="P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P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P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P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AO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AO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AO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A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A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A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A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A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A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AO473" s="57"/>
      <c r="A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AO474" s="57"/>
      <c r="A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AO475" s="57"/>
      <c r="A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AO476" s="57"/>
      <c r="A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AO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AO478" s="57"/>
      <c r="A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AO479" s="57"/>
      <c r="A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AO480" s="57"/>
      <c r="A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AO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A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A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A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A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A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P503" s="57"/>
      <c r="BA503" s="57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P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P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P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P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A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A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A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A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A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A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A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P532" s="57"/>
      <c r="BA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A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A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P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P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P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P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P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A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A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A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A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A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A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P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P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A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A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O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O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AO633" s="57"/>
      <c r="A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O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O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AO636" s="57"/>
      <c r="A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O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O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AO640" s="57"/>
      <c r="A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P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P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A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O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A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AP663" s="57"/>
      <c r="BA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A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P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A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A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A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P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A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A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A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A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O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P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P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P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P720" s="57"/>
      <c r="BA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P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A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P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P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P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A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A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BA812" s="57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AP813" s="57"/>
      <c r="BA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AP821" s="57"/>
      <c r="BA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P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P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A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A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A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A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AP846" s="57"/>
      <c r="BA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A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A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AP888" s="57"/>
      <c r="BA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P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A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A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A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P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P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P934" s="57"/>
      <c r="BA934" s="57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P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P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P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A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P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A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sortState xmlns:xlrd2="http://schemas.microsoft.com/office/spreadsheetml/2017/richdata2" ref="A2:BI5978">
      <sortCondition descending="1" ref="BC1:BC5978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2026-09-02T00:18:55Z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